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This Report" sheetId="1" state="visible" r:id="rId1"/>
    <sheet name="League Table" sheetId="2" state="visible" r:id="rId2"/>
    <sheet name="Overview" sheetId="3" state="visible" r:id="rId3"/>
    <sheet name="xPts Table" sheetId="4" state="visible" r:id="rId4"/>
    <sheet name="Dashboard" sheetId="5" state="visible" r:id="rId5"/>
    <sheet name="Data Quality" sheetId="6" state="visible" r:id="rId6"/>
    <sheet name="Match Log" sheetId="7" state="visible" r:id="rId7"/>
    <sheet name="Home &amp; Away Splits" sheetId="8" state="visible" r:id="rId8"/>
    <sheet name="Supremacy Delta" sheetId="9" state="visible" r:id="rId9"/>
    <sheet name="Supremacy Delta (Home)" sheetId="10" state="visible" r:id="rId10"/>
    <sheet name="Supremacy Delta (Away)" sheetId="11" state="visible" r:id="rId11"/>
    <sheet name="Total xG Delta" sheetId="12" state="visible" r:id="rId12"/>
    <sheet name="xPts Delta" sheetId="13" state="visible" r:id="rId13"/>
    <sheet name="Accrington Stanley" sheetId="14" state="visible" r:id="rId14"/>
    <sheet name="Barnet" sheetId="15" state="visible" r:id="rId15"/>
    <sheet name="Bristol Rvs" sheetId="16" state="visible" r:id="rId16"/>
    <sheet name="Cheltenham Town" sheetId="17" state="visible" r:id="rId17"/>
    <sheet name="Chesterfield" sheetId="18" state="visible" r:id="rId18"/>
    <sheet name="Colchester United" sheetId="19" state="visible" r:id="rId19"/>
    <sheet name="Crawley Town" sheetId="20" state="visible" r:id="rId20"/>
    <sheet name="Crewe Alexandra" sheetId="21" state="visible" r:id="rId21"/>
    <sheet name="Exeter" sheetId="22" state="visible" r:id="rId22"/>
    <sheet name="Fleetwood Town" sheetId="23" state="visible" r:id="rId23"/>
    <sheet name="Gillingham" sheetId="24" state="visible" r:id="rId24"/>
    <sheet name="Grimsby Town" sheetId="25" state="visible" r:id="rId25"/>
    <sheet name="Newport County" sheetId="26" state="visible" r:id="rId26"/>
    <sheet name="Northampton Town" sheetId="27" state="visible" r:id="rId27"/>
    <sheet name="Oldham Athletic" sheetId="28" state="visible" r:id="rId28"/>
    <sheet name="Port Vale" sheetId="29" state="visible" r:id="rId29"/>
    <sheet name="Rochdale" sheetId="30" state="visible" r:id="rId30"/>
    <sheet name="Rotherham United" sheetId="31" state="visible" r:id="rId31"/>
    <sheet name="Salford City" sheetId="32" state="visible" r:id="rId32"/>
    <sheet name="Shrewsbury Town" sheetId="33" state="visible" r:id="rId33"/>
    <sheet name="Swindon Town" sheetId="34" state="visible" r:id="rId34"/>
    <sheet name="Tranmere Rovers" sheetId="35" state="visible" r:id="rId35"/>
    <sheet name="Walsall" sheetId="36" state="visible" r:id="rId36"/>
    <sheet name="York" sheetId="37" state="visible" r:id="rId37"/>
    <sheet name="Results Data" sheetId="38" state="hidden" r:id="rId38"/>
  </sheets>
  <definedNames>
    <definedName name="_xlnm._FilterDatabase" localSheetId="6" hidden="1">'Match Log'!$A$1:$Q$115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6">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5" fillId="0" borderId="0" pivotButton="0" quotePrefix="0" xfId="0"/>
    <xf numFmtId="0" fontId="2" fillId="0" borderId="0" pivotButton="0" quotePrefix="0" xfId="0"/>
    <xf numFmtId="0" fontId="2" fillId="5" borderId="0" pivotButton="0" quotePrefix="0" xfId="0"/>
    <xf numFmtId="2" fontId="2" fillId="4" borderId="1" pivotButton="0" quotePrefix="0" xfId="0"/>
    <xf numFmtId="0" fontId="3" fillId="0" borderId="0" pivotButton="0" quotePrefix="0" xfId="0"/>
    <xf numFmtId="1" fontId="3" fillId="4" borderId="0" pivotButton="0" quotePrefix="0" xfId="0"/>
    <xf numFmtId="2" fontId="3" fillId="4" borderId="0" pivotButton="0" quotePrefix="0" xfId="0"/>
    <xf numFmtId="0" fontId="4" fillId="2" borderId="0" applyAlignment="1" pivotButton="0" quotePrefix="0" xfId="0">
      <alignment horizontal="center" wrapText="1"/>
    </xf>
    <xf numFmtId="2" fontId="3" fillId="0" borderId="0" pivotButton="0" quotePrefix="0" xfId="0"/>
    <xf numFmtId="0" fontId="2" fillId="4" borderId="0" pivotButton="0" quotePrefix="0" xfId="0"/>
    <xf numFmtId="2"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charts/chart1.xml><?xml version="1.0" encoding="utf-8"?>
<chartSpace xmlns:a="http://schemas.openxmlformats.org/drawingml/2006/main" xmlns="http://schemas.openxmlformats.org/drawingml/2006/chart">
  <chart>
    <title>
      <tx>
        <rich>
          <a:bodyPr/>
          <a:p>
            <a:pPr>
              <a:defRPr/>
            </a:pPr>
            <a:r>
              <a:t>Avg xG Delta (For) by Team</a:t>
            </a:r>
          </a:p>
        </rich>
      </tx>
    </title>
    <plotArea>
      <barChart>
        <barDir val="col"/>
        <grouping val="clustered"/>
        <ser>
          <idx val="0"/>
          <order val="0"/>
          <tx>
            <strRef>
              <f>'Overview'!E1</f>
            </strRef>
          </tx>
          <spPr>
            <a:ln>
              <a:prstDash val="solid"/>
            </a:ln>
          </spPr>
          <cat>
            <numRef>
              <f>'Overview'!$A$2:$A$25</f>
            </numRef>
          </cat>
          <val>
            <numRef>
              <f>'Overview'!$E$2:$E$25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xG Delta</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Avg Supremacy Delta by Team</a:t>
            </a:r>
          </a:p>
        </rich>
      </tx>
    </title>
    <plotArea>
      <barChart>
        <barDir val="col"/>
        <grouping val="clustered"/>
        <ser>
          <idx val="0"/>
          <order val="0"/>
          <tx>
            <strRef>
              <f>'Overview'!M1</f>
            </strRef>
          </tx>
          <spPr>
            <a:ln>
              <a:prstDash val="solid"/>
            </a:ln>
          </spPr>
          <cat>
            <numRef>
              <f>'Overview'!$A$2:$A$25</f>
            </numRef>
          </cat>
          <val>
            <numRef>
              <f>'Overview'!$M$2:$M$25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Supremacy Delta</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xPts: Actual vs Market</a:t>
            </a:r>
          </a:p>
        </rich>
      </tx>
    </title>
    <plotArea>
      <barChart>
        <barDir val="col"/>
        <grouping val="clustered"/>
        <ser>
          <idx val="0"/>
          <order val="0"/>
          <tx>
            <strRef>
              <f>'xPts Table'!D1</f>
            </strRef>
          </tx>
          <spPr>
            <a:ln>
              <a:prstDash val="solid"/>
            </a:ln>
          </spPr>
          <cat>
            <numRef>
              <f>'xPts Table'!$B$2:$B$25</f>
            </numRef>
          </cat>
          <val>
            <numRef>
              <f>'xPts Table'!$D$2:$D$25</f>
            </numRef>
          </val>
        </ser>
        <ser>
          <idx val="1"/>
          <order val="1"/>
          <tx>
            <strRef>
              <f>'xPts Table'!E1</f>
            </strRef>
          </tx>
          <spPr>
            <a:ln>
              <a:prstDash val="solid"/>
            </a:ln>
          </spPr>
          <cat>
            <numRef>
              <f>'xPts Table'!$B$2:$B$25</f>
            </numRef>
          </cat>
          <val>
            <numRef>
              <f>'xPts Table'!$E$2:$E$25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Expected Points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6" ht="45" customHeight="1">
      <c r="A6"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7" ht="30" customHeight="1">
      <c r="A7" s="3" t="inlineStr">
        <is>
          <t>Dashboard - three league-wide charts (xG Delta For, Supremacy Delta, xPts Actual vs Market) so patterns are visible at a glance instead of scrolling through team tabs.</t>
        </is>
      </c>
    </row>
    <row r="8" ht="30" customHeight="1">
      <c r="A8" s="3" t="inlineStr">
        <is>
          <t>Data Quality - flags fixtures with missing/negative xG or goals, or suspicious exact-0.00 xG on both sides - a first stop before trusting a given run's numbers.</t>
        </is>
      </c>
    </row>
    <row r="9" ht="45" customHeight="1">
      <c r="A9" s="3" t="inlineStr">
        <is>
          <t>Match Log - the single master data table: one row per fixture (not per team) with every core stat, and an AutoFilter so you can filter by team/venue without hunting through team tabs.</t>
        </is>
      </c>
    </row>
    <row r="10" ht="30" customHeight="1">
      <c r="A10" s="3" t="inlineStr">
        <is>
          <t>Home &amp; Away Splits - Total/Home/Away average and median supremacy, and Total/Home/Away goals, for every team.</t>
        </is>
      </c>
    </row>
    <row r="11" ht="30" customHeight="1">
      <c r="A11" s="3" t="inlineStr">
        <is>
          <t>Supremacy Delta / (Home) / (Away) - match-by-match grids of actual vs. expected xG supremacy, each sorted by its own average, highest first.</t>
        </is>
      </c>
    </row>
    <row r="12" ht="30" customHeight="1">
      <c r="A12" s="3" t="inlineStr">
        <is>
          <t>Total xG Delta - match-by-match grid of how much higher/lower-scoring each match was than the market expected, sorted by its own average, with a Median column at the end.</t>
        </is>
      </c>
    </row>
    <row r="13" ht="30" customHeight="1">
      <c r="A13" s="3" t="inlineStr">
        <is>
          <t>xPts Delta - match-by-match grid of expected-points over/under-performance, sorted by its own average.</t>
        </is>
      </c>
    </row>
    <row r="14" ht="45" customHeight="1">
      <c r="A14" s="3" t="inlineStr">
        <is>
          <t>Upcoming Fixtures - ranked by expected supremacy (see below for how); also estimates each fixture's total goals, with both estimates shown as in-cell data bars for an at-a-glance visual read.</t>
        </is>
      </c>
    </row>
    <row r="15" ht="30" customHeight="1">
      <c r="A15" s="3" t="inlineStr">
        <is>
          <t>One tab per team - full match log, season summary (average AND median of every delta stat), and a Home/Away split table.</t>
        </is>
      </c>
    </row>
    <row r="16" ht="8" customHeight="1">
      <c r="A16" s="3" t="inlineStr"/>
    </row>
    <row r="17" ht="30" customHeight="1">
      <c r="A17" s="2" t="inlineStr">
        <is>
          <t>Judgement calls made where the brief was ambiguous</t>
        </is>
      </c>
    </row>
    <row r="18" ht="75" customHeight="1">
      <c r="A18"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19" ht="60" customHeight="1">
      <c r="A19"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0" ht="105" customHeight="1">
      <c r="A20"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1" ht="75" customHeight="1">
      <c r="A21"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2" ht="60" customHeight="1">
      <c r="A22"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4" customWidth="1" min="1" max="1"/>
    <col width="19"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Salford City</t>
        </is>
      </c>
      <c r="C2" s="6">
        <f>COUNTIF('Results Data'!$B$2:$B$115,$B2)+COUNTIF('Results Data'!$C$2:$C$115,$B2)</f>
        <v/>
      </c>
      <c r="D2" s="6">
        <f>SUMPRODUCT(('Results Data'!$B$2:$B$115=$B2)*('Results Data'!$D$2:$D$115&gt;'Results Data'!$E$2:$E$115))+SUMPRODUCT(('Results Data'!$C$2:$C$115=$B2)*('Results Data'!$E$2:$E$115&gt;'Results Data'!$D$2:$D$115))</f>
        <v/>
      </c>
      <c r="E2" s="6">
        <f>SUMPRODUCT(('Results Data'!$B$2:$B$115=$B2)*('Results Data'!$D$2:$D$115='Results Data'!$E$2:$E$115))+SUMPRODUCT(('Results Data'!$C$2:$C$115=$B2)*('Results Data'!$E$2:$E$115='Results Data'!$D$2:$D$115))</f>
        <v/>
      </c>
      <c r="F2" s="6">
        <f>C2-D2-E2</f>
        <v/>
      </c>
      <c r="G2" s="6">
        <f>SUMIF('Results Data'!$B$2:$B$115,$B2,'Results Data'!$D$2:$D$115)+SUMIF('Results Data'!$C$2:$C$115,$B2,'Results Data'!$E$2:$E$115)</f>
        <v/>
      </c>
      <c r="H2" s="6">
        <f>SUMIF('Results Data'!$B$2:$B$115,$B2,'Results Data'!$E$2:$E$115)+SUMIF('Results Data'!$C$2:$C$115,$B2,'Results Data'!$D$2:$D$115)</f>
        <v/>
      </c>
      <c r="I2" s="6">
        <f>G2-H2</f>
        <v/>
      </c>
      <c r="J2" s="6">
        <f>D2*3+E2</f>
        <v/>
      </c>
    </row>
    <row r="3">
      <c r="A3" s="7">
        <f>ROW()-1</f>
        <v/>
      </c>
      <c r="B3" s="8" t="inlineStr">
        <is>
          <t>Barnet</t>
        </is>
      </c>
      <c r="C3" s="8">
        <f>COUNTIF('Results Data'!$B$2:$B$115,$B3)+COUNTIF('Results Data'!$C$2:$C$115,$B3)</f>
        <v/>
      </c>
      <c r="D3" s="8">
        <f>SUMPRODUCT(('Results Data'!$B$2:$B$115=$B3)*('Results Data'!$D$2:$D$115&gt;'Results Data'!$E$2:$E$115))+SUMPRODUCT(('Results Data'!$C$2:$C$115=$B3)*('Results Data'!$E$2:$E$115&gt;'Results Data'!$D$2:$D$115))</f>
        <v/>
      </c>
      <c r="E3" s="8">
        <f>SUMPRODUCT(('Results Data'!$B$2:$B$115=$B3)*('Results Data'!$D$2:$D$115='Results Data'!$E$2:$E$115))+SUMPRODUCT(('Results Data'!$C$2:$C$115=$B3)*('Results Data'!$E$2:$E$115='Results Data'!$D$2:$D$115))</f>
        <v/>
      </c>
      <c r="F3" s="8">
        <f>C3-D3-E3</f>
        <v/>
      </c>
      <c r="G3" s="8">
        <f>SUMIF('Results Data'!$B$2:$B$115,$B3,'Results Data'!$D$2:$D$115)+SUMIF('Results Data'!$C$2:$C$115,$B3,'Results Data'!$E$2:$E$115)</f>
        <v/>
      </c>
      <c r="H3" s="8">
        <f>SUMIF('Results Data'!$B$2:$B$115,$B3,'Results Data'!$E$2:$E$115)+SUMIF('Results Data'!$C$2:$C$115,$B3,'Results Data'!$D$2:$D$115)</f>
        <v/>
      </c>
      <c r="I3" s="8">
        <f>G3-H3</f>
        <v/>
      </c>
      <c r="J3" s="8">
        <f>D3*3+E3</f>
        <v/>
      </c>
    </row>
    <row r="4">
      <c r="A4" s="5">
        <f>ROW()-1</f>
        <v/>
      </c>
      <c r="B4" s="6" t="inlineStr">
        <is>
          <t>Crewe Alexandra</t>
        </is>
      </c>
      <c r="C4" s="6">
        <f>COUNTIF('Results Data'!$B$2:$B$115,$B4)+COUNTIF('Results Data'!$C$2:$C$115,$B4)</f>
        <v/>
      </c>
      <c r="D4" s="6">
        <f>SUMPRODUCT(('Results Data'!$B$2:$B$115=$B4)*('Results Data'!$D$2:$D$115&gt;'Results Data'!$E$2:$E$115))+SUMPRODUCT(('Results Data'!$C$2:$C$115=$B4)*('Results Data'!$E$2:$E$115&gt;'Results Data'!$D$2:$D$115))</f>
        <v/>
      </c>
      <c r="E4" s="6">
        <f>SUMPRODUCT(('Results Data'!$B$2:$B$115=$B4)*('Results Data'!$D$2:$D$115='Results Data'!$E$2:$E$115))+SUMPRODUCT(('Results Data'!$C$2:$C$115=$B4)*('Results Data'!$E$2:$E$115='Results Data'!$D$2:$D$115))</f>
        <v/>
      </c>
      <c r="F4" s="6">
        <f>C4-D4-E4</f>
        <v/>
      </c>
      <c r="G4" s="6">
        <f>SUMIF('Results Data'!$B$2:$B$115,$B4,'Results Data'!$D$2:$D$115)+SUMIF('Results Data'!$C$2:$C$115,$B4,'Results Data'!$E$2:$E$115)</f>
        <v/>
      </c>
      <c r="H4" s="6">
        <f>SUMIF('Results Data'!$B$2:$B$115,$B4,'Results Data'!$E$2:$E$115)+SUMIF('Results Data'!$C$2:$C$115,$B4,'Results Data'!$D$2:$D$115)</f>
        <v/>
      </c>
      <c r="I4" s="6">
        <f>G4-H4</f>
        <v/>
      </c>
      <c r="J4" s="6">
        <f>D4*3+E4</f>
        <v/>
      </c>
    </row>
    <row r="5">
      <c r="A5" s="7">
        <f>ROW()-1</f>
        <v/>
      </c>
      <c r="B5" s="8" t="inlineStr">
        <is>
          <t>Gillingham</t>
        </is>
      </c>
      <c r="C5" s="8">
        <f>COUNTIF('Results Data'!$B$2:$B$115,$B5)+COUNTIF('Results Data'!$C$2:$C$115,$B5)</f>
        <v/>
      </c>
      <c r="D5" s="8">
        <f>SUMPRODUCT(('Results Data'!$B$2:$B$115=$B5)*('Results Data'!$D$2:$D$115&gt;'Results Data'!$E$2:$E$115))+SUMPRODUCT(('Results Data'!$C$2:$C$115=$B5)*('Results Data'!$E$2:$E$115&gt;'Results Data'!$D$2:$D$115))</f>
        <v/>
      </c>
      <c r="E5" s="8">
        <f>SUMPRODUCT(('Results Data'!$B$2:$B$115=$B5)*('Results Data'!$D$2:$D$115='Results Data'!$E$2:$E$115))+SUMPRODUCT(('Results Data'!$C$2:$C$115=$B5)*('Results Data'!$E$2:$E$115='Results Data'!$D$2:$D$115))</f>
        <v/>
      </c>
      <c r="F5" s="8">
        <f>C5-D5-E5</f>
        <v/>
      </c>
      <c r="G5" s="8">
        <f>SUMIF('Results Data'!$B$2:$B$115,$B5,'Results Data'!$D$2:$D$115)+SUMIF('Results Data'!$C$2:$C$115,$B5,'Results Data'!$E$2:$E$115)</f>
        <v/>
      </c>
      <c r="H5" s="8">
        <f>SUMIF('Results Data'!$B$2:$B$115,$B5,'Results Data'!$E$2:$E$115)+SUMIF('Results Data'!$C$2:$C$115,$B5,'Results Data'!$D$2:$D$115)</f>
        <v/>
      </c>
      <c r="I5" s="8">
        <f>G5-H5</f>
        <v/>
      </c>
      <c r="J5" s="8">
        <f>D5*3+E5</f>
        <v/>
      </c>
    </row>
    <row r="6">
      <c r="A6" s="5">
        <f>ROW()-1</f>
        <v/>
      </c>
      <c r="B6" s="6" t="inlineStr">
        <is>
          <t>York</t>
        </is>
      </c>
      <c r="C6" s="6">
        <f>COUNTIF('Results Data'!$B$2:$B$115,$B6)+COUNTIF('Results Data'!$C$2:$C$115,$B6)</f>
        <v/>
      </c>
      <c r="D6" s="6">
        <f>SUMPRODUCT(('Results Data'!$B$2:$B$115=$B6)*('Results Data'!$D$2:$D$115&gt;'Results Data'!$E$2:$E$115))+SUMPRODUCT(('Results Data'!$C$2:$C$115=$B6)*('Results Data'!$E$2:$E$115&gt;'Results Data'!$D$2:$D$115))</f>
        <v/>
      </c>
      <c r="E6" s="6">
        <f>SUMPRODUCT(('Results Data'!$B$2:$B$115=$B6)*('Results Data'!$D$2:$D$115='Results Data'!$E$2:$E$115))+SUMPRODUCT(('Results Data'!$C$2:$C$115=$B6)*('Results Data'!$E$2:$E$115='Results Data'!$D$2:$D$115))</f>
        <v/>
      </c>
      <c r="F6" s="6">
        <f>C6-D6-E6</f>
        <v/>
      </c>
      <c r="G6" s="6">
        <f>SUMIF('Results Data'!$B$2:$B$115,$B6,'Results Data'!$D$2:$D$115)+SUMIF('Results Data'!$C$2:$C$115,$B6,'Results Data'!$E$2:$E$115)</f>
        <v/>
      </c>
      <c r="H6" s="6">
        <f>SUMIF('Results Data'!$B$2:$B$115,$B6,'Results Data'!$E$2:$E$115)+SUMIF('Results Data'!$C$2:$C$115,$B6,'Results Data'!$D$2:$D$115)</f>
        <v/>
      </c>
      <c r="I6" s="6">
        <f>G6-H6</f>
        <v/>
      </c>
      <c r="J6" s="6">
        <f>D6*3+E6</f>
        <v/>
      </c>
    </row>
    <row r="7">
      <c r="A7" s="7">
        <f>ROW()-1</f>
        <v/>
      </c>
      <c r="B7" s="8" t="inlineStr">
        <is>
          <t>Walsall</t>
        </is>
      </c>
      <c r="C7" s="8">
        <f>COUNTIF('Results Data'!$B$2:$B$115,$B7)+COUNTIF('Results Data'!$C$2:$C$115,$B7)</f>
        <v/>
      </c>
      <c r="D7" s="8">
        <f>SUMPRODUCT(('Results Data'!$B$2:$B$115=$B7)*('Results Data'!$D$2:$D$115&gt;'Results Data'!$E$2:$E$115))+SUMPRODUCT(('Results Data'!$C$2:$C$115=$B7)*('Results Data'!$E$2:$E$115&gt;'Results Data'!$D$2:$D$115))</f>
        <v/>
      </c>
      <c r="E7" s="8">
        <f>SUMPRODUCT(('Results Data'!$B$2:$B$115=$B7)*('Results Data'!$D$2:$D$115='Results Data'!$E$2:$E$115))+SUMPRODUCT(('Results Data'!$C$2:$C$115=$B7)*('Results Data'!$E$2:$E$115='Results Data'!$D$2:$D$115))</f>
        <v/>
      </c>
      <c r="F7" s="8">
        <f>C7-D7-E7</f>
        <v/>
      </c>
      <c r="G7" s="8">
        <f>SUMIF('Results Data'!$B$2:$B$115,$B7,'Results Data'!$D$2:$D$115)+SUMIF('Results Data'!$C$2:$C$115,$B7,'Results Data'!$E$2:$E$115)</f>
        <v/>
      </c>
      <c r="H7" s="8">
        <f>SUMIF('Results Data'!$B$2:$B$115,$B7,'Results Data'!$E$2:$E$115)+SUMIF('Results Data'!$C$2:$C$115,$B7,'Results Data'!$D$2:$D$115)</f>
        <v/>
      </c>
      <c r="I7" s="8">
        <f>G7-H7</f>
        <v/>
      </c>
      <c r="J7" s="8">
        <f>D7*3+E7</f>
        <v/>
      </c>
    </row>
    <row r="8">
      <c r="A8" s="5">
        <f>ROW()-1</f>
        <v/>
      </c>
      <c r="B8" s="6" t="inlineStr">
        <is>
          <t>Chesterfield</t>
        </is>
      </c>
      <c r="C8" s="6">
        <f>COUNTIF('Results Data'!$B$2:$B$115,$B8)+COUNTIF('Results Data'!$C$2:$C$115,$B8)</f>
        <v/>
      </c>
      <c r="D8" s="6">
        <f>SUMPRODUCT(('Results Data'!$B$2:$B$115=$B8)*('Results Data'!$D$2:$D$115&gt;'Results Data'!$E$2:$E$115))+SUMPRODUCT(('Results Data'!$C$2:$C$115=$B8)*('Results Data'!$E$2:$E$115&gt;'Results Data'!$D$2:$D$115))</f>
        <v/>
      </c>
      <c r="E8" s="6">
        <f>SUMPRODUCT(('Results Data'!$B$2:$B$115=$B8)*('Results Data'!$D$2:$D$115='Results Data'!$E$2:$E$115))+SUMPRODUCT(('Results Data'!$C$2:$C$115=$B8)*('Results Data'!$E$2:$E$115='Results Data'!$D$2:$D$115))</f>
        <v/>
      </c>
      <c r="F8" s="6">
        <f>C8-D8-E8</f>
        <v/>
      </c>
      <c r="G8" s="6">
        <f>SUMIF('Results Data'!$B$2:$B$115,$B8,'Results Data'!$D$2:$D$115)+SUMIF('Results Data'!$C$2:$C$115,$B8,'Results Data'!$E$2:$E$115)</f>
        <v/>
      </c>
      <c r="H8" s="6">
        <f>SUMIF('Results Data'!$B$2:$B$115,$B8,'Results Data'!$E$2:$E$115)+SUMIF('Results Data'!$C$2:$C$115,$B8,'Results Data'!$D$2:$D$115)</f>
        <v/>
      </c>
      <c r="I8" s="6">
        <f>G8-H8</f>
        <v/>
      </c>
      <c r="J8" s="6">
        <f>D8*3+E8</f>
        <v/>
      </c>
    </row>
    <row r="9">
      <c r="A9" s="7">
        <f>ROW()-1</f>
        <v/>
      </c>
      <c r="B9" s="8" t="inlineStr">
        <is>
          <t>Cheltenham Town</t>
        </is>
      </c>
      <c r="C9" s="8">
        <f>COUNTIF('Results Data'!$B$2:$B$115,$B9)+COUNTIF('Results Data'!$C$2:$C$115,$B9)</f>
        <v/>
      </c>
      <c r="D9" s="8">
        <f>SUMPRODUCT(('Results Data'!$B$2:$B$115=$B9)*('Results Data'!$D$2:$D$115&gt;'Results Data'!$E$2:$E$115))+SUMPRODUCT(('Results Data'!$C$2:$C$115=$B9)*('Results Data'!$E$2:$E$115&gt;'Results Data'!$D$2:$D$115))</f>
        <v/>
      </c>
      <c r="E9" s="8">
        <f>SUMPRODUCT(('Results Data'!$B$2:$B$115=$B9)*('Results Data'!$D$2:$D$115='Results Data'!$E$2:$E$115))+SUMPRODUCT(('Results Data'!$C$2:$C$115=$B9)*('Results Data'!$E$2:$E$115='Results Data'!$D$2:$D$115))</f>
        <v/>
      </c>
      <c r="F9" s="8">
        <f>C9-D9-E9</f>
        <v/>
      </c>
      <c r="G9" s="8">
        <f>SUMIF('Results Data'!$B$2:$B$115,$B9,'Results Data'!$D$2:$D$115)+SUMIF('Results Data'!$C$2:$C$115,$B9,'Results Data'!$E$2:$E$115)</f>
        <v/>
      </c>
      <c r="H9" s="8">
        <f>SUMIF('Results Data'!$B$2:$B$115,$B9,'Results Data'!$E$2:$E$115)+SUMIF('Results Data'!$C$2:$C$115,$B9,'Results Data'!$D$2:$D$115)</f>
        <v/>
      </c>
      <c r="I9" s="8">
        <f>G9-H9</f>
        <v/>
      </c>
      <c r="J9" s="8">
        <f>D9*3+E9</f>
        <v/>
      </c>
    </row>
    <row r="10">
      <c r="A10" s="5">
        <f>ROW()-1</f>
        <v/>
      </c>
      <c r="B10" s="6" t="inlineStr">
        <is>
          <t>Bristol Rvs</t>
        </is>
      </c>
      <c r="C10" s="6">
        <f>COUNTIF('Results Data'!$B$2:$B$115,$B10)+COUNTIF('Results Data'!$C$2:$C$115,$B10)</f>
        <v/>
      </c>
      <c r="D10" s="6">
        <f>SUMPRODUCT(('Results Data'!$B$2:$B$115=$B10)*('Results Data'!$D$2:$D$115&gt;'Results Data'!$E$2:$E$115))+SUMPRODUCT(('Results Data'!$C$2:$C$115=$B10)*('Results Data'!$E$2:$E$115&gt;'Results Data'!$D$2:$D$115))</f>
        <v/>
      </c>
      <c r="E10" s="6">
        <f>SUMPRODUCT(('Results Data'!$B$2:$B$115=$B10)*('Results Data'!$D$2:$D$115='Results Data'!$E$2:$E$115))+SUMPRODUCT(('Results Data'!$C$2:$C$115=$B10)*('Results Data'!$E$2:$E$115='Results Data'!$D$2:$D$115))</f>
        <v/>
      </c>
      <c r="F10" s="6">
        <f>C10-D10-E10</f>
        <v/>
      </c>
      <c r="G10" s="6">
        <f>SUMIF('Results Data'!$B$2:$B$115,$B10,'Results Data'!$D$2:$D$115)+SUMIF('Results Data'!$C$2:$C$115,$B10,'Results Data'!$E$2:$E$115)</f>
        <v/>
      </c>
      <c r="H10" s="6">
        <f>SUMIF('Results Data'!$B$2:$B$115,$B10,'Results Data'!$E$2:$E$115)+SUMIF('Results Data'!$C$2:$C$115,$B10,'Results Data'!$D$2:$D$115)</f>
        <v/>
      </c>
      <c r="I10" s="6">
        <f>G10-H10</f>
        <v/>
      </c>
      <c r="J10" s="6">
        <f>D10*3+E10</f>
        <v/>
      </c>
    </row>
    <row r="11">
      <c r="A11" s="7">
        <f>ROW()-1</f>
        <v/>
      </c>
      <c r="B11" s="8" t="inlineStr">
        <is>
          <t>Rochdale</t>
        </is>
      </c>
      <c r="C11" s="8">
        <f>COUNTIF('Results Data'!$B$2:$B$115,$B11)+COUNTIF('Results Data'!$C$2:$C$115,$B11)</f>
        <v/>
      </c>
      <c r="D11" s="8">
        <f>SUMPRODUCT(('Results Data'!$B$2:$B$115=$B11)*('Results Data'!$D$2:$D$115&gt;'Results Data'!$E$2:$E$115))+SUMPRODUCT(('Results Data'!$C$2:$C$115=$B11)*('Results Data'!$E$2:$E$115&gt;'Results Data'!$D$2:$D$115))</f>
        <v/>
      </c>
      <c r="E11" s="8">
        <f>SUMPRODUCT(('Results Data'!$B$2:$B$115=$B11)*('Results Data'!$D$2:$D$115='Results Data'!$E$2:$E$115))+SUMPRODUCT(('Results Data'!$C$2:$C$115=$B11)*('Results Data'!$E$2:$E$115='Results Data'!$D$2:$D$115))</f>
        <v/>
      </c>
      <c r="F11" s="8">
        <f>C11-D11-E11</f>
        <v/>
      </c>
      <c r="G11" s="8">
        <f>SUMIF('Results Data'!$B$2:$B$115,$B11,'Results Data'!$D$2:$D$115)+SUMIF('Results Data'!$C$2:$C$115,$B11,'Results Data'!$E$2:$E$115)</f>
        <v/>
      </c>
      <c r="H11" s="8">
        <f>SUMIF('Results Data'!$B$2:$B$115,$B11,'Results Data'!$E$2:$E$115)+SUMIF('Results Data'!$C$2:$C$115,$B11,'Results Data'!$D$2:$D$115)</f>
        <v/>
      </c>
      <c r="I11" s="8">
        <f>G11-H11</f>
        <v/>
      </c>
      <c r="J11" s="8">
        <f>D11*3+E11</f>
        <v/>
      </c>
    </row>
    <row r="12">
      <c r="A12" s="5">
        <f>ROW()-1</f>
        <v/>
      </c>
      <c r="B12" s="6" t="inlineStr">
        <is>
          <t>Grimsby Town</t>
        </is>
      </c>
      <c r="C12" s="6">
        <f>COUNTIF('Results Data'!$B$2:$B$115,$B12)+COUNTIF('Results Data'!$C$2:$C$115,$B12)</f>
        <v/>
      </c>
      <c r="D12" s="6">
        <f>SUMPRODUCT(('Results Data'!$B$2:$B$115=$B12)*('Results Data'!$D$2:$D$115&gt;'Results Data'!$E$2:$E$115))+SUMPRODUCT(('Results Data'!$C$2:$C$115=$B12)*('Results Data'!$E$2:$E$115&gt;'Results Data'!$D$2:$D$115))</f>
        <v/>
      </c>
      <c r="E12" s="6">
        <f>SUMPRODUCT(('Results Data'!$B$2:$B$115=$B12)*('Results Data'!$D$2:$D$115='Results Data'!$E$2:$E$115))+SUMPRODUCT(('Results Data'!$C$2:$C$115=$B12)*('Results Data'!$E$2:$E$115='Results Data'!$D$2:$D$115))</f>
        <v/>
      </c>
      <c r="F12" s="6">
        <f>C12-D12-E12</f>
        <v/>
      </c>
      <c r="G12" s="6">
        <f>SUMIF('Results Data'!$B$2:$B$115,$B12,'Results Data'!$D$2:$D$115)+SUMIF('Results Data'!$C$2:$C$115,$B12,'Results Data'!$E$2:$E$115)</f>
        <v/>
      </c>
      <c r="H12" s="6">
        <f>SUMIF('Results Data'!$B$2:$B$115,$B12,'Results Data'!$E$2:$E$115)+SUMIF('Results Data'!$C$2:$C$115,$B12,'Results Data'!$D$2:$D$115)</f>
        <v/>
      </c>
      <c r="I12" s="6">
        <f>G12-H12</f>
        <v/>
      </c>
      <c r="J12" s="6">
        <f>D12*3+E12</f>
        <v/>
      </c>
    </row>
    <row r="13">
      <c r="A13" s="7">
        <f>ROW()-1</f>
        <v/>
      </c>
      <c r="B13" s="8" t="inlineStr">
        <is>
          <t>Newport County</t>
        </is>
      </c>
      <c r="C13" s="8">
        <f>COUNTIF('Results Data'!$B$2:$B$115,$B13)+COUNTIF('Results Data'!$C$2:$C$115,$B13)</f>
        <v/>
      </c>
      <c r="D13" s="8">
        <f>SUMPRODUCT(('Results Data'!$B$2:$B$115=$B13)*('Results Data'!$D$2:$D$115&gt;'Results Data'!$E$2:$E$115))+SUMPRODUCT(('Results Data'!$C$2:$C$115=$B13)*('Results Data'!$E$2:$E$115&gt;'Results Data'!$D$2:$D$115))</f>
        <v/>
      </c>
      <c r="E13" s="8">
        <f>SUMPRODUCT(('Results Data'!$B$2:$B$115=$B13)*('Results Data'!$D$2:$D$115='Results Data'!$E$2:$E$115))+SUMPRODUCT(('Results Data'!$C$2:$C$115=$B13)*('Results Data'!$E$2:$E$115='Results Data'!$D$2:$D$115))</f>
        <v/>
      </c>
      <c r="F13" s="8">
        <f>C13-D13-E13</f>
        <v/>
      </c>
      <c r="G13" s="8">
        <f>SUMIF('Results Data'!$B$2:$B$115,$B13,'Results Data'!$D$2:$D$115)+SUMIF('Results Data'!$C$2:$C$115,$B13,'Results Data'!$E$2:$E$115)</f>
        <v/>
      </c>
      <c r="H13" s="8">
        <f>SUMIF('Results Data'!$B$2:$B$115,$B13,'Results Data'!$E$2:$E$115)+SUMIF('Results Data'!$C$2:$C$115,$B13,'Results Data'!$D$2:$D$115)</f>
        <v/>
      </c>
      <c r="I13" s="8">
        <f>G13-H13</f>
        <v/>
      </c>
      <c r="J13" s="8">
        <f>D13*3+E13</f>
        <v/>
      </c>
    </row>
    <row r="14">
      <c r="A14" s="5">
        <f>ROW()-1</f>
        <v/>
      </c>
      <c r="B14" s="6" t="inlineStr">
        <is>
          <t>Tranmere Rovers</t>
        </is>
      </c>
      <c r="C14" s="6">
        <f>COUNTIF('Results Data'!$B$2:$B$115,$B14)+COUNTIF('Results Data'!$C$2:$C$115,$B14)</f>
        <v/>
      </c>
      <c r="D14" s="6">
        <f>SUMPRODUCT(('Results Data'!$B$2:$B$115=$B14)*('Results Data'!$D$2:$D$115&gt;'Results Data'!$E$2:$E$115))+SUMPRODUCT(('Results Data'!$C$2:$C$115=$B14)*('Results Data'!$E$2:$E$115&gt;'Results Data'!$D$2:$D$115))</f>
        <v/>
      </c>
      <c r="E14" s="6">
        <f>SUMPRODUCT(('Results Data'!$B$2:$B$115=$B14)*('Results Data'!$D$2:$D$115='Results Data'!$E$2:$E$115))+SUMPRODUCT(('Results Data'!$C$2:$C$115=$B14)*('Results Data'!$E$2:$E$115='Results Data'!$D$2:$D$115))</f>
        <v/>
      </c>
      <c r="F14" s="6">
        <f>C14-D14-E14</f>
        <v/>
      </c>
      <c r="G14" s="6">
        <f>SUMIF('Results Data'!$B$2:$B$115,$B14,'Results Data'!$D$2:$D$115)+SUMIF('Results Data'!$C$2:$C$115,$B14,'Results Data'!$E$2:$E$115)</f>
        <v/>
      </c>
      <c r="H14" s="6">
        <f>SUMIF('Results Data'!$B$2:$B$115,$B14,'Results Data'!$E$2:$E$115)+SUMIF('Results Data'!$C$2:$C$115,$B14,'Results Data'!$D$2:$D$115)</f>
        <v/>
      </c>
      <c r="I14" s="6">
        <f>G14-H14</f>
        <v/>
      </c>
      <c r="J14" s="6">
        <f>D14*3+E14</f>
        <v/>
      </c>
    </row>
    <row r="15">
      <c r="A15" s="7">
        <f>ROW()-1</f>
        <v/>
      </c>
      <c r="B15" s="8" t="inlineStr">
        <is>
          <t>Exeter</t>
        </is>
      </c>
      <c r="C15" s="8">
        <f>COUNTIF('Results Data'!$B$2:$B$115,$B15)+COUNTIF('Results Data'!$C$2:$C$115,$B15)</f>
        <v/>
      </c>
      <c r="D15" s="8">
        <f>SUMPRODUCT(('Results Data'!$B$2:$B$115=$B15)*('Results Data'!$D$2:$D$115&gt;'Results Data'!$E$2:$E$115))+SUMPRODUCT(('Results Data'!$C$2:$C$115=$B15)*('Results Data'!$E$2:$E$115&gt;'Results Data'!$D$2:$D$115))</f>
        <v/>
      </c>
      <c r="E15" s="8">
        <f>SUMPRODUCT(('Results Data'!$B$2:$B$115=$B15)*('Results Data'!$D$2:$D$115='Results Data'!$E$2:$E$115))+SUMPRODUCT(('Results Data'!$C$2:$C$115=$B15)*('Results Data'!$E$2:$E$115='Results Data'!$D$2:$D$115))</f>
        <v/>
      </c>
      <c r="F15" s="8">
        <f>C15-D15-E15</f>
        <v/>
      </c>
      <c r="G15" s="8">
        <f>SUMIF('Results Data'!$B$2:$B$115,$B15,'Results Data'!$D$2:$D$115)+SUMIF('Results Data'!$C$2:$C$115,$B15,'Results Data'!$E$2:$E$115)</f>
        <v/>
      </c>
      <c r="H15" s="8">
        <f>SUMIF('Results Data'!$B$2:$B$115,$B15,'Results Data'!$E$2:$E$115)+SUMIF('Results Data'!$C$2:$C$115,$B15,'Results Data'!$D$2:$D$115)</f>
        <v/>
      </c>
      <c r="I15" s="8">
        <f>G15-H15</f>
        <v/>
      </c>
      <c r="J15" s="8">
        <f>D15*3+E15</f>
        <v/>
      </c>
    </row>
    <row r="16">
      <c r="A16" s="5">
        <f>ROW()-1</f>
        <v/>
      </c>
      <c r="B16" s="6" t="inlineStr">
        <is>
          <t>Accrington Stanley</t>
        </is>
      </c>
      <c r="C16" s="6">
        <f>COUNTIF('Results Data'!$B$2:$B$115,$B16)+COUNTIF('Results Data'!$C$2:$C$115,$B16)</f>
        <v/>
      </c>
      <c r="D16" s="6">
        <f>SUMPRODUCT(('Results Data'!$B$2:$B$115=$B16)*('Results Data'!$D$2:$D$115&gt;'Results Data'!$E$2:$E$115))+SUMPRODUCT(('Results Data'!$C$2:$C$115=$B16)*('Results Data'!$E$2:$E$115&gt;'Results Data'!$D$2:$D$115))</f>
        <v/>
      </c>
      <c r="E16" s="6">
        <f>SUMPRODUCT(('Results Data'!$B$2:$B$115=$B16)*('Results Data'!$D$2:$D$115='Results Data'!$E$2:$E$115))+SUMPRODUCT(('Results Data'!$C$2:$C$115=$B16)*('Results Data'!$E$2:$E$115='Results Data'!$D$2:$D$115))</f>
        <v/>
      </c>
      <c r="F16" s="6">
        <f>C16-D16-E16</f>
        <v/>
      </c>
      <c r="G16" s="6">
        <f>SUMIF('Results Data'!$B$2:$B$115,$B16,'Results Data'!$D$2:$D$115)+SUMIF('Results Data'!$C$2:$C$115,$B16,'Results Data'!$E$2:$E$115)</f>
        <v/>
      </c>
      <c r="H16" s="6">
        <f>SUMIF('Results Data'!$B$2:$B$115,$B16,'Results Data'!$E$2:$E$115)+SUMIF('Results Data'!$C$2:$C$115,$B16,'Results Data'!$D$2:$D$115)</f>
        <v/>
      </c>
      <c r="I16" s="6">
        <f>G16-H16</f>
        <v/>
      </c>
      <c r="J16" s="6">
        <f>D16*3+E16</f>
        <v/>
      </c>
    </row>
    <row r="17">
      <c r="A17" s="7">
        <f>ROW()-1</f>
        <v/>
      </c>
      <c r="B17" s="8" t="inlineStr">
        <is>
          <t>Fleetwood Town</t>
        </is>
      </c>
      <c r="C17" s="8">
        <f>COUNTIF('Results Data'!$B$2:$B$115,$B17)+COUNTIF('Results Data'!$C$2:$C$115,$B17)</f>
        <v/>
      </c>
      <c r="D17" s="8">
        <f>SUMPRODUCT(('Results Data'!$B$2:$B$115=$B17)*('Results Data'!$D$2:$D$115&gt;'Results Data'!$E$2:$E$115))+SUMPRODUCT(('Results Data'!$C$2:$C$115=$B17)*('Results Data'!$E$2:$E$115&gt;'Results Data'!$D$2:$D$115))</f>
        <v/>
      </c>
      <c r="E17" s="8">
        <f>SUMPRODUCT(('Results Data'!$B$2:$B$115=$B17)*('Results Data'!$D$2:$D$115='Results Data'!$E$2:$E$115))+SUMPRODUCT(('Results Data'!$C$2:$C$115=$B17)*('Results Data'!$E$2:$E$115='Results Data'!$D$2:$D$115))</f>
        <v/>
      </c>
      <c r="F17" s="8">
        <f>C17-D17-E17</f>
        <v/>
      </c>
      <c r="G17" s="8">
        <f>SUMIF('Results Data'!$B$2:$B$115,$B17,'Results Data'!$D$2:$D$115)+SUMIF('Results Data'!$C$2:$C$115,$B17,'Results Data'!$E$2:$E$115)</f>
        <v/>
      </c>
      <c r="H17" s="8">
        <f>SUMIF('Results Data'!$B$2:$B$115,$B17,'Results Data'!$E$2:$E$115)+SUMIF('Results Data'!$C$2:$C$115,$B17,'Results Data'!$D$2:$D$115)</f>
        <v/>
      </c>
      <c r="I17" s="8">
        <f>G17-H17</f>
        <v/>
      </c>
      <c r="J17" s="8">
        <f>D17*3+E17</f>
        <v/>
      </c>
    </row>
    <row r="18">
      <c r="A18" s="5">
        <f>ROW()-1</f>
        <v/>
      </c>
      <c r="B18" s="6" t="inlineStr">
        <is>
          <t>Swindon Town</t>
        </is>
      </c>
      <c r="C18" s="6">
        <f>COUNTIF('Results Data'!$B$2:$B$115,$B18)+COUNTIF('Results Data'!$C$2:$C$115,$B18)</f>
        <v/>
      </c>
      <c r="D18" s="6">
        <f>SUMPRODUCT(('Results Data'!$B$2:$B$115=$B18)*('Results Data'!$D$2:$D$115&gt;'Results Data'!$E$2:$E$115))+SUMPRODUCT(('Results Data'!$C$2:$C$115=$B18)*('Results Data'!$E$2:$E$115&gt;'Results Data'!$D$2:$D$115))</f>
        <v/>
      </c>
      <c r="E18" s="6">
        <f>SUMPRODUCT(('Results Data'!$B$2:$B$115=$B18)*('Results Data'!$D$2:$D$115='Results Data'!$E$2:$E$115))+SUMPRODUCT(('Results Data'!$C$2:$C$115=$B18)*('Results Data'!$E$2:$E$115='Results Data'!$D$2:$D$115))</f>
        <v/>
      </c>
      <c r="F18" s="6">
        <f>C18-D18-E18</f>
        <v/>
      </c>
      <c r="G18" s="6">
        <f>SUMIF('Results Data'!$B$2:$B$115,$B18,'Results Data'!$D$2:$D$115)+SUMIF('Results Data'!$C$2:$C$115,$B18,'Results Data'!$E$2:$E$115)</f>
        <v/>
      </c>
      <c r="H18" s="6">
        <f>SUMIF('Results Data'!$B$2:$B$115,$B18,'Results Data'!$E$2:$E$115)+SUMIF('Results Data'!$C$2:$C$115,$B18,'Results Data'!$D$2:$D$115)</f>
        <v/>
      </c>
      <c r="I18" s="6">
        <f>G18-H18</f>
        <v/>
      </c>
      <c r="J18" s="6">
        <f>D18*3+E18</f>
        <v/>
      </c>
    </row>
    <row r="19">
      <c r="A19" s="7">
        <f>ROW()-1</f>
        <v/>
      </c>
      <c r="B19" s="8" t="inlineStr">
        <is>
          <t>Shrewsbury Town</t>
        </is>
      </c>
      <c r="C19" s="8">
        <f>COUNTIF('Results Data'!$B$2:$B$115,$B19)+COUNTIF('Results Data'!$C$2:$C$115,$B19)</f>
        <v/>
      </c>
      <c r="D19" s="8">
        <f>SUMPRODUCT(('Results Data'!$B$2:$B$115=$B19)*('Results Data'!$D$2:$D$115&gt;'Results Data'!$E$2:$E$115))+SUMPRODUCT(('Results Data'!$C$2:$C$115=$B19)*('Results Data'!$E$2:$E$115&gt;'Results Data'!$D$2:$D$115))</f>
        <v/>
      </c>
      <c r="E19" s="8">
        <f>SUMPRODUCT(('Results Data'!$B$2:$B$115=$B19)*('Results Data'!$D$2:$D$115='Results Data'!$E$2:$E$115))+SUMPRODUCT(('Results Data'!$C$2:$C$115=$B19)*('Results Data'!$E$2:$E$115='Results Data'!$D$2:$D$115))</f>
        <v/>
      </c>
      <c r="F19" s="8">
        <f>C19-D19-E19</f>
        <v/>
      </c>
      <c r="G19" s="8">
        <f>SUMIF('Results Data'!$B$2:$B$115,$B19,'Results Data'!$D$2:$D$115)+SUMIF('Results Data'!$C$2:$C$115,$B19,'Results Data'!$E$2:$E$115)</f>
        <v/>
      </c>
      <c r="H19" s="8">
        <f>SUMIF('Results Data'!$B$2:$B$115,$B19,'Results Data'!$E$2:$E$115)+SUMIF('Results Data'!$C$2:$C$115,$B19,'Results Data'!$D$2:$D$115)</f>
        <v/>
      </c>
      <c r="I19" s="8">
        <f>G19-H19</f>
        <v/>
      </c>
      <c r="J19" s="8">
        <f>D19*3+E19</f>
        <v/>
      </c>
    </row>
    <row r="20">
      <c r="A20" s="5">
        <f>ROW()-1</f>
        <v/>
      </c>
      <c r="B20" s="6" t="inlineStr">
        <is>
          <t>Colchester United</t>
        </is>
      </c>
      <c r="C20" s="6">
        <f>COUNTIF('Results Data'!$B$2:$B$115,$B20)+COUNTIF('Results Data'!$C$2:$C$115,$B20)</f>
        <v/>
      </c>
      <c r="D20" s="6">
        <f>SUMPRODUCT(('Results Data'!$B$2:$B$115=$B20)*('Results Data'!$D$2:$D$115&gt;'Results Data'!$E$2:$E$115))+SUMPRODUCT(('Results Data'!$C$2:$C$115=$B20)*('Results Data'!$E$2:$E$115&gt;'Results Data'!$D$2:$D$115))</f>
        <v/>
      </c>
      <c r="E20" s="6">
        <f>SUMPRODUCT(('Results Data'!$B$2:$B$115=$B20)*('Results Data'!$D$2:$D$115='Results Data'!$E$2:$E$115))+SUMPRODUCT(('Results Data'!$C$2:$C$115=$B20)*('Results Data'!$E$2:$E$115='Results Data'!$D$2:$D$115))</f>
        <v/>
      </c>
      <c r="F20" s="6">
        <f>C20-D20-E20</f>
        <v/>
      </c>
      <c r="G20" s="6">
        <f>SUMIF('Results Data'!$B$2:$B$115,$B20,'Results Data'!$D$2:$D$115)+SUMIF('Results Data'!$C$2:$C$115,$B20,'Results Data'!$E$2:$E$115)</f>
        <v/>
      </c>
      <c r="H20" s="6">
        <f>SUMIF('Results Data'!$B$2:$B$115,$B20,'Results Data'!$E$2:$E$115)+SUMIF('Results Data'!$C$2:$C$115,$B20,'Results Data'!$D$2:$D$115)</f>
        <v/>
      </c>
      <c r="I20" s="6">
        <f>G20-H20</f>
        <v/>
      </c>
      <c r="J20" s="6">
        <f>D20*3+E20</f>
        <v/>
      </c>
    </row>
    <row r="21">
      <c r="A21" s="7">
        <f>ROW()-1</f>
        <v/>
      </c>
      <c r="B21" s="8" t="inlineStr">
        <is>
          <t>Rotherham United</t>
        </is>
      </c>
      <c r="C21" s="8">
        <f>COUNTIF('Results Data'!$B$2:$B$115,$B21)+COUNTIF('Results Data'!$C$2:$C$115,$B21)</f>
        <v/>
      </c>
      <c r="D21" s="8">
        <f>SUMPRODUCT(('Results Data'!$B$2:$B$115=$B21)*('Results Data'!$D$2:$D$115&gt;'Results Data'!$E$2:$E$115))+SUMPRODUCT(('Results Data'!$C$2:$C$115=$B21)*('Results Data'!$E$2:$E$115&gt;'Results Data'!$D$2:$D$115))</f>
        <v/>
      </c>
      <c r="E21" s="8">
        <f>SUMPRODUCT(('Results Data'!$B$2:$B$115=$B21)*('Results Data'!$D$2:$D$115='Results Data'!$E$2:$E$115))+SUMPRODUCT(('Results Data'!$C$2:$C$115=$B21)*('Results Data'!$E$2:$E$115='Results Data'!$D$2:$D$115))</f>
        <v/>
      </c>
      <c r="F21" s="8">
        <f>C21-D21-E21</f>
        <v/>
      </c>
      <c r="G21" s="8">
        <f>SUMIF('Results Data'!$B$2:$B$115,$B21,'Results Data'!$D$2:$D$115)+SUMIF('Results Data'!$C$2:$C$115,$B21,'Results Data'!$E$2:$E$115)</f>
        <v/>
      </c>
      <c r="H21" s="8">
        <f>SUMIF('Results Data'!$B$2:$B$115,$B21,'Results Data'!$E$2:$E$115)+SUMIF('Results Data'!$C$2:$C$115,$B21,'Results Data'!$D$2:$D$115)</f>
        <v/>
      </c>
      <c r="I21" s="8">
        <f>G21-H21</f>
        <v/>
      </c>
      <c r="J21" s="8">
        <f>D21*3+E21</f>
        <v/>
      </c>
    </row>
    <row r="22">
      <c r="A22" s="5">
        <f>ROW()-1</f>
        <v/>
      </c>
      <c r="B22" s="6" t="inlineStr">
        <is>
          <t>Oldham Athletic</t>
        </is>
      </c>
      <c r="C22" s="6">
        <f>COUNTIF('Results Data'!$B$2:$B$115,$B22)+COUNTIF('Results Data'!$C$2:$C$115,$B22)</f>
        <v/>
      </c>
      <c r="D22" s="6">
        <f>SUMPRODUCT(('Results Data'!$B$2:$B$115=$B22)*('Results Data'!$D$2:$D$115&gt;'Results Data'!$E$2:$E$115))+SUMPRODUCT(('Results Data'!$C$2:$C$115=$B22)*('Results Data'!$E$2:$E$115&gt;'Results Data'!$D$2:$D$115))</f>
        <v/>
      </c>
      <c r="E22" s="6">
        <f>SUMPRODUCT(('Results Data'!$B$2:$B$115=$B22)*('Results Data'!$D$2:$D$115='Results Data'!$E$2:$E$115))+SUMPRODUCT(('Results Data'!$C$2:$C$115=$B22)*('Results Data'!$E$2:$E$115='Results Data'!$D$2:$D$115))</f>
        <v/>
      </c>
      <c r="F22" s="6">
        <f>C22-D22-E22</f>
        <v/>
      </c>
      <c r="G22" s="6">
        <f>SUMIF('Results Data'!$B$2:$B$115,$B22,'Results Data'!$D$2:$D$115)+SUMIF('Results Data'!$C$2:$C$115,$B22,'Results Data'!$E$2:$E$115)</f>
        <v/>
      </c>
      <c r="H22" s="6">
        <f>SUMIF('Results Data'!$B$2:$B$115,$B22,'Results Data'!$E$2:$E$115)+SUMIF('Results Data'!$C$2:$C$115,$B22,'Results Data'!$D$2:$D$115)</f>
        <v/>
      </c>
      <c r="I22" s="6">
        <f>G22-H22</f>
        <v/>
      </c>
      <c r="J22" s="6">
        <f>D22*3+E22</f>
        <v/>
      </c>
    </row>
    <row r="23">
      <c r="A23" s="7">
        <f>ROW()-1</f>
        <v/>
      </c>
      <c r="B23" s="8" t="inlineStr">
        <is>
          <t>Port Vale</t>
        </is>
      </c>
      <c r="C23" s="8">
        <f>COUNTIF('Results Data'!$B$2:$B$115,$B23)+COUNTIF('Results Data'!$C$2:$C$115,$B23)</f>
        <v/>
      </c>
      <c r="D23" s="8">
        <f>SUMPRODUCT(('Results Data'!$B$2:$B$115=$B23)*('Results Data'!$D$2:$D$115&gt;'Results Data'!$E$2:$E$115))+SUMPRODUCT(('Results Data'!$C$2:$C$115=$B23)*('Results Data'!$E$2:$E$115&gt;'Results Data'!$D$2:$D$115))</f>
        <v/>
      </c>
      <c r="E23" s="8">
        <f>SUMPRODUCT(('Results Data'!$B$2:$B$115=$B23)*('Results Data'!$D$2:$D$115='Results Data'!$E$2:$E$115))+SUMPRODUCT(('Results Data'!$C$2:$C$115=$B23)*('Results Data'!$E$2:$E$115='Results Data'!$D$2:$D$115))</f>
        <v/>
      </c>
      <c r="F23" s="8">
        <f>C23-D23-E23</f>
        <v/>
      </c>
      <c r="G23" s="8">
        <f>SUMIF('Results Data'!$B$2:$B$115,$B23,'Results Data'!$D$2:$D$115)+SUMIF('Results Data'!$C$2:$C$115,$B23,'Results Data'!$E$2:$E$115)</f>
        <v/>
      </c>
      <c r="H23" s="8">
        <f>SUMIF('Results Data'!$B$2:$B$115,$B23,'Results Data'!$E$2:$E$115)+SUMIF('Results Data'!$C$2:$C$115,$B23,'Results Data'!$D$2:$D$115)</f>
        <v/>
      </c>
      <c r="I23" s="8">
        <f>G23-H23</f>
        <v/>
      </c>
      <c r="J23" s="8">
        <f>D23*3+E23</f>
        <v/>
      </c>
    </row>
    <row r="24">
      <c r="A24" s="5">
        <f>ROW()-1</f>
        <v/>
      </c>
      <c r="B24" s="6" t="inlineStr">
        <is>
          <t>Northampton Town</t>
        </is>
      </c>
      <c r="C24" s="6">
        <f>COUNTIF('Results Data'!$B$2:$B$115,$B24)+COUNTIF('Results Data'!$C$2:$C$115,$B24)</f>
        <v/>
      </c>
      <c r="D24" s="6">
        <f>SUMPRODUCT(('Results Data'!$B$2:$B$115=$B24)*('Results Data'!$D$2:$D$115&gt;'Results Data'!$E$2:$E$115))+SUMPRODUCT(('Results Data'!$C$2:$C$115=$B24)*('Results Data'!$E$2:$E$115&gt;'Results Data'!$D$2:$D$115))</f>
        <v/>
      </c>
      <c r="E24" s="6">
        <f>SUMPRODUCT(('Results Data'!$B$2:$B$115=$B24)*('Results Data'!$D$2:$D$115='Results Data'!$E$2:$E$115))+SUMPRODUCT(('Results Data'!$C$2:$C$115=$B24)*('Results Data'!$E$2:$E$115='Results Data'!$D$2:$D$115))</f>
        <v/>
      </c>
      <c r="F24" s="6">
        <f>C24-D24-E24</f>
        <v/>
      </c>
      <c r="G24" s="6">
        <f>SUMIF('Results Data'!$B$2:$B$115,$B24,'Results Data'!$D$2:$D$115)+SUMIF('Results Data'!$C$2:$C$115,$B24,'Results Data'!$E$2:$E$115)</f>
        <v/>
      </c>
      <c r="H24" s="6">
        <f>SUMIF('Results Data'!$B$2:$B$115,$B24,'Results Data'!$E$2:$E$115)+SUMIF('Results Data'!$C$2:$C$115,$B24,'Results Data'!$D$2:$D$115)</f>
        <v/>
      </c>
      <c r="I24" s="6">
        <f>G24-H24</f>
        <v/>
      </c>
      <c r="J24" s="6">
        <f>D24*3+E24</f>
        <v/>
      </c>
    </row>
    <row r="25">
      <c r="A25" s="7">
        <f>ROW()-1</f>
        <v/>
      </c>
      <c r="B25" s="8" t="inlineStr">
        <is>
          <t>Crawley Town</t>
        </is>
      </c>
      <c r="C25" s="8">
        <f>COUNTIF('Results Data'!$B$2:$B$115,$B25)+COUNTIF('Results Data'!$C$2:$C$115,$B25)</f>
        <v/>
      </c>
      <c r="D25" s="8">
        <f>SUMPRODUCT(('Results Data'!$B$2:$B$115=$B25)*('Results Data'!$D$2:$D$115&gt;'Results Data'!$E$2:$E$115))+SUMPRODUCT(('Results Data'!$C$2:$C$115=$B25)*('Results Data'!$E$2:$E$115&gt;'Results Data'!$D$2:$D$115))</f>
        <v/>
      </c>
      <c r="E25" s="8">
        <f>SUMPRODUCT(('Results Data'!$B$2:$B$115=$B25)*('Results Data'!$D$2:$D$115='Results Data'!$E$2:$E$115))+SUMPRODUCT(('Results Data'!$C$2:$C$115=$B25)*('Results Data'!$E$2:$E$115='Results Data'!$D$2:$D$115))</f>
        <v/>
      </c>
      <c r="F25" s="8">
        <f>C25-D25-E25</f>
        <v/>
      </c>
      <c r="G25" s="8">
        <f>SUMIF('Results Data'!$B$2:$B$115,$B25,'Results Data'!$D$2:$D$115)+SUMIF('Results Data'!$C$2:$C$115,$B25,'Results Data'!$E$2:$E$115)</f>
        <v/>
      </c>
      <c r="H25" s="8">
        <f>SUMIF('Results Data'!$B$2:$B$115,$B25,'Results Data'!$E$2:$E$115)+SUMIF('Results Data'!$C$2:$C$115,$B25,'Results Data'!$D$2:$D$115)</f>
        <v/>
      </c>
      <c r="I25" s="8">
        <f>G25-H25</f>
        <v/>
      </c>
      <c r="J25" s="8">
        <f>D25*3+E25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19"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Chesterfield</t>
        </is>
      </c>
      <c r="B2" s="6">
        <f>'Chesterfield'!$E$14</f>
        <v/>
      </c>
      <c r="C2" s="9">
        <f>'Chesterfield'!$E$17</f>
        <v/>
      </c>
      <c r="D2" s="9">
        <f>'Chesterfield'!$E$19</f>
        <v/>
      </c>
      <c r="E2" s="9">
        <f>'Chesterfield'!$E$21</f>
        <v/>
      </c>
      <c r="F2" s="9">
        <f>'Chesterfield'!$E$23</f>
        <v/>
      </c>
      <c r="G2" s="9">
        <f>'Chesterfield'!$E$25</f>
        <v/>
      </c>
      <c r="H2" s="9">
        <f>'Chesterfield'!$E$29</f>
        <v/>
      </c>
      <c r="I2" s="9">
        <f>'Chesterfield'!$E$30</f>
        <v/>
      </c>
      <c r="J2" s="9">
        <f>'Chesterfield'!$E$33</f>
        <v/>
      </c>
      <c r="K2" s="9">
        <f>'Chesterfield'!$E$34</f>
        <v/>
      </c>
      <c r="L2" s="9">
        <f>'Chesterfield'!$E$35</f>
        <v/>
      </c>
    </row>
    <row r="3">
      <c r="A3" s="8" t="inlineStr">
        <is>
          <t>Accrington Stanley</t>
        </is>
      </c>
      <c r="B3" s="8">
        <f>'Accrington Stanley'!$E$14</f>
        <v/>
      </c>
      <c r="C3" s="10">
        <f>'Accrington Stanley'!$E$17</f>
        <v/>
      </c>
      <c r="D3" s="10">
        <f>'Accrington Stanley'!$E$19</f>
        <v/>
      </c>
      <c r="E3" s="10">
        <f>'Accrington Stanley'!$E$21</f>
        <v/>
      </c>
      <c r="F3" s="10">
        <f>'Accrington Stanley'!$E$23</f>
        <v/>
      </c>
      <c r="G3" s="10">
        <f>'Accrington Stanley'!$E$25</f>
        <v/>
      </c>
      <c r="H3" s="10">
        <f>'Accrington Stanley'!$E$29</f>
        <v/>
      </c>
      <c r="I3" s="10">
        <f>'Accrington Stanley'!$E$30</f>
        <v/>
      </c>
      <c r="J3" s="10">
        <f>'Accrington Stanley'!$E$33</f>
        <v/>
      </c>
      <c r="K3" s="10">
        <f>'Accrington Stanley'!$E$34</f>
        <v/>
      </c>
      <c r="L3" s="10">
        <f>'Accrington Stanley'!$E$35</f>
        <v/>
      </c>
    </row>
    <row r="4">
      <c r="A4" s="6" t="inlineStr">
        <is>
          <t>Crawley Town</t>
        </is>
      </c>
      <c r="B4" s="6">
        <f>'Crawley Town'!$E$12</f>
        <v/>
      </c>
      <c r="C4" s="9">
        <f>'Crawley Town'!$E$15</f>
        <v/>
      </c>
      <c r="D4" s="9">
        <f>'Crawley Town'!$E$17</f>
        <v/>
      </c>
      <c r="E4" s="9">
        <f>'Crawley Town'!$E$19</f>
        <v/>
      </c>
      <c r="F4" s="9">
        <f>'Crawley Town'!$E$21</f>
        <v/>
      </c>
      <c r="G4" s="9">
        <f>'Crawley Town'!$E$23</f>
        <v/>
      </c>
      <c r="H4" s="9">
        <f>'Crawley Town'!$E$27</f>
        <v/>
      </c>
      <c r="I4" s="9">
        <f>'Crawley Town'!$E$28</f>
        <v/>
      </c>
      <c r="J4" s="9">
        <f>'Crawley Town'!$E$31</f>
        <v/>
      </c>
      <c r="K4" s="9">
        <f>'Crawley Town'!$E$32</f>
        <v/>
      </c>
      <c r="L4" s="9">
        <f>'Crawley Town'!$E$33</f>
        <v/>
      </c>
    </row>
    <row r="5">
      <c r="A5" s="8" t="inlineStr">
        <is>
          <t>York</t>
        </is>
      </c>
      <c r="B5" s="8">
        <f>'York'!$E$13</f>
        <v/>
      </c>
      <c r="C5" s="10">
        <f>'York'!$E$16</f>
        <v/>
      </c>
      <c r="D5" s="10">
        <f>'York'!$E$18</f>
        <v/>
      </c>
      <c r="E5" s="10">
        <f>'York'!$E$20</f>
        <v/>
      </c>
      <c r="F5" s="10">
        <f>'York'!$E$22</f>
        <v/>
      </c>
      <c r="G5" s="10">
        <f>'York'!$E$24</f>
        <v/>
      </c>
      <c r="H5" s="10">
        <f>'York'!$E$28</f>
        <v/>
      </c>
      <c r="I5" s="10">
        <f>'York'!$E$29</f>
        <v/>
      </c>
      <c r="J5" s="10">
        <f>'York'!$E$32</f>
        <v/>
      </c>
      <c r="K5" s="10">
        <f>'York'!$E$33</f>
        <v/>
      </c>
      <c r="L5" s="10">
        <f>'York'!$E$34</f>
        <v/>
      </c>
    </row>
    <row r="6">
      <c r="A6" s="6" t="inlineStr">
        <is>
          <t>Barnet</t>
        </is>
      </c>
      <c r="B6" s="6">
        <f>'Barnet'!$E$12</f>
        <v/>
      </c>
      <c r="C6" s="9">
        <f>'Barnet'!$E$15</f>
        <v/>
      </c>
      <c r="D6" s="9">
        <f>'Barnet'!$E$17</f>
        <v/>
      </c>
      <c r="E6" s="9">
        <f>'Barnet'!$E$19</f>
        <v/>
      </c>
      <c r="F6" s="9">
        <f>'Barnet'!$E$21</f>
        <v/>
      </c>
      <c r="G6" s="9">
        <f>'Barnet'!$E$23</f>
        <v/>
      </c>
      <c r="H6" s="9">
        <f>'Barnet'!$E$27</f>
        <v/>
      </c>
      <c r="I6" s="9">
        <f>'Barnet'!$E$28</f>
        <v/>
      </c>
      <c r="J6" s="9">
        <f>'Barnet'!$E$31</f>
        <v/>
      </c>
      <c r="K6" s="9">
        <f>'Barnet'!$E$32</f>
        <v/>
      </c>
      <c r="L6" s="9">
        <f>'Barnet'!$E$33</f>
        <v/>
      </c>
    </row>
    <row r="7">
      <c r="A7" s="8" t="inlineStr">
        <is>
          <t>Grimsby Town</t>
        </is>
      </c>
      <c r="B7" s="8">
        <f>'Grimsby Town'!$E$14</f>
        <v/>
      </c>
      <c r="C7" s="10">
        <f>'Grimsby Town'!$E$17</f>
        <v/>
      </c>
      <c r="D7" s="10">
        <f>'Grimsby Town'!$E$19</f>
        <v/>
      </c>
      <c r="E7" s="10">
        <f>'Grimsby Town'!$E$21</f>
        <v/>
      </c>
      <c r="F7" s="10">
        <f>'Grimsby Town'!$E$23</f>
        <v/>
      </c>
      <c r="G7" s="10">
        <f>'Grimsby Town'!$E$25</f>
        <v/>
      </c>
      <c r="H7" s="10">
        <f>'Grimsby Town'!$E$29</f>
        <v/>
      </c>
      <c r="I7" s="10">
        <f>'Grimsby Town'!$E$30</f>
        <v/>
      </c>
      <c r="J7" s="10">
        <f>'Grimsby Town'!$E$33</f>
        <v/>
      </c>
      <c r="K7" s="10">
        <f>'Grimsby Town'!$E$34</f>
        <v/>
      </c>
      <c r="L7" s="10">
        <f>'Grimsby Town'!$E$35</f>
        <v/>
      </c>
    </row>
    <row r="8">
      <c r="A8" s="6" t="inlineStr">
        <is>
          <t>Rotherham United</t>
        </is>
      </c>
      <c r="B8" s="6">
        <f>'Rotherham United'!$E$14</f>
        <v/>
      </c>
      <c r="C8" s="9">
        <f>'Rotherham United'!$E$17</f>
        <v/>
      </c>
      <c r="D8" s="9">
        <f>'Rotherham United'!$E$19</f>
        <v/>
      </c>
      <c r="E8" s="9">
        <f>'Rotherham United'!$E$21</f>
        <v/>
      </c>
      <c r="F8" s="9">
        <f>'Rotherham United'!$E$23</f>
        <v/>
      </c>
      <c r="G8" s="9">
        <f>'Rotherham United'!$E$25</f>
        <v/>
      </c>
      <c r="H8" s="9">
        <f>'Rotherham United'!$E$29</f>
        <v/>
      </c>
      <c r="I8" s="9">
        <f>'Rotherham United'!$E$30</f>
        <v/>
      </c>
      <c r="J8" s="9">
        <f>'Rotherham United'!$E$33</f>
        <v/>
      </c>
      <c r="K8" s="9">
        <f>'Rotherham United'!$E$34</f>
        <v/>
      </c>
      <c r="L8" s="9">
        <f>'Rotherham United'!$E$35</f>
        <v/>
      </c>
    </row>
    <row r="9">
      <c r="A9" s="8" t="inlineStr">
        <is>
          <t>Shrewsbury Town</t>
        </is>
      </c>
      <c r="B9" s="8">
        <f>'Shrewsbury Town'!$E$14</f>
        <v/>
      </c>
      <c r="C9" s="10">
        <f>'Shrewsbury Town'!$E$17</f>
        <v/>
      </c>
      <c r="D9" s="10">
        <f>'Shrewsbury Town'!$E$19</f>
        <v/>
      </c>
      <c r="E9" s="10">
        <f>'Shrewsbury Town'!$E$21</f>
        <v/>
      </c>
      <c r="F9" s="10">
        <f>'Shrewsbury Town'!$E$23</f>
        <v/>
      </c>
      <c r="G9" s="10">
        <f>'Shrewsbury Town'!$E$25</f>
        <v/>
      </c>
      <c r="H9" s="10">
        <f>'Shrewsbury Town'!$E$29</f>
        <v/>
      </c>
      <c r="I9" s="10">
        <f>'Shrewsbury Town'!$E$30</f>
        <v/>
      </c>
      <c r="J9" s="10">
        <f>'Shrewsbury Town'!$E$33</f>
        <v/>
      </c>
      <c r="K9" s="10">
        <f>'Shrewsbury Town'!$E$34</f>
        <v/>
      </c>
      <c r="L9" s="10">
        <f>'Shrewsbury Town'!$E$35</f>
        <v/>
      </c>
    </row>
    <row r="10">
      <c r="A10" s="6" t="inlineStr">
        <is>
          <t>Bristol Rvs</t>
        </is>
      </c>
      <c r="B10" s="6">
        <f>'Bristol Rvs'!$E$14</f>
        <v/>
      </c>
      <c r="C10" s="9">
        <f>'Bristol Rvs'!$E$17</f>
        <v/>
      </c>
      <c r="D10" s="9">
        <f>'Bristol Rvs'!$E$19</f>
        <v/>
      </c>
      <c r="E10" s="9">
        <f>'Bristol Rvs'!$E$21</f>
        <v/>
      </c>
      <c r="F10" s="9">
        <f>'Bristol Rvs'!$E$23</f>
        <v/>
      </c>
      <c r="G10" s="9">
        <f>'Bristol Rvs'!$E$25</f>
        <v/>
      </c>
      <c r="H10" s="9">
        <f>'Bristol Rvs'!$E$29</f>
        <v/>
      </c>
      <c r="I10" s="9">
        <f>'Bristol Rvs'!$E$30</f>
        <v/>
      </c>
      <c r="J10" s="9">
        <f>'Bristol Rvs'!$E$33</f>
        <v/>
      </c>
      <c r="K10" s="9">
        <f>'Bristol Rvs'!$E$34</f>
        <v/>
      </c>
      <c r="L10" s="9">
        <f>'Bristol Rvs'!$E$35</f>
        <v/>
      </c>
    </row>
    <row r="11">
      <c r="A11" s="8" t="inlineStr">
        <is>
          <t>Walsall</t>
        </is>
      </c>
      <c r="B11" s="8">
        <f>'Walsall'!$E$13</f>
        <v/>
      </c>
      <c r="C11" s="10">
        <f>'Walsall'!$E$16</f>
        <v/>
      </c>
      <c r="D11" s="10">
        <f>'Walsall'!$E$18</f>
        <v/>
      </c>
      <c r="E11" s="10">
        <f>'Walsall'!$E$20</f>
        <v/>
      </c>
      <c r="F11" s="10">
        <f>'Walsall'!$E$22</f>
        <v/>
      </c>
      <c r="G11" s="10">
        <f>'Walsall'!$E$24</f>
        <v/>
      </c>
      <c r="H11" s="10">
        <f>'Walsall'!$E$28</f>
        <v/>
      </c>
      <c r="I11" s="10">
        <f>'Walsall'!$E$29</f>
        <v/>
      </c>
      <c r="J11" s="10">
        <f>'Walsall'!$E$32</f>
        <v/>
      </c>
      <c r="K11" s="10">
        <f>'Walsall'!$E$33</f>
        <v/>
      </c>
      <c r="L11" s="10">
        <f>'Walsall'!$E$34</f>
        <v/>
      </c>
    </row>
    <row r="12">
      <c r="A12" s="6" t="inlineStr">
        <is>
          <t>Gillingham</t>
        </is>
      </c>
      <c r="B12" s="6">
        <f>'Gillingham'!$E$14</f>
        <v/>
      </c>
      <c r="C12" s="9">
        <f>'Gillingham'!$E$17</f>
        <v/>
      </c>
      <c r="D12" s="9">
        <f>'Gillingham'!$E$19</f>
        <v/>
      </c>
      <c r="E12" s="9">
        <f>'Gillingham'!$E$21</f>
        <v/>
      </c>
      <c r="F12" s="9">
        <f>'Gillingham'!$E$23</f>
        <v/>
      </c>
      <c r="G12" s="9">
        <f>'Gillingham'!$E$25</f>
        <v/>
      </c>
      <c r="H12" s="9">
        <f>'Gillingham'!$E$29</f>
        <v/>
      </c>
      <c r="I12" s="9">
        <f>'Gillingham'!$E$30</f>
        <v/>
      </c>
      <c r="J12" s="9">
        <f>'Gillingham'!$E$33</f>
        <v/>
      </c>
      <c r="K12" s="9">
        <f>'Gillingham'!$E$34</f>
        <v/>
      </c>
      <c r="L12" s="9">
        <f>'Gillingham'!$E$35</f>
        <v/>
      </c>
    </row>
    <row r="13">
      <c r="A13" s="8" t="inlineStr">
        <is>
          <t>Exeter</t>
        </is>
      </c>
      <c r="B13" s="8">
        <f>'Exeter'!$E$14</f>
        <v/>
      </c>
      <c r="C13" s="10">
        <f>'Exeter'!$E$17</f>
        <v/>
      </c>
      <c r="D13" s="10">
        <f>'Exeter'!$E$19</f>
        <v/>
      </c>
      <c r="E13" s="10">
        <f>'Exeter'!$E$21</f>
        <v/>
      </c>
      <c r="F13" s="10">
        <f>'Exeter'!$E$23</f>
        <v/>
      </c>
      <c r="G13" s="10">
        <f>'Exeter'!$E$25</f>
        <v/>
      </c>
      <c r="H13" s="10">
        <f>'Exeter'!$E$29</f>
        <v/>
      </c>
      <c r="I13" s="10">
        <f>'Exeter'!$E$30</f>
        <v/>
      </c>
      <c r="J13" s="10">
        <f>'Exeter'!$E$33</f>
        <v/>
      </c>
      <c r="K13" s="10">
        <f>'Exeter'!$E$34</f>
        <v/>
      </c>
      <c r="L13" s="10">
        <f>'Exeter'!$E$35</f>
        <v/>
      </c>
    </row>
    <row r="14">
      <c r="A14" s="6" t="inlineStr">
        <is>
          <t>Newport County</t>
        </is>
      </c>
      <c r="B14" s="6">
        <f>'Newport County'!$E$14</f>
        <v/>
      </c>
      <c r="C14" s="9">
        <f>'Newport County'!$E$17</f>
        <v/>
      </c>
      <c r="D14" s="9">
        <f>'Newport County'!$E$19</f>
        <v/>
      </c>
      <c r="E14" s="9">
        <f>'Newport County'!$E$21</f>
        <v/>
      </c>
      <c r="F14" s="9">
        <f>'Newport County'!$E$23</f>
        <v/>
      </c>
      <c r="G14" s="9">
        <f>'Newport County'!$E$25</f>
        <v/>
      </c>
      <c r="H14" s="9">
        <f>'Newport County'!$E$29</f>
        <v/>
      </c>
      <c r="I14" s="9">
        <f>'Newport County'!$E$30</f>
        <v/>
      </c>
      <c r="J14" s="9">
        <f>'Newport County'!$E$33</f>
        <v/>
      </c>
      <c r="K14" s="9">
        <f>'Newport County'!$E$34</f>
        <v/>
      </c>
      <c r="L14" s="9">
        <f>'Newport County'!$E$35</f>
        <v/>
      </c>
    </row>
    <row r="15">
      <c r="A15" s="8" t="inlineStr">
        <is>
          <t>Port Vale</t>
        </is>
      </c>
      <c r="B15" s="8">
        <f>'Port Vale'!$E$12</f>
        <v/>
      </c>
      <c r="C15" s="10">
        <f>'Port Vale'!$E$15</f>
        <v/>
      </c>
      <c r="D15" s="10">
        <f>'Port Vale'!$E$17</f>
        <v/>
      </c>
      <c r="E15" s="10">
        <f>'Port Vale'!$E$19</f>
        <v/>
      </c>
      <c r="F15" s="10">
        <f>'Port Vale'!$E$21</f>
        <v/>
      </c>
      <c r="G15" s="10">
        <f>'Port Vale'!$E$23</f>
        <v/>
      </c>
      <c r="H15" s="10">
        <f>'Port Vale'!$E$27</f>
        <v/>
      </c>
      <c r="I15" s="10">
        <f>'Port Vale'!$E$28</f>
        <v/>
      </c>
      <c r="J15" s="10">
        <f>'Port Vale'!$E$31</f>
        <v/>
      </c>
      <c r="K15" s="10">
        <f>'Port Vale'!$E$32</f>
        <v/>
      </c>
      <c r="L15" s="10">
        <f>'Port Vale'!$E$33</f>
        <v/>
      </c>
    </row>
    <row r="16">
      <c r="A16" s="6" t="inlineStr">
        <is>
          <t>Tranmere Rovers</t>
        </is>
      </c>
      <c r="B16" s="6">
        <f>'Tranmere Rovers'!$E$14</f>
        <v/>
      </c>
      <c r="C16" s="9">
        <f>'Tranmere Rovers'!$E$17</f>
        <v/>
      </c>
      <c r="D16" s="9">
        <f>'Tranmere Rovers'!$E$19</f>
        <v/>
      </c>
      <c r="E16" s="9">
        <f>'Tranmere Rovers'!$E$21</f>
        <v/>
      </c>
      <c r="F16" s="9">
        <f>'Tranmere Rovers'!$E$23</f>
        <v/>
      </c>
      <c r="G16" s="9">
        <f>'Tranmere Rovers'!$E$25</f>
        <v/>
      </c>
      <c r="H16" s="9">
        <f>'Tranmere Rovers'!$E$29</f>
        <v/>
      </c>
      <c r="I16" s="9">
        <f>'Tranmere Rovers'!$E$30</f>
        <v/>
      </c>
      <c r="J16" s="9">
        <f>'Tranmere Rovers'!$E$33</f>
        <v/>
      </c>
      <c r="K16" s="9">
        <f>'Tranmere Rovers'!$E$34</f>
        <v/>
      </c>
      <c r="L16" s="9">
        <f>'Tranmere Rovers'!$E$35</f>
        <v/>
      </c>
    </row>
    <row r="17">
      <c r="A17" s="8" t="inlineStr">
        <is>
          <t>Cheltenham Town</t>
        </is>
      </c>
      <c r="B17" s="8">
        <f>'Cheltenham Town'!$E$14</f>
        <v/>
      </c>
      <c r="C17" s="10">
        <f>'Cheltenham Town'!$E$17</f>
        <v/>
      </c>
      <c r="D17" s="10">
        <f>'Cheltenham Town'!$E$19</f>
        <v/>
      </c>
      <c r="E17" s="10">
        <f>'Cheltenham Town'!$E$21</f>
        <v/>
      </c>
      <c r="F17" s="10">
        <f>'Cheltenham Town'!$E$23</f>
        <v/>
      </c>
      <c r="G17" s="10">
        <f>'Cheltenham Town'!$E$25</f>
        <v/>
      </c>
      <c r="H17" s="10">
        <f>'Cheltenham Town'!$E$29</f>
        <v/>
      </c>
      <c r="I17" s="10">
        <f>'Cheltenham Town'!$E$30</f>
        <v/>
      </c>
      <c r="J17" s="10">
        <f>'Cheltenham Town'!$E$33</f>
        <v/>
      </c>
      <c r="K17" s="10">
        <f>'Cheltenham Town'!$E$34</f>
        <v/>
      </c>
      <c r="L17" s="10">
        <f>'Cheltenham Town'!$E$35</f>
        <v/>
      </c>
    </row>
    <row r="18">
      <c r="A18" s="6" t="inlineStr">
        <is>
          <t>Oldham Athletic</t>
        </is>
      </c>
      <c r="B18" s="6">
        <f>'Oldham Athletic'!$E$13</f>
        <v/>
      </c>
      <c r="C18" s="9">
        <f>'Oldham Athletic'!$E$16</f>
        <v/>
      </c>
      <c r="D18" s="9">
        <f>'Oldham Athletic'!$E$18</f>
        <v/>
      </c>
      <c r="E18" s="9">
        <f>'Oldham Athletic'!$E$20</f>
        <v/>
      </c>
      <c r="F18" s="9">
        <f>'Oldham Athletic'!$E$22</f>
        <v/>
      </c>
      <c r="G18" s="9">
        <f>'Oldham Athletic'!$E$24</f>
        <v/>
      </c>
      <c r="H18" s="9">
        <f>'Oldham Athletic'!$E$28</f>
        <v/>
      </c>
      <c r="I18" s="9">
        <f>'Oldham Athletic'!$E$29</f>
        <v/>
      </c>
      <c r="J18" s="9">
        <f>'Oldham Athletic'!$E$32</f>
        <v/>
      </c>
      <c r="K18" s="9">
        <f>'Oldham Athletic'!$E$33</f>
        <v/>
      </c>
      <c r="L18" s="9">
        <f>'Oldham Athletic'!$E$34</f>
        <v/>
      </c>
    </row>
    <row r="19">
      <c r="A19" s="8" t="inlineStr">
        <is>
          <t>Fleetwood Town</t>
        </is>
      </c>
      <c r="B19" s="8">
        <f>'Fleetwood Town'!$E$14</f>
        <v/>
      </c>
      <c r="C19" s="10">
        <f>'Fleetwood Town'!$E$17</f>
        <v/>
      </c>
      <c r="D19" s="10">
        <f>'Fleetwood Town'!$E$19</f>
        <v/>
      </c>
      <c r="E19" s="10">
        <f>'Fleetwood Town'!$E$21</f>
        <v/>
      </c>
      <c r="F19" s="10">
        <f>'Fleetwood Town'!$E$23</f>
        <v/>
      </c>
      <c r="G19" s="10">
        <f>'Fleetwood Town'!$E$25</f>
        <v/>
      </c>
      <c r="H19" s="10">
        <f>'Fleetwood Town'!$E$29</f>
        <v/>
      </c>
      <c r="I19" s="10">
        <f>'Fleetwood Town'!$E$30</f>
        <v/>
      </c>
      <c r="J19" s="10">
        <f>'Fleetwood Town'!$E$33</f>
        <v/>
      </c>
      <c r="K19" s="10">
        <f>'Fleetwood Town'!$E$34</f>
        <v/>
      </c>
      <c r="L19" s="10">
        <f>'Fleetwood Town'!$E$35</f>
        <v/>
      </c>
    </row>
    <row r="20">
      <c r="A20" s="6" t="inlineStr">
        <is>
          <t>Colchester United</t>
        </is>
      </c>
      <c r="B20" s="6">
        <f>'Colchester United'!$E$13</f>
        <v/>
      </c>
      <c r="C20" s="9">
        <f>'Colchester United'!$E$16</f>
        <v/>
      </c>
      <c r="D20" s="9">
        <f>'Colchester United'!$E$18</f>
        <v/>
      </c>
      <c r="E20" s="9">
        <f>'Colchester United'!$E$20</f>
        <v/>
      </c>
      <c r="F20" s="9">
        <f>'Colchester United'!$E$22</f>
        <v/>
      </c>
      <c r="G20" s="9">
        <f>'Colchester United'!$E$24</f>
        <v/>
      </c>
      <c r="H20" s="9">
        <f>'Colchester United'!$E$28</f>
        <v/>
      </c>
      <c r="I20" s="9">
        <f>'Colchester United'!$E$29</f>
        <v/>
      </c>
      <c r="J20" s="9">
        <f>'Colchester United'!$E$32</f>
        <v/>
      </c>
      <c r="K20" s="9">
        <f>'Colchester United'!$E$33</f>
        <v/>
      </c>
      <c r="L20" s="9">
        <f>'Colchester United'!$E$34</f>
        <v/>
      </c>
    </row>
    <row r="21">
      <c r="A21" s="8" t="inlineStr">
        <is>
          <t>Crewe Alexandra</t>
        </is>
      </c>
      <c r="B21" s="8">
        <f>'Crewe Alexandra'!$E$14</f>
        <v/>
      </c>
      <c r="C21" s="10">
        <f>'Crewe Alexandra'!$E$17</f>
        <v/>
      </c>
      <c r="D21" s="10">
        <f>'Crewe Alexandra'!$E$19</f>
        <v/>
      </c>
      <c r="E21" s="10">
        <f>'Crewe Alexandra'!$E$21</f>
        <v/>
      </c>
      <c r="F21" s="10">
        <f>'Crewe Alexandra'!$E$23</f>
        <v/>
      </c>
      <c r="G21" s="10">
        <f>'Crewe Alexandra'!$E$25</f>
        <v/>
      </c>
      <c r="H21" s="10">
        <f>'Crewe Alexandra'!$E$29</f>
        <v/>
      </c>
      <c r="I21" s="10">
        <f>'Crewe Alexandra'!$E$30</f>
        <v/>
      </c>
      <c r="J21" s="10">
        <f>'Crewe Alexandra'!$E$33</f>
        <v/>
      </c>
      <c r="K21" s="10">
        <f>'Crewe Alexandra'!$E$34</f>
        <v/>
      </c>
      <c r="L21" s="10">
        <f>'Crewe Alexandra'!$E$35</f>
        <v/>
      </c>
    </row>
    <row r="22">
      <c r="A22" s="6" t="inlineStr">
        <is>
          <t>Swindon Town</t>
        </is>
      </c>
      <c r="B22" s="6">
        <f>'Swindon Town'!$E$14</f>
        <v/>
      </c>
      <c r="C22" s="9">
        <f>'Swindon Town'!$E$17</f>
        <v/>
      </c>
      <c r="D22" s="9">
        <f>'Swindon Town'!$E$19</f>
        <v/>
      </c>
      <c r="E22" s="9">
        <f>'Swindon Town'!$E$21</f>
        <v/>
      </c>
      <c r="F22" s="9">
        <f>'Swindon Town'!$E$23</f>
        <v/>
      </c>
      <c r="G22" s="9">
        <f>'Swindon Town'!$E$25</f>
        <v/>
      </c>
      <c r="H22" s="9">
        <f>'Swindon Town'!$E$29</f>
        <v/>
      </c>
      <c r="I22" s="9">
        <f>'Swindon Town'!$E$30</f>
        <v/>
      </c>
      <c r="J22" s="9">
        <f>'Swindon Town'!$E$33</f>
        <v/>
      </c>
      <c r="K22" s="9">
        <f>'Swindon Town'!$E$34</f>
        <v/>
      </c>
      <c r="L22" s="9">
        <f>'Swindon Town'!$E$35</f>
        <v/>
      </c>
    </row>
    <row r="23">
      <c r="A23" s="8" t="inlineStr">
        <is>
          <t>Salford City</t>
        </is>
      </c>
      <c r="B23" s="8">
        <f>'Salford City'!$E$14</f>
        <v/>
      </c>
      <c r="C23" s="10">
        <f>'Salford City'!$E$17</f>
        <v/>
      </c>
      <c r="D23" s="10">
        <f>'Salford City'!$E$19</f>
        <v/>
      </c>
      <c r="E23" s="10">
        <f>'Salford City'!$E$21</f>
        <v/>
      </c>
      <c r="F23" s="10">
        <f>'Salford City'!$E$23</f>
        <v/>
      </c>
      <c r="G23" s="10">
        <f>'Salford City'!$E$25</f>
        <v/>
      </c>
      <c r="H23" s="10">
        <f>'Salford City'!$E$29</f>
        <v/>
      </c>
      <c r="I23" s="10">
        <f>'Salford City'!$E$30</f>
        <v/>
      </c>
      <c r="J23" s="10">
        <f>'Salford City'!$E$33</f>
        <v/>
      </c>
      <c r="K23" s="10">
        <f>'Salford City'!$E$34</f>
        <v/>
      </c>
      <c r="L23" s="10">
        <f>'Salford City'!$E$35</f>
        <v/>
      </c>
    </row>
    <row r="24">
      <c r="A24" s="6" t="inlineStr">
        <is>
          <t>Rochdale</t>
        </is>
      </c>
      <c r="B24" s="6">
        <f>'Rochdale'!$E$14</f>
        <v/>
      </c>
      <c r="C24" s="9">
        <f>'Rochdale'!$E$17</f>
        <v/>
      </c>
      <c r="D24" s="9">
        <f>'Rochdale'!$E$19</f>
        <v/>
      </c>
      <c r="E24" s="9">
        <f>'Rochdale'!$E$21</f>
        <v/>
      </c>
      <c r="F24" s="9">
        <f>'Rochdale'!$E$23</f>
        <v/>
      </c>
      <c r="G24" s="9">
        <f>'Rochdale'!$E$25</f>
        <v/>
      </c>
      <c r="H24" s="9">
        <f>'Rochdale'!$E$29</f>
        <v/>
      </c>
      <c r="I24" s="9">
        <f>'Rochdale'!$E$30</f>
        <v/>
      </c>
      <c r="J24" s="9">
        <f>'Rochdale'!$E$33</f>
        <v/>
      </c>
      <c r="K24" s="9">
        <f>'Rochdale'!$E$34</f>
        <v/>
      </c>
      <c r="L24" s="9">
        <f>'Rochdale'!$E$35</f>
        <v/>
      </c>
    </row>
    <row r="25">
      <c r="A25" s="8" t="inlineStr">
        <is>
          <t>Northampton Town</t>
        </is>
      </c>
      <c r="B25" s="8">
        <f>'Northampton Town'!$E$12</f>
        <v/>
      </c>
      <c r="C25" s="10">
        <f>'Northampton Town'!$E$15</f>
        <v/>
      </c>
      <c r="D25" s="10">
        <f>'Northampton Town'!$E$17</f>
        <v/>
      </c>
      <c r="E25" s="10">
        <f>'Northampton Town'!$E$19</f>
        <v/>
      </c>
      <c r="F25" s="10">
        <f>'Northampton Town'!$E$21</f>
        <v/>
      </c>
      <c r="G25" s="10">
        <f>'Northampton Town'!$E$23</f>
        <v/>
      </c>
      <c r="H25" s="10">
        <f>'Northampton Town'!$E$27</f>
        <v/>
      </c>
      <c r="I25" s="10">
        <f>'Northampton Town'!$E$28</f>
        <v/>
      </c>
      <c r="J25" s="10">
        <f>'Northampton Town'!$E$31</f>
        <v/>
      </c>
      <c r="K25" s="10">
        <f>'Northampton Town'!$E$32</f>
        <v/>
      </c>
      <c r="L25" s="10">
        <f>'Northampton Town'!$E$33</f>
        <v/>
      </c>
    </row>
  </sheetData>
  <conditionalFormatting sqref="C2:C25">
    <cfRule type="colorScale" priority="1">
      <colorScale>
        <cfvo type="min"/>
        <cfvo type="num" val="0"/>
        <cfvo type="max"/>
        <color rgb="00F8696B"/>
        <color rgb="00FFFFFF"/>
        <color rgb="0063BE7B"/>
      </colorScale>
    </cfRule>
  </conditionalFormatting>
  <conditionalFormatting sqref="D2:D25">
    <cfRule type="colorScale" priority="2">
      <colorScale>
        <cfvo type="min"/>
        <cfvo type="num" val="0"/>
        <cfvo type="max"/>
        <color rgb="0063BE7B"/>
        <color rgb="00FFFFFF"/>
        <color rgb="00F8696B"/>
      </colorScale>
    </cfRule>
  </conditionalFormatting>
  <conditionalFormatting sqref="E2:E25">
    <cfRule type="colorScale" priority="3">
      <colorScale>
        <cfvo type="min"/>
        <cfvo type="num" val="0"/>
        <cfvo type="max"/>
        <color rgb="00F8696B"/>
        <color rgb="00FFFFFF"/>
        <color rgb="0063BE7B"/>
      </colorScale>
    </cfRule>
  </conditionalFormatting>
  <conditionalFormatting sqref="F2:F25">
    <cfRule type="colorScale" priority="4">
      <colorScale>
        <cfvo type="min"/>
        <cfvo type="num" val="0"/>
        <cfvo type="max"/>
        <color rgb="0063BE7B"/>
        <color rgb="00FFFFFF"/>
        <color rgb="00F8696B"/>
      </colorScale>
    </cfRule>
  </conditionalFormatting>
  <conditionalFormatting sqref="G2:G25">
    <cfRule type="colorScale" priority="5">
      <colorScale>
        <cfvo type="min"/>
        <cfvo type="num" val="0"/>
        <cfvo type="max"/>
        <color rgb="00F8696B"/>
        <color rgb="00FFFFFF"/>
        <color rgb="0063BE7B"/>
      </colorScale>
    </cfRule>
  </conditionalFormatting>
  <conditionalFormatting sqref="H2:H25">
    <cfRule type="colorScale" priority="6">
      <colorScale>
        <cfvo type="min"/>
        <cfvo type="num" val="0"/>
        <cfvo type="max"/>
        <color rgb="00F8696B"/>
        <color rgb="00FFFFFF"/>
        <color rgb="0063BE7B"/>
      </colorScale>
    </cfRule>
  </conditionalFormatting>
  <conditionalFormatting sqref="I2:I25">
    <cfRule type="colorScale" priority="7">
      <colorScale>
        <cfvo type="min"/>
        <cfvo type="num" val="0"/>
        <cfvo type="max"/>
        <color rgb="0063BE7B"/>
        <color rgb="00FFFFFF"/>
        <color rgb="00F8696B"/>
      </colorScale>
    </cfRule>
  </conditionalFormatting>
  <conditionalFormatting sqref="L2:L25">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4" customWidth="1" min="1" max="1"/>
    <col width="19"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Chesterfield</t>
        </is>
      </c>
      <c r="C2" s="6">
        <f>'Chesterfield'!$E$14</f>
        <v/>
      </c>
      <c r="D2" s="9">
        <f>'Chesterfield'!$E$33</f>
        <v/>
      </c>
      <c r="E2" s="9">
        <f>'Chesterfield'!$E$34</f>
        <v/>
      </c>
      <c r="F2" s="9">
        <f>D2-E2</f>
        <v/>
      </c>
    </row>
    <row r="3">
      <c r="A3" s="7" t="n">
        <v>2</v>
      </c>
      <c r="B3" s="8" t="inlineStr">
        <is>
          <t>Shrewsbury Town</t>
        </is>
      </c>
      <c r="C3" s="8">
        <f>'Shrewsbury Town'!$E$14</f>
        <v/>
      </c>
      <c r="D3" s="10">
        <f>'Shrewsbury Town'!$E$33</f>
        <v/>
      </c>
      <c r="E3" s="10">
        <f>'Shrewsbury Town'!$E$34</f>
        <v/>
      </c>
      <c r="F3" s="10">
        <f>D3-E3</f>
        <v/>
      </c>
    </row>
    <row r="4">
      <c r="A4" s="5" t="n">
        <v>3</v>
      </c>
      <c r="B4" s="6" t="inlineStr">
        <is>
          <t>Newport County</t>
        </is>
      </c>
      <c r="C4" s="6">
        <f>'Newport County'!$E$14</f>
        <v/>
      </c>
      <c r="D4" s="9">
        <f>'Newport County'!$E$33</f>
        <v/>
      </c>
      <c r="E4" s="9">
        <f>'Newport County'!$E$34</f>
        <v/>
      </c>
      <c r="F4" s="9">
        <f>D4-E4</f>
        <v/>
      </c>
    </row>
    <row r="5">
      <c r="A5" s="7" t="n">
        <v>4</v>
      </c>
      <c r="B5" s="8" t="inlineStr">
        <is>
          <t>Accrington Stanley</t>
        </is>
      </c>
      <c r="C5" s="8">
        <f>'Accrington Stanley'!$E$14</f>
        <v/>
      </c>
      <c r="D5" s="10">
        <f>'Accrington Stanley'!$E$33</f>
        <v/>
      </c>
      <c r="E5" s="10">
        <f>'Accrington Stanley'!$E$34</f>
        <v/>
      </c>
      <c r="F5" s="10">
        <f>D5-E5</f>
        <v/>
      </c>
    </row>
    <row r="6">
      <c r="A6" s="5" t="n">
        <v>5</v>
      </c>
      <c r="B6" s="6" t="inlineStr">
        <is>
          <t>Exeter</t>
        </is>
      </c>
      <c r="C6" s="6">
        <f>'Exeter'!$E$14</f>
        <v/>
      </c>
      <c r="D6" s="9">
        <f>'Exeter'!$E$33</f>
        <v/>
      </c>
      <c r="E6" s="9">
        <f>'Exeter'!$E$34</f>
        <v/>
      </c>
      <c r="F6" s="9">
        <f>D6-E6</f>
        <v/>
      </c>
    </row>
    <row r="7">
      <c r="A7" s="7" t="n">
        <v>6</v>
      </c>
      <c r="B7" s="8" t="inlineStr">
        <is>
          <t>Rotherham United</t>
        </is>
      </c>
      <c r="C7" s="8">
        <f>'Rotherham United'!$E$14</f>
        <v/>
      </c>
      <c r="D7" s="10">
        <f>'Rotherham United'!$E$33</f>
        <v/>
      </c>
      <c r="E7" s="10">
        <f>'Rotherham United'!$E$34</f>
        <v/>
      </c>
      <c r="F7" s="10">
        <f>D7-E7</f>
        <v/>
      </c>
    </row>
    <row r="8">
      <c r="A8" s="5" t="n">
        <v>7</v>
      </c>
      <c r="B8" s="6" t="inlineStr">
        <is>
          <t>York</t>
        </is>
      </c>
      <c r="C8" s="6">
        <f>'York'!$E$13</f>
        <v/>
      </c>
      <c r="D8" s="9">
        <f>'York'!$E$32</f>
        <v/>
      </c>
      <c r="E8" s="9">
        <f>'York'!$E$33</f>
        <v/>
      </c>
      <c r="F8" s="9">
        <f>D8-E8</f>
        <v/>
      </c>
    </row>
    <row r="9">
      <c r="A9" s="7" t="n">
        <v>8</v>
      </c>
      <c r="B9" s="8" t="inlineStr">
        <is>
          <t>Crawley Town</t>
        </is>
      </c>
      <c r="C9" s="8">
        <f>'Crawley Town'!$E$12</f>
        <v/>
      </c>
      <c r="D9" s="10">
        <f>'Crawley Town'!$E$31</f>
        <v/>
      </c>
      <c r="E9" s="10">
        <f>'Crawley Town'!$E$32</f>
        <v/>
      </c>
      <c r="F9" s="10">
        <f>D9-E9</f>
        <v/>
      </c>
    </row>
    <row r="10">
      <c r="A10" s="5" t="n">
        <v>9</v>
      </c>
      <c r="B10" s="6" t="inlineStr">
        <is>
          <t>Gillingham</t>
        </is>
      </c>
      <c r="C10" s="6">
        <f>'Gillingham'!$E$14</f>
        <v/>
      </c>
      <c r="D10" s="9">
        <f>'Gillingham'!$E$33</f>
        <v/>
      </c>
      <c r="E10" s="9">
        <f>'Gillingham'!$E$34</f>
        <v/>
      </c>
      <c r="F10" s="9">
        <f>D10-E10</f>
        <v/>
      </c>
    </row>
    <row r="11">
      <c r="A11" s="7" t="n">
        <v>10</v>
      </c>
      <c r="B11" s="8" t="inlineStr">
        <is>
          <t>Port Vale</t>
        </is>
      </c>
      <c r="C11" s="8">
        <f>'Port Vale'!$E$12</f>
        <v/>
      </c>
      <c r="D11" s="10">
        <f>'Port Vale'!$E$31</f>
        <v/>
      </c>
      <c r="E11" s="10">
        <f>'Port Vale'!$E$32</f>
        <v/>
      </c>
      <c r="F11" s="10">
        <f>D11-E11</f>
        <v/>
      </c>
    </row>
    <row r="12">
      <c r="A12" s="5" t="n">
        <v>11</v>
      </c>
      <c r="B12" s="6" t="inlineStr">
        <is>
          <t>Walsall</t>
        </is>
      </c>
      <c r="C12" s="6">
        <f>'Walsall'!$E$13</f>
        <v/>
      </c>
      <c r="D12" s="9">
        <f>'Walsall'!$E$32</f>
        <v/>
      </c>
      <c r="E12" s="9">
        <f>'Walsall'!$E$33</f>
        <v/>
      </c>
      <c r="F12" s="9">
        <f>D12-E12</f>
        <v/>
      </c>
    </row>
    <row r="13">
      <c r="A13" s="7" t="n">
        <v>12</v>
      </c>
      <c r="B13" s="8" t="inlineStr">
        <is>
          <t>Barnet</t>
        </is>
      </c>
      <c r="C13" s="8">
        <f>'Barnet'!$E$12</f>
        <v/>
      </c>
      <c r="D13" s="10">
        <f>'Barnet'!$E$31</f>
        <v/>
      </c>
      <c r="E13" s="10">
        <f>'Barnet'!$E$32</f>
        <v/>
      </c>
      <c r="F13" s="10">
        <f>D13-E13</f>
        <v/>
      </c>
    </row>
    <row r="14">
      <c r="A14" s="5" t="n">
        <v>13</v>
      </c>
      <c r="B14" s="6" t="inlineStr">
        <is>
          <t>Crewe Alexandra</t>
        </is>
      </c>
      <c r="C14" s="6">
        <f>'Crewe Alexandra'!$E$14</f>
        <v/>
      </c>
      <c r="D14" s="9">
        <f>'Crewe Alexandra'!$E$33</f>
        <v/>
      </c>
      <c r="E14" s="9">
        <f>'Crewe Alexandra'!$E$34</f>
        <v/>
      </c>
      <c r="F14" s="9">
        <f>D14-E14</f>
        <v/>
      </c>
    </row>
    <row r="15">
      <c r="A15" s="7" t="n">
        <v>14</v>
      </c>
      <c r="B15" s="8" t="inlineStr">
        <is>
          <t>Grimsby Town</t>
        </is>
      </c>
      <c r="C15" s="8">
        <f>'Grimsby Town'!$E$14</f>
        <v/>
      </c>
      <c r="D15" s="10">
        <f>'Grimsby Town'!$E$33</f>
        <v/>
      </c>
      <c r="E15" s="10">
        <f>'Grimsby Town'!$E$34</f>
        <v/>
      </c>
      <c r="F15" s="10">
        <f>D15-E15</f>
        <v/>
      </c>
    </row>
    <row r="16">
      <c r="A16" s="5" t="n">
        <v>15</v>
      </c>
      <c r="B16" s="6" t="inlineStr">
        <is>
          <t>Oldham Athletic</t>
        </is>
      </c>
      <c r="C16" s="6">
        <f>'Oldham Athletic'!$E$13</f>
        <v/>
      </c>
      <c r="D16" s="9">
        <f>'Oldham Athletic'!$E$32</f>
        <v/>
      </c>
      <c r="E16" s="9">
        <f>'Oldham Athletic'!$E$33</f>
        <v/>
      </c>
      <c r="F16" s="9">
        <f>D16-E16</f>
        <v/>
      </c>
    </row>
    <row r="17">
      <c r="A17" s="7" t="n">
        <v>16</v>
      </c>
      <c r="B17" s="8" t="inlineStr">
        <is>
          <t>Tranmere Rovers</t>
        </is>
      </c>
      <c r="C17" s="8">
        <f>'Tranmere Rovers'!$E$14</f>
        <v/>
      </c>
      <c r="D17" s="10">
        <f>'Tranmere Rovers'!$E$33</f>
        <v/>
      </c>
      <c r="E17" s="10">
        <f>'Tranmere Rovers'!$E$34</f>
        <v/>
      </c>
      <c r="F17" s="10">
        <f>D17-E17</f>
        <v/>
      </c>
    </row>
    <row r="18">
      <c r="A18" s="5" t="n">
        <v>17</v>
      </c>
      <c r="B18" s="6" t="inlineStr">
        <is>
          <t>Bristol Rvs</t>
        </is>
      </c>
      <c r="C18" s="6">
        <f>'Bristol Rvs'!$E$14</f>
        <v/>
      </c>
      <c r="D18" s="9">
        <f>'Bristol Rvs'!$E$33</f>
        <v/>
      </c>
      <c r="E18" s="9">
        <f>'Bristol Rvs'!$E$34</f>
        <v/>
      </c>
      <c r="F18" s="9">
        <f>D18-E18</f>
        <v/>
      </c>
    </row>
    <row r="19">
      <c r="A19" s="7" t="n">
        <v>18</v>
      </c>
      <c r="B19" s="8" t="inlineStr">
        <is>
          <t>Cheltenham Town</t>
        </is>
      </c>
      <c r="C19" s="8">
        <f>'Cheltenham Town'!$E$14</f>
        <v/>
      </c>
      <c r="D19" s="10">
        <f>'Cheltenham Town'!$E$33</f>
        <v/>
      </c>
      <c r="E19" s="10">
        <f>'Cheltenham Town'!$E$34</f>
        <v/>
      </c>
      <c r="F19" s="10">
        <f>D19-E19</f>
        <v/>
      </c>
    </row>
    <row r="20">
      <c r="A20" s="5" t="n">
        <v>19</v>
      </c>
      <c r="B20" s="6" t="inlineStr">
        <is>
          <t>Swindon Town</t>
        </is>
      </c>
      <c r="C20" s="6">
        <f>'Swindon Town'!$E$14</f>
        <v/>
      </c>
      <c r="D20" s="9">
        <f>'Swindon Town'!$E$33</f>
        <v/>
      </c>
      <c r="E20" s="9">
        <f>'Swindon Town'!$E$34</f>
        <v/>
      </c>
      <c r="F20" s="9">
        <f>D20-E20</f>
        <v/>
      </c>
    </row>
    <row r="21">
      <c r="A21" s="7" t="n">
        <v>20</v>
      </c>
      <c r="B21" s="8" t="inlineStr">
        <is>
          <t>Colchester United</t>
        </is>
      </c>
      <c r="C21" s="8">
        <f>'Colchester United'!$E$13</f>
        <v/>
      </c>
      <c r="D21" s="10">
        <f>'Colchester United'!$E$32</f>
        <v/>
      </c>
      <c r="E21" s="10">
        <f>'Colchester United'!$E$33</f>
        <v/>
      </c>
      <c r="F21" s="10">
        <f>D21-E21</f>
        <v/>
      </c>
    </row>
    <row r="22">
      <c r="A22" s="5" t="n">
        <v>21</v>
      </c>
      <c r="B22" s="6" t="inlineStr">
        <is>
          <t>Salford City</t>
        </is>
      </c>
      <c r="C22" s="6">
        <f>'Salford City'!$E$14</f>
        <v/>
      </c>
      <c r="D22" s="9">
        <f>'Salford City'!$E$33</f>
        <v/>
      </c>
      <c r="E22" s="9">
        <f>'Salford City'!$E$34</f>
        <v/>
      </c>
      <c r="F22" s="9">
        <f>D22-E22</f>
        <v/>
      </c>
    </row>
    <row r="23">
      <c r="A23" s="7" t="n">
        <v>22</v>
      </c>
      <c r="B23" s="8" t="inlineStr">
        <is>
          <t>Northampton Town</t>
        </is>
      </c>
      <c r="C23" s="8">
        <f>'Northampton Town'!$E$12</f>
        <v/>
      </c>
      <c r="D23" s="10">
        <f>'Northampton Town'!$E$31</f>
        <v/>
      </c>
      <c r="E23" s="10">
        <f>'Northampton Town'!$E$32</f>
        <v/>
      </c>
      <c r="F23" s="10">
        <f>D23-E23</f>
        <v/>
      </c>
    </row>
    <row r="24">
      <c r="A24" s="5" t="n">
        <v>23</v>
      </c>
      <c r="B24" s="6" t="inlineStr">
        <is>
          <t>Fleetwood Town</t>
        </is>
      </c>
      <c r="C24" s="6">
        <f>'Fleetwood Town'!$E$14</f>
        <v/>
      </c>
      <c r="D24" s="9">
        <f>'Fleetwood Town'!$E$33</f>
        <v/>
      </c>
      <c r="E24" s="9">
        <f>'Fleetwood Town'!$E$34</f>
        <v/>
      </c>
      <c r="F24" s="9">
        <f>D24-E24</f>
        <v/>
      </c>
    </row>
    <row r="25">
      <c r="A25" s="7" t="n">
        <v>24</v>
      </c>
      <c r="B25" s="8" t="inlineStr">
        <is>
          <t>Rochdale</t>
        </is>
      </c>
      <c r="C25" s="8">
        <f>'Rochdale'!$E$14</f>
        <v/>
      </c>
      <c r="D25" s="10">
        <f>'Rochdale'!$E$33</f>
        <v/>
      </c>
      <c r="E25" s="10">
        <f>'Rochdale'!$E$34</f>
        <v/>
      </c>
      <c r="F25" s="10">
        <f>D25-E25</f>
        <v/>
      </c>
    </row>
  </sheetData>
  <conditionalFormatting sqref="F2:F25">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1"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2" t="inlineStr">
        <is>
          <t>No issues found across 114 fixtures.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5"/>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19"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2026-08-15</t>
        </is>
      </c>
      <c r="B2" s="6" t="inlineStr">
        <is>
          <t>Accrington Stanley</t>
        </is>
      </c>
      <c r="C2" s="6" t="inlineStr">
        <is>
          <t>Colchester United</t>
        </is>
      </c>
      <c r="D2" s="6" t="n">
        <v>2</v>
      </c>
      <c r="E2" s="6" t="n">
        <v>2</v>
      </c>
      <c r="F2" s="9" t="n">
        <v>1.33</v>
      </c>
      <c r="G2" s="9" t="n">
        <v>1.19</v>
      </c>
      <c r="H2" s="9" t="n">
        <v>2.78</v>
      </c>
      <c r="I2" s="9" t="n">
        <v>0.74</v>
      </c>
      <c r="J2" s="9" t="n">
        <v>1.45</v>
      </c>
      <c r="K2" s="9" t="n">
        <v>-0.45</v>
      </c>
      <c r="L2" s="9" t="n">
        <v>1.9</v>
      </c>
      <c r="M2" s="9" t="n">
        <v>1</v>
      </c>
      <c r="N2" s="9" t="n">
        <v>2.52</v>
      </c>
      <c r="O2" s="9" t="n">
        <v>0.35</v>
      </c>
      <c r="P2" s="9" t="n">
        <v>1.47</v>
      </c>
      <c r="Q2" s="9" t="n">
        <v>1.26</v>
      </c>
    </row>
    <row r="3">
      <c r="A3" s="8" t="inlineStr">
        <is>
          <t>2026-08-15</t>
        </is>
      </c>
      <c r="B3" s="8" t="inlineStr">
        <is>
          <t>York</t>
        </is>
      </c>
      <c r="C3" s="8" t="inlineStr">
        <is>
          <t>Bristol Rvs</t>
        </is>
      </c>
      <c r="D3" s="8" t="n">
        <v>3</v>
      </c>
      <c r="E3" s="8" t="n">
        <v>2</v>
      </c>
      <c r="F3" s="10" t="n">
        <v>1.41</v>
      </c>
      <c r="G3" s="10" t="n">
        <v>1.09</v>
      </c>
      <c r="H3" s="10" t="n">
        <v>1.93</v>
      </c>
      <c r="I3" s="10" t="n">
        <v>1.83</v>
      </c>
      <c r="J3" s="10" t="n">
        <v>0.52</v>
      </c>
      <c r="K3" s="10" t="n">
        <v>0.74</v>
      </c>
      <c r="L3" s="10" t="n">
        <v>-0.22</v>
      </c>
      <c r="M3" s="10" t="n">
        <v>1.25</v>
      </c>
      <c r="N3" s="10" t="n">
        <v>1.45</v>
      </c>
      <c r="O3" s="10" t="n">
        <v>1.33</v>
      </c>
      <c r="P3" s="10" t="n">
        <v>1.59</v>
      </c>
      <c r="Q3" s="10" t="n">
        <v>1.14</v>
      </c>
    </row>
    <row r="4">
      <c r="A4" s="6" t="inlineStr">
        <is>
          <t>2026-08-15</t>
        </is>
      </c>
      <c r="B4" s="6" t="inlineStr">
        <is>
          <t>Crawley Town</t>
        </is>
      </c>
      <c r="C4" s="6" t="inlineStr">
        <is>
          <t>Crewe Alexandra</t>
        </is>
      </c>
      <c r="D4" s="6" t="n">
        <v>0</v>
      </c>
      <c r="E4" s="6" t="n">
        <v>1</v>
      </c>
      <c r="F4" s="9" t="n">
        <v>1.33</v>
      </c>
      <c r="G4" s="9" t="n">
        <v>1.29</v>
      </c>
      <c r="H4" s="9" t="n">
        <v>0.93</v>
      </c>
      <c r="I4" s="9" t="n">
        <v>2.2</v>
      </c>
      <c r="J4" s="9" t="n">
        <v>-0.4</v>
      </c>
      <c r="K4" s="9" t="n">
        <v>0.91</v>
      </c>
      <c r="L4" s="9" t="n">
        <v>-1.32</v>
      </c>
      <c r="M4" s="9" t="n">
        <v>0.51</v>
      </c>
      <c r="N4" s="9" t="n">
        <v>0.63</v>
      </c>
      <c r="O4" s="9" t="n">
        <v>2.18</v>
      </c>
      <c r="P4" s="9" t="n">
        <v>1.4</v>
      </c>
      <c r="Q4" s="9" t="n">
        <v>1.34</v>
      </c>
    </row>
    <row r="5">
      <c r="A5" s="8" t="inlineStr">
        <is>
          <t>2026-08-15</t>
        </is>
      </c>
      <c r="B5" s="8" t="inlineStr">
        <is>
          <t>Cheltenham Town</t>
        </is>
      </c>
      <c r="C5" s="8" t="inlineStr">
        <is>
          <t>Rotherham United</t>
        </is>
      </c>
      <c r="D5" s="8" t="n">
        <v>2</v>
      </c>
      <c r="E5" s="8" t="n">
        <v>1</v>
      </c>
      <c r="F5" s="10" t="n">
        <v>1.3</v>
      </c>
      <c r="G5" s="10" t="n">
        <v>1.36</v>
      </c>
      <c r="H5" s="10" t="n">
        <v>0.6</v>
      </c>
      <c r="I5" s="10" t="n">
        <v>2.2</v>
      </c>
      <c r="J5" s="10" t="n">
        <v>-0.7</v>
      </c>
      <c r="K5" s="10" t="n">
        <v>0.84</v>
      </c>
      <c r="L5" s="10" t="n">
        <v>-1.54</v>
      </c>
      <c r="M5" s="10" t="n">
        <v>0.14</v>
      </c>
      <c r="N5" s="10" t="n">
        <v>0.43</v>
      </c>
      <c r="O5" s="10" t="n">
        <v>2.4</v>
      </c>
      <c r="P5" s="10" t="n">
        <v>1.33</v>
      </c>
      <c r="Q5" s="10" t="n">
        <v>1.41</v>
      </c>
    </row>
    <row r="6">
      <c r="A6" s="6" t="inlineStr">
        <is>
          <t>2026-08-15</t>
        </is>
      </c>
      <c r="B6" s="6" t="inlineStr">
        <is>
          <t>Gillingham</t>
        </is>
      </c>
      <c r="C6" s="6" t="inlineStr">
        <is>
          <t>Walsall</t>
        </is>
      </c>
      <c r="D6" s="6" t="n">
        <v>0</v>
      </c>
      <c r="E6" s="6" t="n">
        <v>3</v>
      </c>
      <c r="F6" s="9" t="n">
        <v>1.43</v>
      </c>
      <c r="G6" s="9" t="n">
        <v>1.15</v>
      </c>
      <c r="H6" s="9" t="n">
        <v>1.45</v>
      </c>
      <c r="I6" s="9" t="n">
        <v>3.1</v>
      </c>
      <c r="J6" s="9" t="n">
        <v>0.02</v>
      </c>
      <c r="K6" s="9" t="n">
        <v>1.95</v>
      </c>
      <c r="L6" s="9" t="n">
        <v>-1.94</v>
      </c>
      <c r="M6" s="9" t="n">
        <v>1.97</v>
      </c>
      <c r="N6" s="9" t="n">
        <v>0.59</v>
      </c>
      <c r="O6" s="9" t="n">
        <v>2.26</v>
      </c>
      <c r="P6" s="9" t="n">
        <v>1.57</v>
      </c>
      <c r="Q6" s="9" t="n">
        <v>1.17</v>
      </c>
    </row>
    <row r="7">
      <c r="A7" s="8" t="inlineStr">
        <is>
          <t>2026-08-15</t>
        </is>
      </c>
      <c r="B7" s="8" t="inlineStr">
        <is>
          <t>Chesterfield</t>
        </is>
      </c>
      <c r="C7" s="8" t="inlineStr">
        <is>
          <t>Fleetwood Town</t>
        </is>
      </c>
      <c r="D7" s="8" t="n">
        <v>0</v>
      </c>
      <c r="E7" s="8" t="n">
        <v>1</v>
      </c>
      <c r="F7" s="10" t="n">
        <v>1.63</v>
      </c>
      <c r="G7" s="10" t="n">
        <v>0.95</v>
      </c>
      <c r="H7" s="10" t="n">
        <v>2.17</v>
      </c>
      <c r="I7" s="10" t="n">
        <v>1.11</v>
      </c>
      <c r="J7" s="10" t="n">
        <v>0.54</v>
      </c>
      <c r="K7" s="10" t="n">
        <v>0.16</v>
      </c>
      <c r="L7" s="10" t="n">
        <v>0.38</v>
      </c>
      <c r="M7" s="10" t="n">
        <v>0.6899999999999999</v>
      </c>
      <c r="N7" s="10" t="n">
        <v>2.04</v>
      </c>
      <c r="O7" s="10" t="n">
        <v>0.76</v>
      </c>
      <c r="P7" s="10" t="n">
        <v>1.85</v>
      </c>
      <c r="Q7" s="10" t="n">
        <v>0.91</v>
      </c>
    </row>
    <row r="8">
      <c r="A8" s="6" t="inlineStr">
        <is>
          <t>2026-08-15</t>
        </is>
      </c>
      <c r="B8" s="6" t="inlineStr">
        <is>
          <t>Newport County</t>
        </is>
      </c>
      <c r="C8" s="6" t="inlineStr">
        <is>
          <t>Rochdale</t>
        </is>
      </c>
      <c r="D8" s="6" t="n">
        <v>3</v>
      </c>
      <c r="E8" s="6" t="n">
        <v>0</v>
      </c>
      <c r="F8" s="9" t="n">
        <v>1.2</v>
      </c>
      <c r="G8" s="9" t="n">
        <v>1.39</v>
      </c>
      <c r="H8" s="9" t="n">
        <v>1.15</v>
      </c>
      <c r="I8" s="9" t="n">
        <v>0.16</v>
      </c>
      <c r="J8" s="9" t="n">
        <v>-0.05</v>
      </c>
      <c r="K8" s="9" t="n">
        <v>-1.23</v>
      </c>
      <c r="L8" s="9" t="n">
        <v>1.18</v>
      </c>
      <c r="M8" s="9" t="n">
        <v>-1.28</v>
      </c>
      <c r="N8" s="9" t="n">
        <v>2.2</v>
      </c>
      <c r="O8" s="9" t="n">
        <v>0.47</v>
      </c>
      <c r="P8" s="9" t="n">
        <v>1.24</v>
      </c>
      <c r="Q8" s="9" t="n">
        <v>1.5</v>
      </c>
    </row>
    <row r="9">
      <c r="A9" s="8" t="inlineStr">
        <is>
          <t>2026-08-15</t>
        </is>
      </c>
      <c r="B9" s="8" t="inlineStr">
        <is>
          <t>Northampton Town</t>
        </is>
      </c>
      <c r="C9" s="8" t="inlineStr">
        <is>
          <t>Swindon Town</t>
        </is>
      </c>
      <c r="D9" s="8" t="n">
        <v>0</v>
      </c>
      <c r="E9" s="8" t="n">
        <v>0</v>
      </c>
      <c r="F9" s="10" t="n">
        <v>1.51</v>
      </c>
      <c r="G9" s="10" t="n">
        <v>1.14</v>
      </c>
      <c r="H9" s="10" t="n">
        <v>0.76</v>
      </c>
      <c r="I9" s="10" t="n">
        <v>0.2</v>
      </c>
      <c r="J9" s="10" t="n">
        <v>-0.75</v>
      </c>
      <c r="K9" s="10" t="n">
        <v>-0.9399999999999999</v>
      </c>
      <c r="L9" s="10" t="n">
        <v>0.19</v>
      </c>
      <c r="M9" s="10" t="n">
        <v>-1.7</v>
      </c>
      <c r="N9" s="10" t="n">
        <v>1.84</v>
      </c>
      <c r="O9" s="10" t="n">
        <v>0.72</v>
      </c>
      <c r="P9" s="10" t="n">
        <v>1.63</v>
      </c>
      <c r="Q9" s="10" t="n">
        <v>1.11</v>
      </c>
    </row>
    <row r="10">
      <c r="A10" s="6" t="inlineStr">
        <is>
          <t>2026-08-15</t>
        </is>
      </c>
      <c r="B10" s="6" t="inlineStr">
        <is>
          <t>Grimsby Town</t>
        </is>
      </c>
      <c r="C10" s="6" t="inlineStr">
        <is>
          <t>Exeter</t>
        </is>
      </c>
      <c r="D10" s="6" t="n">
        <v>1</v>
      </c>
      <c r="E10" s="6" t="n">
        <v>0</v>
      </c>
      <c r="F10" s="9" t="n">
        <v>1.7</v>
      </c>
      <c r="G10" s="9" t="n">
        <v>1.02</v>
      </c>
      <c r="H10" s="9" t="n">
        <v>1.43</v>
      </c>
      <c r="I10" s="9" t="n">
        <v>0.75</v>
      </c>
      <c r="J10" s="9" t="n">
        <v>-0.27</v>
      </c>
      <c r="K10" s="9" t="n">
        <v>-0.27</v>
      </c>
      <c r="L10" s="9" t="n">
        <v>-0</v>
      </c>
      <c r="M10" s="9" t="n">
        <v>-0.54</v>
      </c>
      <c r="N10" s="9" t="n">
        <v>1.87</v>
      </c>
      <c r="O10" s="9" t="n">
        <v>0.86</v>
      </c>
      <c r="P10" s="9" t="n">
        <v>1.84</v>
      </c>
      <c r="Q10" s="9" t="n">
        <v>0.92</v>
      </c>
    </row>
    <row r="11">
      <c r="A11" s="8" t="inlineStr">
        <is>
          <t>2026-08-15</t>
        </is>
      </c>
      <c r="B11" s="8" t="inlineStr">
        <is>
          <t>Tranmere Rovers</t>
        </is>
      </c>
      <c r="C11" s="8" t="inlineStr">
        <is>
          <t>Shrewsbury Town</t>
        </is>
      </c>
      <c r="D11" s="8" t="n">
        <v>2</v>
      </c>
      <c r="E11" s="8" t="n">
        <v>0</v>
      </c>
      <c r="F11" s="10" t="n">
        <v>1.4</v>
      </c>
      <c r="G11" s="10" t="n">
        <v>1.1</v>
      </c>
      <c r="H11" s="10" t="n">
        <v>1.16</v>
      </c>
      <c r="I11" s="10" t="n">
        <v>1.28</v>
      </c>
      <c r="J11" s="10" t="n">
        <v>-0.24</v>
      </c>
      <c r="K11" s="10" t="n">
        <v>0.18</v>
      </c>
      <c r="L11" s="10" t="n">
        <v>-0.42</v>
      </c>
      <c r="M11" s="10" t="n">
        <v>-0.06</v>
      </c>
      <c r="N11" s="10" t="n">
        <v>1.28</v>
      </c>
      <c r="O11" s="10" t="n">
        <v>1.45</v>
      </c>
      <c r="P11" s="10" t="n">
        <v>1.58</v>
      </c>
      <c r="Q11" s="10" t="n">
        <v>1.15</v>
      </c>
    </row>
    <row r="12">
      <c r="A12" s="6" t="inlineStr">
        <is>
          <t>2026-08-15</t>
        </is>
      </c>
      <c r="B12" s="6" t="inlineStr">
        <is>
          <t>Barnet</t>
        </is>
      </c>
      <c r="C12" s="6" t="inlineStr">
        <is>
          <t>Salford City</t>
        </is>
      </c>
      <c r="D12" s="6" t="n">
        <v>3</v>
      </c>
      <c r="E12" s="6" t="n">
        <v>1</v>
      </c>
      <c r="F12" s="9" t="n">
        <v>1.42</v>
      </c>
      <c r="G12" s="9" t="n">
        <v>1.18</v>
      </c>
      <c r="H12" s="9" t="n">
        <v>1.62</v>
      </c>
      <c r="I12" s="9" t="n">
        <v>0.92</v>
      </c>
      <c r="J12" s="9" t="n">
        <v>0.2</v>
      </c>
      <c r="K12" s="9" t="n">
        <v>-0.26</v>
      </c>
      <c r="L12" s="9" t="n">
        <v>0.46</v>
      </c>
      <c r="M12" s="9" t="n">
        <v>-0.05</v>
      </c>
      <c r="N12" s="9" t="n">
        <v>1.86</v>
      </c>
      <c r="O12" s="9" t="n">
        <v>0.89</v>
      </c>
      <c r="P12" s="9" t="n">
        <v>1.54</v>
      </c>
      <c r="Q12" s="9" t="n">
        <v>1.2</v>
      </c>
    </row>
    <row r="13">
      <c r="A13" s="8" t="inlineStr">
        <is>
          <t>2026-08-15</t>
        </is>
      </c>
      <c r="B13" s="8" t="inlineStr">
        <is>
          <t>Oldham Athletic</t>
        </is>
      </c>
      <c r="C13" s="8" t="inlineStr">
        <is>
          <t>Port Vale</t>
        </is>
      </c>
      <c r="D13" s="8" t="n">
        <v>2</v>
      </c>
      <c r="E13" s="8" t="n">
        <v>0</v>
      </c>
      <c r="F13" s="10" t="n">
        <v>1.28</v>
      </c>
      <c r="G13" s="10" t="n">
        <v>1.23</v>
      </c>
      <c r="H13" s="10" t="n">
        <v>1.43</v>
      </c>
      <c r="I13" s="10" t="n">
        <v>0.51</v>
      </c>
      <c r="J13" s="10" t="n">
        <v>0.15</v>
      </c>
      <c r="K13" s="10" t="n">
        <v>-0.72</v>
      </c>
      <c r="L13" s="10" t="n">
        <v>0.88</v>
      </c>
      <c r="M13" s="10" t="n">
        <v>-0.57</v>
      </c>
      <c r="N13" s="10" t="n">
        <v>2.07</v>
      </c>
      <c r="O13" s="10" t="n">
        <v>0.66</v>
      </c>
      <c r="P13" s="10" t="n">
        <v>1.4</v>
      </c>
      <c r="Q13" s="10" t="n">
        <v>1.33</v>
      </c>
    </row>
    <row r="14">
      <c r="A14" s="6" t="inlineStr">
        <is>
          <t>2026-08-22</t>
        </is>
      </c>
      <c r="B14" s="6" t="inlineStr">
        <is>
          <t>Port Vale</t>
        </is>
      </c>
      <c r="C14" s="6" t="inlineStr">
        <is>
          <t>Tranmere Rovers</t>
        </is>
      </c>
      <c r="D14" s="6" t="n">
        <v>1</v>
      </c>
      <c r="E14" s="6" t="n">
        <v>1</v>
      </c>
      <c r="F14" s="9" t="n">
        <v>1.64</v>
      </c>
      <c r="G14" s="9" t="n">
        <v>0.87</v>
      </c>
      <c r="H14" s="9" t="n">
        <v>1.79</v>
      </c>
      <c r="I14" s="9" t="n">
        <v>0.71</v>
      </c>
      <c r="J14" s="9" t="n">
        <v>0.15</v>
      </c>
      <c r="K14" s="9" t="n">
        <v>-0.16</v>
      </c>
      <c r="L14" s="9" t="n">
        <v>0.31</v>
      </c>
      <c r="M14" s="9" t="n">
        <v>-0.01</v>
      </c>
      <c r="N14" s="9" t="n">
        <v>2.12</v>
      </c>
      <c r="O14" s="9" t="n">
        <v>0.65</v>
      </c>
      <c r="P14" s="9" t="n">
        <v>1.91</v>
      </c>
      <c r="Q14" s="9" t="n">
        <v>0.84</v>
      </c>
    </row>
    <row r="15">
      <c r="A15" s="8" t="inlineStr">
        <is>
          <t>2026-08-22</t>
        </is>
      </c>
      <c r="B15" s="8" t="inlineStr">
        <is>
          <t>Swindon Town</t>
        </is>
      </c>
      <c r="C15" s="8" t="inlineStr">
        <is>
          <t>Cheltenham Town</t>
        </is>
      </c>
      <c r="D15" s="8" t="n">
        <v>2</v>
      </c>
      <c r="E15" s="8" t="n">
        <v>1</v>
      </c>
      <c r="F15" s="10" t="n">
        <v>1.74</v>
      </c>
      <c r="G15" s="10" t="n">
        <v>1.04</v>
      </c>
      <c r="H15" s="10" t="n">
        <v>1.04</v>
      </c>
      <c r="I15" s="10" t="n">
        <v>1.1</v>
      </c>
      <c r="J15" s="10" t="n">
        <v>-0.7</v>
      </c>
      <c r="K15" s="10" t="n">
        <v>0.06</v>
      </c>
      <c r="L15" s="10" t="n">
        <v>-0.76</v>
      </c>
      <c r="M15" s="10" t="n">
        <v>-0.64</v>
      </c>
      <c r="N15" s="10" t="n">
        <v>1.31</v>
      </c>
      <c r="O15" s="10" t="n">
        <v>1.4</v>
      </c>
      <c r="P15" s="10" t="n">
        <v>1.85</v>
      </c>
      <c r="Q15" s="10" t="n">
        <v>0.92</v>
      </c>
    </row>
    <row r="16">
      <c r="A16" s="6" t="inlineStr">
        <is>
          <t>2026-08-22</t>
        </is>
      </c>
      <c r="B16" s="6" t="inlineStr">
        <is>
          <t>Fleetwood Town</t>
        </is>
      </c>
      <c r="C16" s="6" t="inlineStr">
        <is>
          <t>Gillingham</t>
        </is>
      </c>
      <c r="D16" s="6" t="n">
        <v>0</v>
      </c>
      <c r="E16" s="6" t="n">
        <v>0</v>
      </c>
      <c r="F16" s="9" t="n">
        <v>1.64</v>
      </c>
      <c r="G16" s="9" t="n">
        <v>1</v>
      </c>
      <c r="H16" s="9" t="n">
        <v>1.16</v>
      </c>
      <c r="I16" s="9" t="n">
        <v>1.18</v>
      </c>
      <c r="J16" s="9" t="n">
        <v>-0.48</v>
      </c>
      <c r="K16" s="9" t="n">
        <v>0.18</v>
      </c>
      <c r="L16" s="9" t="n">
        <v>-0.65</v>
      </c>
      <c r="M16" s="9" t="n">
        <v>-0.3</v>
      </c>
      <c r="N16" s="9" t="n">
        <v>1.34</v>
      </c>
      <c r="O16" s="9" t="n">
        <v>1.37</v>
      </c>
      <c r="P16" s="9" t="n">
        <v>1.81</v>
      </c>
      <c r="Q16" s="9" t="n">
        <v>0.9399999999999999</v>
      </c>
    </row>
    <row r="17">
      <c r="A17" s="8" t="inlineStr">
        <is>
          <t>2026-08-22</t>
        </is>
      </c>
      <c r="B17" s="8" t="inlineStr">
        <is>
          <t>Salford City</t>
        </is>
      </c>
      <c r="C17" s="8" t="inlineStr">
        <is>
          <t>Chesterfield</t>
        </is>
      </c>
      <c r="D17" s="8" t="n">
        <v>0</v>
      </c>
      <c r="E17" s="8" t="n">
        <v>1</v>
      </c>
      <c r="F17" s="10" t="n">
        <v>1.49</v>
      </c>
      <c r="G17" s="10" t="n">
        <v>1.02</v>
      </c>
      <c r="H17" s="10" t="n">
        <v>0.51</v>
      </c>
      <c r="I17" s="10" t="n">
        <v>2.27</v>
      </c>
      <c r="J17" s="10" t="n">
        <v>-0.98</v>
      </c>
      <c r="K17" s="10" t="n">
        <v>1.25</v>
      </c>
      <c r="L17" s="10" t="n">
        <v>-2.23</v>
      </c>
      <c r="M17" s="10" t="n">
        <v>0.27</v>
      </c>
      <c r="N17" s="10" t="n">
        <v>0.36</v>
      </c>
      <c r="O17" s="10" t="n">
        <v>2.48</v>
      </c>
      <c r="P17" s="10" t="n">
        <v>1.7</v>
      </c>
      <c r="Q17" s="10" t="n">
        <v>1.04</v>
      </c>
    </row>
    <row r="18">
      <c r="A18" s="6" t="inlineStr">
        <is>
          <t>2026-08-22</t>
        </is>
      </c>
      <c r="B18" s="6" t="inlineStr">
        <is>
          <t>Exeter</t>
        </is>
      </c>
      <c r="C18" s="6" t="inlineStr">
        <is>
          <t>Accrington Stanley</t>
        </is>
      </c>
      <c r="D18" s="6" t="n">
        <v>2</v>
      </c>
      <c r="E18" s="6" t="n">
        <v>0</v>
      </c>
      <c r="F18" s="9" t="n">
        <v>1.58</v>
      </c>
      <c r="G18" s="9" t="n">
        <v>1.06</v>
      </c>
      <c r="H18" s="9" t="n">
        <v>2.31</v>
      </c>
      <c r="I18" s="9" t="n">
        <v>0.68</v>
      </c>
      <c r="J18" s="9" t="n">
        <v>0.73</v>
      </c>
      <c r="K18" s="9" t="n">
        <v>-0.38</v>
      </c>
      <c r="L18" s="9" t="n">
        <v>1.11</v>
      </c>
      <c r="M18" s="9" t="n">
        <v>0.35</v>
      </c>
      <c r="N18" s="9" t="n">
        <v>2.39</v>
      </c>
      <c r="O18" s="9" t="n">
        <v>0.44</v>
      </c>
      <c r="P18" s="9" t="n">
        <v>1.73</v>
      </c>
      <c r="Q18" s="9" t="n">
        <v>1.02</v>
      </c>
    </row>
    <row r="19">
      <c r="A19" s="8" t="inlineStr">
        <is>
          <t>2026-08-22</t>
        </is>
      </c>
      <c r="B19" s="8" t="inlineStr">
        <is>
          <t>Crewe Alexandra</t>
        </is>
      </c>
      <c r="C19" s="8" t="inlineStr">
        <is>
          <t>Northampton Town</t>
        </is>
      </c>
      <c r="D19" s="8" t="n">
        <v>1</v>
      </c>
      <c r="E19" s="8" t="n">
        <v>0</v>
      </c>
      <c r="F19" s="10" t="n">
        <v>1.46</v>
      </c>
      <c r="G19" s="10" t="n">
        <v>1.13</v>
      </c>
      <c r="H19" s="10" t="n">
        <v>0.48</v>
      </c>
      <c r="I19" s="10" t="n">
        <v>0.77</v>
      </c>
      <c r="J19" s="10" t="n">
        <v>-0.98</v>
      </c>
      <c r="K19" s="10" t="n">
        <v>-0.36</v>
      </c>
      <c r="L19" s="10" t="n">
        <v>-0.62</v>
      </c>
      <c r="M19" s="10" t="n">
        <v>-1.35</v>
      </c>
      <c r="N19" s="10" t="n">
        <v>1.03</v>
      </c>
      <c r="O19" s="10" t="n">
        <v>1.57</v>
      </c>
      <c r="P19" s="10" t="n">
        <v>1.6</v>
      </c>
      <c r="Q19" s="10" t="n">
        <v>1.14</v>
      </c>
    </row>
    <row r="20">
      <c r="A20" s="6" t="inlineStr">
        <is>
          <t>2026-08-22</t>
        </is>
      </c>
      <c r="B20" s="6" t="inlineStr">
        <is>
          <t>Rochdale</t>
        </is>
      </c>
      <c r="C20" s="6" t="inlineStr">
        <is>
          <t>Crawley Town</t>
        </is>
      </c>
      <c r="D20" s="6" t="n">
        <v>1</v>
      </c>
      <c r="E20" s="6" t="n">
        <v>2</v>
      </c>
      <c r="F20" s="9" t="n">
        <v>1.65</v>
      </c>
      <c r="G20" s="9" t="n">
        <v>1.07</v>
      </c>
      <c r="H20" s="9" t="n">
        <v>0.53</v>
      </c>
      <c r="I20" s="9" t="n">
        <v>2.16</v>
      </c>
      <c r="J20" s="9" t="n">
        <v>-1.11</v>
      </c>
      <c r="K20" s="9" t="n">
        <v>1.09</v>
      </c>
      <c r="L20" s="9" t="n">
        <v>-2.2</v>
      </c>
      <c r="M20" s="9" t="n">
        <v>-0.02</v>
      </c>
      <c r="N20" s="9" t="n">
        <v>0.4</v>
      </c>
      <c r="O20" s="9" t="n">
        <v>2.43</v>
      </c>
      <c r="P20" s="9" t="n">
        <v>1.77</v>
      </c>
      <c r="Q20" s="9" t="n">
        <v>0.99</v>
      </c>
    </row>
    <row r="21">
      <c r="A21" s="8" t="inlineStr">
        <is>
          <t>2026-08-22</t>
        </is>
      </c>
      <c r="B21" s="8" t="inlineStr">
        <is>
          <t>Rotherham United</t>
        </is>
      </c>
      <c r="C21" s="8" t="inlineStr">
        <is>
          <t>York</t>
        </is>
      </c>
      <c r="D21" s="8" t="n">
        <v>1</v>
      </c>
      <c r="E21" s="8" t="n">
        <v>1</v>
      </c>
      <c r="F21" s="10" t="n">
        <v>1.37</v>
      </c>
      <c r="G21" s="10" t="n">
        <v>1.3</v>
      </c>
      <c r="H21" s="10" t="n">
        <v>1</v>
      </c>
      <c r="I21" s="10" t="n">
        <v>2.32</v>
      </c>
      <c r="J21" s="10" t="n">
        <v>-0.37</v>
      </c>
      <c r="K21" s="10" t="n">
        <v>1.02</v>
      </c>
      <c r="L21" s="10" t="n">
        <v>-1.39</v>
      </c>
      <c r="M21" s="10" t="n">
        <v>0.65</v>
      </c>
      <c r="N21" s="10" t="n">
        <v>0.63</v>
      </c>
      <c r="O21" s="10" t="n">
        <v>2.19</v>
      </c>
      <c r="P21" s="10" t="n">
        <v>1.42</v>
      </c>
      <c r="Q21" s="10" t="n">
        <v>1.32</v>
      </c>
    </row>
    <row r="22">
      <c r="A22" s="6" t="inlineStr">
        <is>
          <t>2026-08-22</t>
        </is>
      </c>
      <c r="B22" s="6" t="inlineStr">
        <is>
          <t>Colchester United</t>
        </is>
      </c>
      <c r="C22" s="6" t="inlineStr">
        <is>
          <t>Oldham Athletic</t>
        </is>
      </c>
      <c r="D22" s="6" t="n">
        <v>2</v>
      </c>
      <c r="E22" s="6" t="n">
        <v>1</v>
      </c>
      <c r="F22" s="9" t="n">
        <v>1.38</v>
      </c>
      <c r="G22" s="9" t="n">
        <v>1.3</v>
      </c>
      <c r="H22" s="9" t="n">
        <v>2.37</v>
      </c>
      <c r="I22" s="9" t="n">
        <v>0.27</v>
      </c>
      <c r="J22" s="9" t="n">
        <v>0.99</v>
      </c>
      <c r="K22" s="9" t="n">
        <v>-1.03</v>
      </c>
      <c r="L22" s="9" t="n">
        <v>2.02</v>
      </c>
      <c r="M22" s="9" t="n">
        <v>-0.05</v>
      </c>
      <c r="N22" s="9" t="n">
        <v>2.66</v>
      </c>
      <c r="O22" s="9" t="n">
        <v>0.21</v>
      </c>
      <c r="P22" s="9" t="n">
        <v>1.43</v>
      </c>
      <c r="Q22" s="9" t="n">
        <v>1.31</v>
      </c>
    </row>
    <row r="23">
      <c r="A23" s="8" t="inlineStr">
        <is>
          <t>2026-08-22</t>
        </is>
      </c>
      <c r="B23" s="8" t="inlineStr">
        <is>
          <t>Walsall</t>
        </is>
      </c>
      <c r="C23" s="8" t="inlineStr">
        <is>
          <t>Grimsby Town</t>
        </is>
      </c>
      <c r="D23" s="8" t="n">
        <v>0</v>
      </c>
      <c r="E23" s="8" t="n">
        <v>0</v>
      </c>
      <c r="F23" s="10" t="n">
        <v>1.21</v>
      </c>
      <c r="G23" s="10" t="n">
        <v>1.31</v>
      </c>
      <c r="H23" s="10" t="n">
        <v>1.21</v>
      </c>
      <c r="I23" s="10" t="n">
        <v>0.9</v>
      </c>
      <c r="J23" s="10" t="n">
        <v>0</v>
      </c>
      <c r="K23" s="10" t="n">
        <v>-0.41</v>
      </c>
      <c r="L23" s="10" t="n">
        <v>0.41</v>
      </c>
      <c r="M23" s="10" t="n">
        <v>-0.41</v>
      </c>
      <c r="N23" s="10" t="n">
        <v>1.59</v>
      </c>
      <c r="O23" s="10" t="n">
        <v>1.12</v>
      </c>
      <c r="P23" s="10" t="n">
        <v>1.29</v>
      </c>
      <c r="Q23" s="10" t="n">
        <v>1.44</v>
      </c>
    </row>
    <row r="24">
      <c r="A24" s="6" t="inlineStr">
        <is>
          <t>2026-08-22</t>
        </is>
      </c>
      <c r="B24" s="6" t="inlineStr">
        <is>
          <t>Bristol Rvs</t>
        </is>
      </c>
      <c r="C24" s="6" t="inlineStr">
        <is>
          <t>Newport County</t>
        </is>
      </c>
      <c r="D24" s="6" t="n">
        <v>5</v>
      </c>
      <c r="E24" s="6" t="n">
        <v>3</v>
      </c>
      <c r="F24" s="9" t="n">
        <v>1.83</v>
      </c>
      <c r="G24" s="9" t="n">
        <v>0.9399999999999999</v>
      </c>
      <c r="H24" s="9" t="n">
        <v>3.99</v>
      </c>
      <c r="I24" s="9" t="n">
        <v>0.66</v>
      </c>
      <c r="J24" s="9" t="n">
        <v>2.16</v>
      </c>
      <c r="K24" s="9" t="n">
        <v>-0.28</v>
      </c>
      <c r="L24" s="9" t="n">
        <v>2.44</v>
      </c>
      <c r="M24" s="9" t="n">
        <v>1.88</v>
      </c>
      <c r="N24" s="9" t="n">
        <v>2.8</v>
      </c>
      <c r="O24" s="9" t="n">
        <v>0.13</v>
      </c>
      <c r="P24" s="9" t="n">
        <v>1.98</v>
      </c>
      <c r="Q24" s="9" t="n">
        <v>0.8</v>
      </c>
    </row>
    <row r="25">
      <c r="A25" s="8" t="inlineStr">
        <is>
          <t>2026-08-22</t>
        </is>
      </c>
      <c r="B25" s="8" t="inlineStr">
        <is>
          <t>Shrewsbury Town</t>
        </is>
      </c>
      <c r="C25" s="8" t="inlineStr">
        <is>
          <t>Barnet</t>
        </is>
      </c>
      <c r="D25" s="8" t="n">
        <v>1</v>
      </c>
      <c r="E25" s="8" t="n">
        <v>3</v>
      </c>
      <c r="F25" s="10" t="n">
        <v>1.02</v>
      </c>
      <c r="G25" s="10" t="n">
        <v>1.6</v>
      </c>
      <c r="H25" s="10" t="n">
        <v>1.78</v>
      </c>
      <c r="I25" s="10" t="n">
        <v>1.07</v>
      </c>
      <c r="J25" s="10" t="n">
        <v>0.76</v>
      </c>
      <c r="K25" s="10" t="n">
        <v>-0.53</v>
      </c>
      <c r="L25" s="10" t="n">
        <v>1.29</v>
      </c>
      <c r="M25" s="10" t="n">
        <v>0.22</v>
      </c>
      <c r="N25" s="10" t="n">
        <v>1.85</v>
      </c>
      <c r="O25" s="10" t="n">
        <v>0.91</v>
      </c>
      <c r="P25" s="10" t="n">
        <v>0.98</v>
      </c>
      <c r="Q25" s="10" t="n">
        <v>1.77</v>
      </c>
    </row>
    <row r="26">
      <c r="A26" s="6" t="inlineStr">
        <is>
          <t>2026-08-29</t>
        </is>
      </c>
      <c r="B26" s="6" t="inlineStr">
        <is>
          <t>Oldham Athletic</t>
        </is>
      </c>
      <c r="C26" s="6" t="inlineStr">
        <is>
          <t>Swindon Town</t>
        </is>
      </c>
      <c r="D26" s="6" t="n">
        <v>3</v>
      </c>
      <c r="E26" s="6" t="n">
        <v>0</v>
      </c>
      <c r="F26" s="9" t="n">
        <v>1.59</v>
      </c>
      <c r="G26" s="9" t="n">
        <v>1.09</v>
      </c>
      <c r="H26" s="9" t="n">
        <v>2.73</v>
      </c>
      <c r="I26" s="9" t="n">
        <v>0.07000000000000001</v>
      </c>
      <c r="J26" s="9" t="n">
        <v>1.14</v>
      </c>
      <c r="K26" s="9" t="n">
        <v>-1.02</v>
      </c>
      <c r="L26" s="9" t="n">
        <v>2.16</v>
      </c>
      <c r="M26" s="9" t="n">
        <v>0.11</v>
      </c>
      <c r="N26" s="9" t="n">
        <v>2.84</v>
      </c>
      <c r="O26" s="9" t="n">
        <v>0.09</v>
      </c>
      <c r="P26" s="9" t="n">
        <v>1.72</v>
      </c>
      <c r="Q26" s="9" t="n">
        <v>1.03</v>
      </c>
    </row>
    <row r="27">
      <c r="A27" s="8" t="inlineStr">
        <is>
          <t>2026-08-29</t>
        </is>
      </c>
      <c r="B27" s="8" t="inlineStr">
        <is>
          <t>Shrewsbury Town</t>
        </is>
      </c>
      <c r="C27" s="8" t="inlineStr">
        <is>
          <t>Salford City</t>
        </is>
      </c>
      <c r="D27" s="8" t="n">
        <v>1</v>
      </c>
      <c r="E27" s="8" t="n">
        <v>0</v>
      </c>
      <c r="F27" s="10" t="n">
        <v>1.02</v>
      </c>
      <c r="G27" s="10" t="n">
        <v>1.58</v>
      </c>
      <c r="H27" s="10" t="n">
        <v>0.67</v>
      </c>
      <c r="I27" s="10" t="n">
        <v>0.98</v>
      </c>
      <c r="J27" s="10" t="n">
        <v>-0.35</v>
      </c>
      <c r="K27" s="10" t="n">
        <v>-0.6</v>
      </c>
      <c r="L27" s="10" t="n">
        <v>0.25</v>
      </c>
      <c r="M27" s="10" t="n">
        <v>-0.95</v>
      </c>
      <c r="N27" s="10" t="n">
        <v>1.07</v>
      </c>
      <c r="O27" s="10" t="n">
        <v>1.59</v>
      </c>
      <c r="P27" s="10" t="n">
        <v>0.99</v>
      </c>
      <c r="Q27" s="10" t="n">
        <v>1.76</v>
      </c>
    </row>
    <row r="28">
      <c r="A28" s="6" t="inlineStr">
        <is>
          <t>2026-08-29</t>
        </is>
      </c>
      <c r="B28" s="6" t="inlineStr">
        <is>
          <t>Gillingham</t>
        </is>
      </c>
      <c r="C28" s="6" t="inlineStr">
        <is>
          <t>Northampton Town</t>
        </is>
      </c>
      <c r="D28" s="6" t="n">
        <v>1</v>
      </c>
      <c r="E28" s="6" t="n">
        <v>1</v>
      </c>
      <c r="F28" s="9" t="n">
        <v>1.32</v>
      </c>
      <c r="G28" s="9" t="n">
        <v>1.26</v>
      </c>
      <c r="H28" s="9" t="n">
        <v>0.89</v>
      </c>
      <c r="I28" s="9" t="n">
        <v>0.35</v>
      </c>
      <c r="J28" s="9" t="n">
        <v>-0.43</v>
      </c>
      <c r="K28" s="9" t="n">
        <v>-0.91</v>
      </c>
      <c r="L28" s="9" t="n">
        <v>0.48</v>
      </c>
      <c r="M28" s="9" t="n">
        <v>-1.34</v>
      </c>
      <c r="N28" s="9" t="n">
        <v>1.81</v>
      </c>
      <c r="O28" s="9" t="n">
        <v>0.8100000000000001</v>
      </c>
      <c r="P28" s="9" t="n">
        <v>1.41</v>
      </c>
      <c r="Q28" s="9" t="n">
        <v>1.32</v>
      </c>
    </row>
    <row r="29">
      <c r="A29" s="8" t="inlineStr">
        <is>
          <t>2026-08-29</t>
        </is>
      </c>
      <c r="B29" s="8" t="inlineStr">
        <is>
          <t>Grimsby Town</t>
        </is>
      </c>
      <c r="C29" s="8" t="inlineStr">
        <is>
          <t>Fleetwood Town</t>
        </is>
      </c>
      <c r="D29" s="8" t="n">
        <v>2</v>
      </c>
      <c r="E29" s="8" t="n">
        <v>2</v>
      </c>
      <c r="F29" s="10" t="n">
        <v>1.61</v>
      </c>
      <c r="G29" s="10" t="n">
        <v>0.98</v>
      </c>
      <c r="H29" s="10" t="n">
        <v>2.92</v>
      </c>
      <c r="I29" s="10" t="n">
        <v>1.61</v>
      </c>
      <c r="J29" s="10" t="n">
        <v>1.31</v>
      </c>
      <c r="K29" s="10" t="n">
        <v>0.63</v>
      </c>
      <c r="L29" s="10" t="n">
        <v>0.68</v>
      </c>
      <c r="M29" s="10" t="n">
        <v>1.94</v>
      </c>
      <c r="N29" s="10" t="n">
        <v>2.1</v>
      </c>
      <c r="O29" s="10" t="n">
        <v>0.74</v>
      </c>
      <c r="P29" s="10" t="n">
        <v>1.81</v>
      </c>
      <c r="Q29" s="10" t="n">
        <v>0.9399999999999999</v>
      </c>
    </row>
    <row r="30">
      <c r="A30" s="6" t="inlineStr">
        <is>
          <t>2026-08-29</t>
        </is>
      </c>
      <c r="B30" s="6" t="inlineStr">
        <is>
          <t>Walsall</t>
        </is>
      </c>
      <c r="C30" s="6" t="inlineStr">
        <is>
          <t>Accrington Stanley</t>
        </is>
      </c>
      <c r="D30" s="6" t="n">
        <v>3</v>
      </c>
      <c r="E30" s="6" t="n">
        <v>2</v>
      </c>
      <c r="F30" s="9" t="n">
        <v>1.58</v>
      </c>
      <c r="G30" s="9" t="n">
        <v>0.97</v>
      </c>
      <c r="H30" s="9" t="n">
        <v>2.22</v>
      </c>
      <c r="I30" s="9" t="n">
        <v>2.29</v>
      </c>
      <c r="J30" s="9" t="n">
        <v>0.64</v>
      </c>
      <c r="K30" s="9" t="n">
        <v>1.32</v>
      </c>
      <c r="L30" s="9" t="n">
        <v>-0.68</v>
      </c>
      <c r="M30" s="9" t="n">
        <v>1.96</v>
      </c>
      <c r="N30" s="9" t="n">
        <v>1.36</v>
      </c>
      <c r="O30" s="9" t="n">
        <v>1.44</v>
      </c>
      <c r="P30" s="9" t="n">
        <v>1.8</v>
      </c>
      <c r="Q30" s="9" t="n">
        <v>0.95</v>
      </c>
    </row>
    <row r="31">
      <c r="A31" s="8" t="inlineStr">
        <is>
          <t>2026-08-29</t>
        </is>
      </c>
      <c r="B31" s="8" t="inlineStr">
        <is>
          <t>Newport County</t>
        </is>
      </c>
      <c r="C31" s="8" t="inlineStr">
        <is>
          <t>Tranmere Rovers</t>
        </is>
      </c>
      <c r="D31" s="8" t="n">
        <v>2</v>
      </c>
      <c r="E31" s="8" t="n">
        <v>2</v>
      </c>
      <c r="F31" s="10" t="n">
        <v>1.27</v>
      </c>
      <c r="G31" s="10" t="n">
        <v>1.23</v>
      </c>
      <c r="H31" s="10" t="n">
        <v>1.06</v>
      </c>
      <c r="I31" s="10" t="n">
        <v>0.9399999999999999</v>
      </c>
      <c r="J31" s="10" t="n">
        <v>-0.21</v>
      </c>
      <c r="K31" s="10" t="n">
        <v>-0.29</v>
      </c>
      <c r="L31" s="10" t="n">
        <v>0.08</v>
      </c>
      <c r="M31" s="10" t="n">
        <v>-0.49</v>
      </c>
      <c r="N31" s="10" t="n">
        <v>1.44</v>
      </c>
      <c r="O31" s="10" t="n">
        <v>1.25</v>
      </c>
      <c r="P31" s="10" t="n">
        <v>1.4</v>
      </c>
      <c r="Q31" s="10" t="n">
        <v>1.33</v>
      </c>
    </row>
    <row r="32">
      <c r="A32" s="6" t="inlineStr">
        <is>
          <t>2026-08-29</t>
        </is>
      </c>
      <c r="B32" s="6" t="inlineStr">
        <is>
          <t>York</t>
        </is>
      </c>
      <c r="C32" s="6" t="inlineStr">
        <is>
          <t>Exeter</t>
        </is>
      </c>
      <c r="D32" s="6" t="n">
        <v>2</v>
      </c>
      <c r="E32" s="6" t="n">
        <v>1</v>
      </c>
      <c r="F32" s="9" t="n">
        <v>1.8</v>
      </c>
      <c r="G32" s="9" t="n">
        <v>0.96</v>
      </c>
      <c r="H32" s="9" t="n">
        <v>1.18</v>
      </c>
      <c r="I32" s="9" t="n">
        <v>0.89</v>
      </c>
      <c r="J32" s="9" t="n">
        <v>-0.62</v>
      </c>
      <c r="K32" s="9" t="n">
        <v>-0.07000000000000001</v>
      </c>
      <c r="L32" s="9" t="n">
        <v>-0.5600000000000001</v>
      </c>
      <c r="M32" s="9" t="n">
        <v>-0.6899999999999999</v>
      </c>
      <c r="N32" s="9" t="n">
        <v>1.57</v>
      </c>
      <c r="O32" s="9" t="n">
        <v>1.13</v>
      </c>
      <c r="P32" s="9" t="n">
        <v>1.95</v>
      </c>
      <c r="Q32" s="9" t="n">
        <v>0.82</v>
      </c>
    </row>
    <row r="33">
      <c r="A33" s="8" t="inlineStr">
        <is>
          <t>2026-08-29</t>
        </is>
      </c>
      <c r="B33" s="8" t="inlineStr">
        <is>
          <t>Crawley Town</t>
        </is>
      </c>
      <c r="C33" s="8" t="inlineStr">
        <is>
          <t>Bristol Rvs</t>
        </is>
      </c>
      <c r="D33" s="8" t="n">
        <v>0</v>
      </c>
      <c r="E33" s="8" t="n">
        <v>2</v>
      </c>
      <c r="F33" s="10" t="n">
        <v>1.14</v>
      </c>
      <c r="G33" s="10" t="n">
        <v>1.52</v>
      </c>
      <c r="H33" s="10" t="n">
        <v>0.72</v>
      </c>
      <c r="I33" s="10" t="n">
        <v>1.98</v>
      </c>
      <c r="J33" s="10" t="n">
        <v>-0.41</v>
      </c>
      <c r="K33" s="10" t="n">
        <v>0.46</v>
      </c>
      <c r="L33" s="10" t="n">
        <v>-0.88</v>
      </c>
      <c r="M33" s="10" t="n">
        <v>0.05</v>
      </c>
      <c r="N33" s="10" t="n">
        <v>0.58</v>
      </c>
      <c r="O33" s="10" t="n">
        <v>2.21</v>
      </c>
      <c r="P33" s="10" t="n">
        <v>1.11</v>
      </c>
      <c r="Q33" s="10" t="n">
        <v>1.64</v>
      </c>
    </row>
    <row r="34">
      <c r="A34" s="6" t="inlineStr">
        <is>
          <t>2026-08-29</t>
        </is>
      </c>
      <c r="B34" s="6" t="inlineStr">
        <is>
          <t>Port Vale</t>
        </is>
      </c>
      <c r="C34" s="6" t="inlineStr">
        <is>
          <t>Crewe Alexandra</t>
        </is>
      </c>
      <c r="D34" s="6" t="n">
        <v>0</v>
      </c>
      <c r="E34" s="6" t="n">
        <v>0</v>
      </c>
      <c r="F34" s="9" t="n">
        <v>1.49</v>
      </c>
      <c r="G34" s="9" t="n">
        <v>1.19</v>
      </c>
      <c r="H34" s="9" t="n">
        <v>1.06</v>
      </c>
      <c r="I34" s="9" t="n">
        <v>1.18</v>
      </c>
      <c r="J34" s="9" t="n">
        <v>-0.43</v>
      </c>
      <c r="K34" s="9" t="n">
        <v>-0.01</v>
      </c>
      <c r="L34" s="9" t="n">
        <v>-0.43</v>
      </c>
      <c r="M34" s="9" t="n">
        <v>-0.44</v>
      </c>
      <c r="N34" s="9" t="n">
        <v>1.27</v>
      </c>
      <c r="O34" s="9" t="n">
        <v>1.45</v>
      </c>
      <c r="P34" s="9" t="n">
        <v>1.58</v>
      </c>
      <c r="Q34" s="9" t="n">
        <v>1.16</v>
      </c>
    </row>
    <row r="35">
      <c r="A35" s="8" t="inlineStr">
        <is>
          <t>2026-08-29</t>
        </is>
      </c>
      <c r="B35" s="8" t="inlineStr">
        <is>
          <t>Colchester United</t>
        </is>
      </c>
      <c r="C35" s="8" t="inlineStr">
        <is>
          <t>Rochdale</t>
        </is>
      </c>
      <c r="D35" s="8" t="n">
        <v>1</v>
      </c>
      <c r="E35" s="8" t="n">
        <v>0</v>
      </c>
      <c r="F35" s="10" t="n">
        <v>1.43</v>
      </c>
      <c r="G35" s="10" t="n">
        <v>1.19</v>
      </c>
      <c r="H35" s="10" t="n">
        <v>1.12</v>
      </c>
      <c r="I35" s="10" t="n">
        <v>0.78</v>
      </c>
      <c r="J35" s="10" t="n">
        <v>-0.31</v>
      </c>
      <c r="K35" s="10" t="n">
        <v>-0.41</v>
      </c>
      <c r="L35" s="10" t="n">
        <v>0.1</v>
      </c>
      <c r="M35" s="10" t="n">
        <v>-0.72</v>
      </c>
      <c r="N35" s="10" t="n">
        <v>1.61</v>
      </c>
      <c r="O35" s="10" t="n">
        <v>1.07</v>
      </c>
      <c r="P35" s="10" t="n">
        <v>1.54</v>
      </c>
      <c r="Q35" s="10" t="n">
        <v>1.2</v>
      </c>
    </row>
    <row r="36">
      <c r="A36" s="6" t="inlineStr">
        <is>
          <t>2026-08-29</t>
        </is>
      </c>
      <c r="B36" s="6" t="inlineStr">
        <is>
          <t>Rotherham United</t>
        </is>
      </c>
      <c r="C36" s="6" t="inlineStr">
        <is>
          <t>Chesterfield</t>
        </is>
      </c>
      <c r="D36" s="6" t="n">
        <v>2</v>
      </c>
      <c r="E36" s="6" t="n">
        <v>1</v>
      </c>
      <c r="F36" s="9" t="n">
        <v>1.2</v>
      </c>
      <c r="G36" s="9" t="n">
        <v>1.43</v>
      </c>
      <c r="H36" s="9" t="n">
        <v>2.95</v>
      </c>
      <c r="I36" s="9" t="n">
        <v>1.1</v>
      </c>
      <c r="J36" s="9" t="n">
        <v>1.75</v>
      </c>
      <c r="K36" s="9" t="n">
        <v>-0.32</v>
      </c>
      <c r="L36" s="9" t="n">
        <v>2.07</v>
      </c>
      <c r="M36" s="9" t="n">
        <v>1.42</v>
      </c>
      <c r="N36" s="9" t="n">
        <v>2.39</v>
      </c>
      <c r="O36" s="9" t="n">
        <v>0.47</v>
      </c>
      <c r="P36" s="9" t="n">
        <v>1.22</v>
      </c>
      <c r="Q36" s="9" t="n">
        <v>1.52</v>
      </c>
    </row>
    <row r="37">
      <c r="A37" s="8" t="inlineStr">
        <is>
          <t>2026-08-29</t>
        </is>
      </c>
      <c r="B37" s="8" t="inlineStr">
        <is>
          <t>Barnet</t>
        </is>
      </c>
      <c r="C37" s="8" t="inlineStr">
        <is>
          <t>Cheltenham Town</t>
        </is>
      </c>
      <c r="D37" s="8" t="n">
        <v>2</v>
      </c>
      <c r="E37" s="8" t="n">
        <v>2</v>
      </c>
      <c r="F37" s="10" t="n">
        <v>1.86</v>
      </c>
      <c r="G37" s="10" t="n">
        <v>0.92</v>
      </c>
      <c r="H37" s="10" t="n">
        <v>2.15</v>
      </c>
      <c r="I37" s="10" t="n">
        <v>1.78</v>
      </c>
      <c r="J37" s="10" t="n">
        <v>0.29</v>
      </c>
      <c r="K37" s="10" t="n">
        <v>0.86</v>
      </c>
      <c r="L37" s="10" t="n">
        <v>-0.57</v>
      </c>
      <c r="M37" s="10" t="n">
        <v>1.15</v>
      </c>
      <c r="N37" s="10" t="n">
        <v>1.61</v>
      </c>
      <c r="O37" s="10" t="n">
        <v>1.18</v>
      </c>
      <c r="P37" s="10" t="n">
        <v>2</v>
      </c>
      <c r="Q37" s="10" t="n">
        <v>0.77</v>
      </c>
    </row>
    <row r="38">
      <c r="A38" s="6" t="inlineStr">
        <is>
          <t>2026-09-01</t>
        </is>
      </c>
      <c r="B38" s="6" t="inlineStr">
        <is>
          <t>Salford City</t>
        </is>
      </c>
      <c r="C38" s="6" t="inlineStr">
        <is>
          <t>Newport County</t>
        </is>
      </c>
      <c r="D38" s="6" t="n">
        <v>2</v>
      </c>
      <c r="E38" s="6" t="n">
        <v>1</v>
      </c>
      <c r="F38" s="9" t="n">
        <v>2.08</v>
      </c>
      <c r="G38" s="9" t="n">
        <v>0.95</v>
      </c>
      <c r="H38" s="9" t="n">
        <v>2.28</v>
      </c>
      <c r="I38" s="9" t="n">
        <v>0.42</v>
      </c>
      <c r="J38" s="9" t="n">
        <v>0.2</v>
      </c>
      <c r="K38" s="9" t="n">
        <v>-0.53</v>
      </c>
      <c r="L38" s="9" t="n">
        <v>0.73</v>
      </c>
      <c r="M38" s="9" t="n">
        <v>-0.33</v>
      </c>
      <c r="N38" s="9" t="n">
        <v>2.54</v>
      </c>
      <c r="O38" s="9" t="n">
        <v>0.31</v>
      </c>
      <c r="P38" s="9" t="n">
        <v>2.11</v>
      </c>
      <c r="Q38" s="9" t="n">
        <v>0.6899999999999999</v>
      </c>
    </row>
    <row r="39">
      <c r="A39" s="8" t="inlineStr">
        <is>
          <t>2026-09-01</t>
        </is>
      </c>
      <c r="B39" s="8" t="inlineStr">
        <is>
          <t>Fleetwood Town</t>
        </is>
      </c>
      <c r="C39" s="8" t="inlineStr">
        <is>
          <t>Oldham Athletic</t>
        </is>
      </c>
      <c r="D39" s="8" t="n">
        <v>1</v>
      </c>
      <c r="E39" s="8" t="n">
        <v>1</v>
      </c>
      <c r="F39" s="10" t="n">
        <v>1.31</v>
      </c>
      <c r="G39" s="10" t="n">
        <v>1.3</v>
      </c>
      <c r="H39" s="10" t="n">
        <v>0.84</v>
      </c>
      <c r="I39" s="10" t="n">
        <v>1.42</v>
      </c>
      <c r="J39" s="10" t="n">
        <v>-0.47</v>
      </c>
      <c r="K39" s="10" t="n">
        <v>0.12</v>
      </c>
      <c r="L39" s="10" t="n">
        <v>-0.59</v>
      </c>
      <c r="M39" s="10" t="n">
        <v>-0.35</v>
      </c>
      <c r="N39" s="10" t="n">
        <v>0.9399999999999999</v>
      </c>
      <c r="O39" s="10" t="n">
        <v>1.79</v>
      </c>
      <c r="P39" s="10" t="n">
        <v>1.37</v>
      </c>
      <c r="Q39" s="10" t="n">
        <v>1.36</v>
      </c>
    </row>
    <row r="40">
      <c r="A40" s="6" t="inlineStr">
        <is>
          <t>2026-09-01</t>
        </is>
      </c>
      <c r="B40" s="6" t="inlineStr">
        <is>
          <t>Northampton Town</t>
        </is>
      </c>
      <c r="C40" s="6" t="inlineStr">
        <is>
          <t>Crawley Town</t>
        </is>
      </c>
      <c r="D40" s="6" t="n">
        <v>1</v>
      </c>
      <c r="E40" s="6" t="n">
        <v>1</v>
      </c>
      <c r="F40" s="9" t="n">
        <v>1.76</v>
      </c>
      <c r="G40" s="9" t="n">
        <v>0.99</v>
      </c>
      <c r="H40" s="9" t="n">
        <v>0.55</v>
      </c>
      <c r="I40" s="9" t="n">
        <v>2.62</v>
      </c>
      <c r="J40" s="9" t="n">
        <v>-1.21</v>
      </c>
      <c r="K40" s="9" t="n">
        <v>1.63</v>
      </c>
      <c r="L40" s="9" t="n">
        <v>-2.84</v>
      </c>
      <c r="M40" s="9" t="n">
        <v>0.42</v>
      </c>
      <c r="N40" s="9" t="n">
        <v>0.3</v>
      </c>
      <c r="O40" s="9" t="n">
        <v>2.58</v>
      </c>
      <c r="P40" s="9" t="n">
        <v>1.9</v>
      </c>
      <c r="Q40" s="9" t="n">
        <v>0.87</v>
      </c>
    </row>
    <row r="41">
      <c r="A41" s="8" t="inlineStr">
        <is>
          <t>2026-09-01</t>
        </is>
      </c>
      <c r="B41" s="8" t="inlineStr">
        <is>
          <t>Tranmere Rovers</t>
        </is>
      </c>
      <c r="C41" s="8" t="inlineStr">
        <is>
          <t>Rotherham United</t>
        </is>
      </c>
      <c r="D41" s="8" t="n">
        <v>2</v>
      </c>
      <c r="E41" s="8" t="n">
        <v>2</v>
      </c>
      <c r="F41" s="10" t="n">
        <v>1.41</v>
      </c>
      <c r="G41" s="10" t="n">
        <v>1.12</v>
      </c>
      <c r="H41" s="10" t="n">
        <v>0.74</v>
      </c>
      <c r="I41" s="10" t="n">
        <v>2.02</v>
      </c>
      <c r="J41" s="10" t="n">
        <v>-0.67</v>
      </c>
      <c r="K41" s="10" t="n">
        <v>0.9</v>
      </c>
      <c r="L41" s="10" t="n">
        <v>-1.58</v>
      </c>
      <c r="M41" s="10" t="n">
        <v>0.23</v>
      </c>
      <c r="N41" s="10" t="n">
        <v>0.58</v>
      </c>
      <c r="O41" s="10" t="n">
        <v>2.22</v>
      </c>
      <c r="P41" s="10" t="n">
        <v>1.58</v>
      </c>
      <c r="Q41" s="10" t="n">
        <v>1.16</v>
      </c>
    </row>
    <row r="42">
      <c r="A42" s="6" t="inlineStr">
        <is>
          <t>2026-09-01</t>
        </is>
      </c>
      <c r="B42" s="6" t="inlineStr">
        <is>
          <t>Rochdale</t>
        </is>
      </c>
      <c r="C42" s="6" t="inlineStr">
        <is>
          <t>Shrewsbury Town</t>
        </is>
      </c>
      <c r="D42" s="6" t="n">
        <v>3</v>
      </c>
      <c r="E42" s="6" t="n">
        <v>0</v>
      </c>
      <c r="F42" s="9" t="n">
        <v>1.48</v>
      </c>
      <c r="G42" s="9" t="n">
        <v>1.2</v>
      </c>
      <c r="H42" s="9" t="n">
        <v>0.77</v>
      </c>
      <c r="I42" s="9" t="n">
        <v>1.46</v>
      </c>
      <c r="J42" s="9" t="n">
        <v>-0.71</v>
      </c>
      <c r="K42" s="9" t="n">
        <v>0.26</v>
      </c>
      <c r="L42" s="9" t="n">
        <v>-0.97</v>
      </c>
      <c r="M42" s="9" t="n">
        <v>-0.44</v>
      </c>
      <c r="N42" s="9" t="n">
        <v>0.86</v>
      </c>
      <c r="O42" s="9" t="n">
        <v>1.87</v>
      </c>
      <c r="P42" s="9" t="n">
        <v>1.57</v>
      </c>
      <c r="Q42" s="9" t="n">
        <v>1.18</v>
      </c>
    </row>
    <row r="43">
      <c r="A43" s="8" t="inlineStr">
        <is>
          <t>2026-09-01</t>
        </is>
      </c>
      <c r="B43" s="8" t="inlineStr">
        <is>
          <t>Accrington Stanley</t>
        </is>
      </c>
      <c r="C43" s="8" t="inlineStr">
        <is>
          <t>Grimsby Town</t>
        </is>
      </c>
      <c r="D43" s="8" t="n">
        <v>2</v>
      </c>
      <c r="E43" s="8" t="n">
        <v>2</v>
      </c>
      <c r="F43" s="10" t="n">
        <v>1.09</v>
      </c>
      <c r="G43" s="10" t="n">
        <v>1.62</v>
      </c>
      <c r="H43" s="10" t="n">
        <v>2.6</v>
      </c>
      <c r="I43" s="10" t="n">
        <v>2.19</v>
      </c>
      <c r="J43" s="10" t="n">
        <v>1.51</v>
      </c>
      <c r="K43" s="10" t="n">
        <v>0.57</v>
      </c>
      <c r="L43" s="10" t="n">
        <v>0.9399999999999999</v>
      </c>
      <c r="M43" s="10" t="n">
        <v>2.08</v>
      </c>
      <c r="N43" s="10" t="n">
        <v>1.62</v>
      </c>
      <c r="O43" s="10" t="n">
        <v>1.19</v>
      </c>
      <c r="P43" s="10" t="n">
        <v>1.02</v>
      </c>
      <c r="Q43" s="10" t="n">
        <v>1.74</v>
      </c>
    </row>
    <row r="44">
      <c r="A44" s="6" t="inlineStr">
        <is>
          <t>2026-09-01</t>
        </is>
      </c>
      <c r="B44" s="6" t="inlineStr">
        <is>
          <t>Bristol Rvs</t>
        </is>
      </c>
      <c r="C44" s="6" t="inlineStr">
        <is>
          <t>Colchester United</t>
        </is>
      </c>
      <c r="D44" s="6" t="n">
        <v>2</v>
      </c>
      <c r="E44" s="6" t="n">
        <v>0</v>
      </c>
      <c r="F44" s="9" t="n">
        <v>1.74</v>
      </c>
      <c r="G44" s="9" t="n">
        <v>1.09</v>
      </c>
      <c r="H44" s="9" t="n">
        <v>2.99</v>
      </c>
      <c r="I44" s="9" t="n">
        <v>0.86</v>
      </c>
      <c r="J44" s="9" t="n">
        <v>1.25</v>
      </c>
      <c r="K44" s="9" t="n">
        <v>-0.23</v>
      </c>
      <c r="L44" s="9" t="n">
        <v>1.48</v>
      </c>
      <c r="M44" s="9" t="n">
        <v>1.02</v>
      </c>
      <c r="N44" s="9" t="n">
        <v>2.52</v>
      </c>
      <c r="O44" s="9" t="n">
        <v>0.35</v>
      </c>
      <c r="P44" s="9" t="n">
        <v>1.82</v>
      </c>
      <c r="Q44" s="9" t="n">
        <v>0.95</v>
      </c>
    </row>
    <row r="45">
      <c r="A45" s="8" t="inlineStr">
        <is>
          <t>2026-09-01</t>
        </is>
      </c>
      <c r="B45" s="8" t="inlineStr">
        <is>
          <t>Swindon Town</t>
        </is>
      </c>
      <c r="C45" s="8" t="inlineStr">
        <is>
          <t>Port Vale</t>
        </is>
      </c>
      <c r="D45" s="8" t="n">
        <v>3</v>
      </c>
      <c r="E45" s="8" t="n">
        <v>1</v>
      </c>
      <c r="F45" s="10" t="n">
        <v>1.2</v>
      </c>
      <c r="G45" s="10" t="n">
        <v>1.56</v>
      </c>
      <c r="H45" s="10" t="n">
        <v>2.49</v>
      </c>
      <c r="I45" s="10" t="n">
        <v>1.03</v>
      </c>
      <c r="J45" s="10" t="n">
        <v>1.29</v>
      </c>
      <c r="K45" s="10" t="n">
        <v>-0.53</v>
      </c>
      <c r="L45" s="10" t="n">
        <v>1.82</v>
      </c>
      <c r="M45" s="10" t="n">
        <v>0.76</v>
      </c>
      <c r="N45" s="10" t="n">
        <v>2.25</v>
      </c>
      <c r="O45" s="10" t="n">
        <v>0.58</v>
      </c>
      <c r="P45" s="10" t="n">
        <v>1.13</v>
      </c>
      <c r="Q45" s="10" t="n">
        <v>1.62</v>
      </c>
    </row>
    <row r="46">
      <c r="A46" s="6" t="inlineStr">
        <is>
          <t>2026-09-01</t>
        </is>
      </c>
      <c r="B46" s="6" t="inlineStr">
        <is>
          <t>Crewe Alexandra</t>
        </is>
      </c>
      <c r="C46" s="6" t="inlineStr">
        <is>
          <t>Walsall</t>
        </is>
      </c>
      <c r="D46" s="6" t="n">
        <v>2</v>
      </c>
      <c r="E46" s="6" t="n">
        <v>2</v>
      </c>
      <c r="F46" s="9" t="n">
        <v>1.52</v>
      </c>
      <c r="G46" s="9" t="n">
        <v>1.27</v>
      </c>
      <c r="H46" s="9" t="n">
        <v>1.49</v>
      </c>
      <c r="I46" s="9" t="n">
        <v>1.82</v>
      </c>
      <c r="J46" s="9" t="n">
        <v>-0.03</v>
      </c>
      <c r="K46" s="9" t="n">
        <v>0.55</v>
      </c>
      <c r="L46" s="9" t="n">
        <v>-0.58</v>
      </c>
      <c r="M46" s="9" t="n">
        <v>0.52</v>
      </c>
      <c r="N46" s="9" t="n">
        <v>1.18</v>
      </c>
      <c r="O46" s="9" t="n">
        <v>1.59</v>
      </c>
      <c r="P46" s="9" t="n">
        <v>1.54</v>
      </c>
      <c r="Q46" s="9" t="n">
        <v>1.21</v>
      </c>
    </row>
    <row r="47">
      <c r="A47" s="8" t="inlineStr">
        <is>
          <t>2026-09-01</t>
        </is>
      </c>
      <c r="B47" s="8" t="inlineStr">
        <is>
          <t>Chesterfield</t>
        </is>
      </c>
      <c r="C47" s="8" t="inlineStr">
        <is>
          <t>Gillingham</t>
        </is>
      </c>
      <c r="D47" s="8" t="n">
        <v>1</v>
      </c>
      <c r="E47" s="8" t="n">
        <v>1</v>
      </c>
      <c r="F47" s="10" t="n">
        <v>1.79</v>
      </c>
      <c r="G47" s="10" t="n">
        <v>0.83</v>
      </c>
      <c r="H47" s="10" t="n">
        <v>2.05</v>
      </c>
      <c r="I47" s="10" t="n">
        <v>0.5600000000000001</v>
      </c>
      <c r="J47" s="10" t="n">
        <v>0.26</v>
      </c>
      <c r="K47" s="10" t="n">
        <v>-0.27</v>
      </c>
      <c r="L47" s="10" t="n">
        <v>0.54</v>
      </c>
      <c r="M47" s="10" t="n">
        <v>-0.01</v>
      </c>
      <c r="N47" s="10" t="n">
        <v>2.36</v>
      </c>
      <c r="O47" s="10" t="n">
        <v>0.46</v>
      </c>
      <c r="P47" s="10" t="n">
        <v>2.03</v>
      </c>
      <c r="Q47" s="10" t="n">
        <v>0.74</v>
      </c>
    </row>
    <row r="48">
      <c r="A48" s="6" t="inlineStr">
        <is>
          <t>2026-09-01</t>
        </is>
      </c>
      <c r="B48" s="6" t="inlineStr">
        <is>
          <t>Exeter</t>
        </is>
      </c>
      <c r="C48" s="6" t="inlineStr">
        <is>
          <t>Barnet</t>
        </is>
      </c>
      <c r="D48" s="6" t="n">
        <v>1</v>
      </c>
      <c r="E48" s="6" t="n">
        <v>1</v>
      </c>
      <c r="F48" s="9" t="n">
        <v>1.18</v>
      </c>
      <c r="G48" s="9" t="n">
        <v>1.76</v>
      </c>
      <c r="H48" s="9" t="n">
        <v>1.05</v>
      </c>
      <c r="I48" s="9" t="n">
        <v>1.02</v>
      </c>
      <c r="J48" s="9" t="n">
        <v>-0.13</v>
      </c>
      <c r="K48" s="9" t="n">
        <v>-0.74</v>
      </c>
      <c r="L48" s="9" t="n">
        <v>0.61</v>
      </c>
      <c r="M48" s="9" t="n">
        <v>-0.86</v>
      </c>
      <c r="N48" s="9" t="n">
        <v>1.37</v>
      </c>
      <c r="O48" s="9" t="n">
        <v>1.33</v>
      </c>
      <c r="P48" s="9" t="n">
        <v>1</v>
      </c>
      <c r="Q48" s="9" t="n">
        <v>1.76</v>
      </c>
    </row>
    <row r="49">
      <c r="A49" s="8" t="inlineStr">
        <is>
          <t>2026-09-01</t>
        </is>
      </c>
      <c r="B49" s="8" t="inlineStr">
        <is>
          <t>Cheltenham Town</t>
        </is>
      </c>
      <c r="C49" s="8" t="inlineStr">
        <is>
          <t>York</t>
        </is>
      </c>
      <c r="D49" s="8" t="n">
        <v>3</v>
      </c>
      <c r="E49" s="8" t="n">
        <v>2</v>
      </c>
      <c r="F49" s="10" t="n">
        <v>1.1</v>
      </c>
      <c r="G49" s="10" t="n">
        <v>1.7</v>
      </c>
      <c r="H49" s="10" t="n">
        <v>1.36</v>
      </c>
      <c r="I49" s="10" t="n">
        <v>2.59</v>
      </c>
      <c r="J49" s="10" t="n">
        <v>0.26</v>
      </c>
      <c r="K49" s="10" t="n">
        <v>0.89</v>
      </c>
      <c r="L49" s="10" t="n">
        <v>-0.63</v>
      </c>
      <c r="M49" s="10" t="n">
        <v>1.15</v>
      </c>
      <c r="N49" s="10" t="n">
        <v>0.73</v>
      </c>
      <c r="O49" s="10" t="n">
        <v>2.09</v>
      </c>
      <c r="P49" s="10" t="n">
        <v>0.98</v>
      </c>
      <c r="Q49" s="10" t="n">
        <v>1.78</v>
      </c>
    </row>
    <row r="50">
      <c r="A50" s="6" t="inlineStr">
        <is>
          <t>2026-09-05</t>
        </is>
      </c>
      <c r="B50" s="6" t="inlineStr">
        <is>
          <t>Swindon Town</t>
        </is>
      </c>
      <c r="C50" s="6" t="inlineStr">
        <is>
          <t>Colchester United</t>
        </is>
      </c>
      <c r="D50" s="6" t="n">
        <v>3</v>
      </c>
      <c r="E50" s="6" t="n">
        <v>1</v>
      </c>
      <c r="F50" s="9" t="n">
        <v>1.4</v>
      </c>
      <c r="G50" s="9" t="n">
        <v>1.34</v>
      </c>
      <c r="H50" s="9" t="n">
        <v>2.06</v>
      </c>
      <c r="I50" s="9" t="n">
        <v>1.49</v>
      </c>
      <c r="J50" s="9" t="n">
        <v>0.66</v>
      </c>
      <c r="K50" s="9" t="n">
        <v>0.15</v>
      </c>
      <c r="L50" s="9" t="n">
        <v>0.51</v>
      </c>
      <c r="M50" s="9" t="n">
        <v>0.8100000000000001</v>
      </c>
      <c r="N50" s="9" t="n">
        <v>1.74</v>
      </c>
      <c r="O50" s="9" t="n">
        <v>1.05</v>
      </c>
      <c r="P50" s="9" t="n">
        <v>1.41</v>
      </c>
      <c r="Q50" s="9" t="n">
        <v>1.33</v>
      </c>
    </row>
    <row r="51">
      <c r="A51" s="8" t="inlineStr">
        <is>
          <t>2026-09-05</t>
        </is>
      </c>
      <c r="B51" s="8" t="inlineStr">
        <is>
          <t>Rochdale</t>
        </is>
      </c>
      <c r="C51" s="8" t="inlineStr">
        <is>
          <t>Gillingham</t>
        </is>
      </c>
      <c r="D51" s="8" t="n">
        <v>1</v>
      </c>
      <c r="E51" s="8" t="n">
        <v>4</v>
      </c>
      <c r="F51" s="10" t="n">
        <v>1.45</v>
      </c>
      <c r="G51" s="10" t="n">
        <v>1.07</v>
      </c>
      <c r="H51" s="10" t="n">
        <v>0.8</v>
      </c>
      <c r="I51" s="10" t="n">
        <v>1.95</v>
      </c>
      <c r="J51" s="10" t="n">
        <v>-0.65</v>
      </c>
      <c r="K51" s="10" t="n">
        <v>0.88</v>
      </c>
      <c r="L51" s="10" t="n">
        <v>-1.53</v>
      </c>
      <c r="M51" s="10" t="n">
        <v>0.22</v>
      </c>
      <c r="N51" s="10" t="n">
        <v>0.65</v>
      </c>
      <c r="O51" s="10" t="n">
        <v>2.14</v>
      </c>
      <c r="P51" s="10" t="n">
        <v>1.64</v>
      </c>
      <c r="Q51" s="10" t="n">
        <v>1.1</v>
      </c>
    </row>
    <row r="52">
      <c r="A52" s="6" t="inlineStr">
        <is>
          <t>2026-09-05</t>
        </is>
      </c>
      <c r="B52" s="6" t="inlineStr">
        <is>
          <t>Accrington Stanley</t>
        </is>
      </c>
      <c r="C52" s="6" t="inlineStr">
        <is>
          <t>Crawley Town</t>
        </is>
      </c>
      <c r="D52" s="6" t="n">
        <v>3</v>
      </c>
      <c r="E52" s="6" t="n">
        <v>2</v>
      </c>
      <c r="F52" s="9" t="n">
        <v>1.66</v>
      </c>
      <c r="G52" s="9" t="n">
        <v>1.17</v>
      </c>
      <c r="H52" s="9" t="n">
        <v>2.07</v>
      </c>
      <c r="I52" s="9" t="n">
        <v>1.49</v>
      </c>
      <c r="J52" s="9" t="n">
        <v>0.41</v>
      </c>
      <c r="K52" s="9" t="n">
        <v>0.32</v>
      </c>
      <c r="L52" s="9" t="n">
        <v>0.09</v>
      </c>
      <c r="M52" s="9" t="n">
        <v>0.73</v>
      </c>
      <c r="N52" s="9" t="n">
        <v>1.74</v>
      </c>
      <c r="O52" s="9" t="n">
        <v>1.04</v>
      </c>
      <c r="P52" s="9" t="n">
        <v>1.71</v>
      </c>
      <c r="Q52" s="9" t="n">
        <v>1.05</v>
      </c>
    </row>
    <row r="53">
      <c r="A53" s="8" t="inlineStr">
        <is>
          <t>2026-09-05</t>
        </is>
      </c>
      <c r="B53" s="8" t="inlineStr">
        <is>
          <t>Cheltenham Town</t>
        </is>
      </c>
      <c r="C53" s="8" t="inlineStr">
        <is>
          <t>Grimsby Town</t>
        </is>
      </c>
      <c r="D53" s="8" t="n">
        <v>2</v>
      </c>
      <c r="E53" s="8" t="n">
        <v>2</v>
      </c>
      <c r="F53" s="10" t="n">
        <v>1.17</v>
      </c>
      <c r="G53" s="10" t="n">
        <v>1.68</v>
      </c>
      <c r="H53" s="10" t="n">
        <v>1.29</v>
      </c>
      <c r="I53" s="10" t="n">
        <v>1.59</v>
      </c>
      <c r="J53" s="10" t="n">
        <v>0.12</v>
      </c>
      <c r="K53" s="10" t="n">
        <v>-0.08</v>
      </c>
      <c r="L53" s="10" t="n">
        <v>0.21</v>
      </c>
      <c r="M53" s="10" t="n">
        <v>0.04</v>
      </c>
      <c r="N53" s="10" t="n">
        <v>1.18</v>
      </c>
      <c r="O53" s="10" t="n">
        <v>1.58</v>
      </c>
      <c r="P53" s="10" t="n">
        <v>1.04</v>
      </c>
      <c r="Q53" s="10" t="n">
        <v>1.72</v>
      </c>
    </row>
    <row r="54">
      <c r="A54" s="6" t="inlineStr">
        <is>
          <t>2026-09-05</t>
        </is>
      </c>
      <c r="B54" s="6" t="inlineStr">
        <is>
          <t>Northampton Town</t>
        </is>
      </c>
      <c r="C54" s="6" t="inlineStr">
        <is>
          <t>Newport County</t>
        </is>
      </c>
      <c r="D54" s="6" t="n">
        <v>1</v>
      </c>
      <c r="E54" s="6" t="n">
        <v>0</v>
      </c>
      <c r="F54" s="9" t="n">
        <v>1.67</v>
      </c>
      <c r="G54" s="9" t="n">
        <v>0.91</v>
      </c>
      <c r="H54" s="9" t="n">
        <v>0.45</v>
      </c>
      <c r="I54" s="9" t="n">
        <v>0.32</v>
      </c>
      <c r="J54" s="9" t="n">
        <v>-1.22</v>
      </c>
      <c r="K54" s="9" t="n">
        <v>-0.59</v>
      </c>
      <c r="L54" s="9" t="n">
        <v>-0.62</v>
      </c>
      <c r="M54" s="9" t="n">
        <v>-1.81</v>
      </c>
      <c r="N54" s="9" t="n">
        <v>1.38</v>
      </c>
      <c r="O54" s="9" t="n">
        <v>1.09</v>
      </c>
      <c r="P54" s="9" t="n">
        <v>1.9</v>
      </c>
      <c r="Q54" s="9" t="n">
        <v>0.86</v>
      </c>
    </row>
    <row r="55">
      <c r="A55" s="8" t="inlineStr">
        <is>
          <t>2026-09-05</t>
        </is>
      </c>
      <c r="B55" s="8" t="inlineStr">
        <is>
          <t>Crewe Alexandra</t>
        </is>
      </c>
      <c r="C55" s="8" t="inlineStr">
        <is>
          <t>York</t>
        </is>
      </c>
      <c r="D55" s="8" t="n">
        <v>1</v>
      </c>
      <c r="E55" s="8" t="n">
        <v>1</v>
      </c>
      <c r="F55" s="10" t="n">
        <v>1.28</v>
      </c>
      <c r="G55" s="10" t="n">
        <v>1.44</v>
      </c>
      <c r="H55" s="10" t="n">
        <v>1.14</v>
      </c>
      <c r="I55" s="10" t="n">
        <v>2.51</v>
      </c>
      <c r="J55" s="10" t="n">
        <v>-0.14</v>
      </c>
      <c r="K55" s="10" t="n">
        <v>1.07</v>
      </c>
      <c r="L55" s="10" t="n">
        <v>-1.22</v>
      </c>
      <c r="M55" s="10" t="n">
        <v>0.93</v>
      </c>
      <c r="N55" s="10" t="n">
        <v>0.64</v>
      </c>
      <c r="O55" s="10" t="n">
        <v>2.19</v>
      </c>
      <c r="P55" s="10" t="n">
        <v>1.27</v>
      </c>
      <c r="Q55" s="10" t="n">
        <v>1.48</v>
      </c>
    </row>
    <row r="56">
      <c r="A56" s="6" t="inlineStr">
        <is>
          <t>2026-09-05</t>
        </is>
      </c>
      <c r="B56" s="6" t="inlineStr">
        <is>
          <t>Salford City</t>
        </is>
      </c>
      <c r="C56" s="6" t="inlineStr">
        <is>
          <t>Port Vale</t>
        </is>
      </c>
      <c r="D56" s="6" t="n">
        <v>1</v>
      </c>
      <c r="E56" s="6" t="n">
        <v>0</v>
      </c>
      <c r="F56" s="9" t="n">
        <v>1.64</v>
      </c>
      <c r="G56" s="9" t="n">
        <v>1.03</v>
      </c>
      <c r="H56" s="9" t="n">
        <v>0.32</v>
      </c>
      <c r="I56" s="9" t="n">
        <v>0.68</v>
      </c>
      <c r="J56" s="9" t="n">
        <v>-1.32</v>
      </c>
      <c r="K56" s="9" t="n">
        <v>-0.35</v>
      </c>
      <c r="L56" s="9" t="n">
        <v>-0.98</v>
      </c>
      <c r="M56" s="9" t="n">
        <v>-1.67</v>
      </c>
      <c r="N56" s="9" t="n">
        <v>0.91</v>
      </c>
      <c r="O56" s="9" t="n">
        <v>1.64</v>
      </c>
      <c r="P56" s="9" t="n">
        <v>1.8</v>
      </c>
      <c r="Q56" s="9" t="n">
        <v>0.96</v>
      </c>
    </row>
    <row r="57">
      <c r="A57" s="8" t="inlineStr">
        <is>
          <t>2026-09-05</t>
        </is>
      </c>
      <c r="B57" s="8" t="inlineStr">
        <is>
          <t>Fleetwood Town</t>
        </is>
      </c>
      <c r="C57" s="8" t="inlineStr">
        <is>
          <t>Shrewsbury Town</t>
        </is>
      </c>
      <c r="D57" s="8" t="n">
        <v>2</v>
      </c>
      <c r="E57" s="8" t="n">
        <v>0</v>
      </c>
      <c r="F57" s="10" t="n">
        <v>1.56</v>
      </c>
      <c r="G57" s="10" t="n">
        <v>0.99</v>
      </c>
      <c r="H57" s="10" t="n">
        <v>0.8</v>
      </c>
      <c r="I57" s="10" t="n">
        <v>0.71</v>
      </c>
      <c r="J57" s="10" t="n">
        <v>-0.76</v>
      </c>
      <c r="K57" s="10" t="n">
        <v>-0.28</v>
      </c>
      <c r="L57" s="10" t="n">
        <v>-0.48</v>
      </c>
      <c r="M57" s="10" t="n">
        <v>-1.04</v>
      </c>
      <c r="N57" s="10" t="n">
        <v>1.4</v>
      </c>
      <c r="O57" s="10" t="n">
        <v>1.24</v>
      </c>
      <c r="P57" s="10" t="n">
        <v>1.77</v>
      </c>
      <c r="Q57" s="10" t="n">
        <v>0.97</v>
      </c>
    </row>
    <row r="58">
      <c r="A58" s="6" t="inlineStr">
        <is>
          <t>2026-09-05</t>
        </is>
      </c>
      <c r="B58" s="6" t="inlineStr">
        <is>
          <t>Exeter</t>
        </is>
      </c>
      <c r="C58" s="6" t="inlineStr">
        <is>
          <t>Walsall</t>
        </is>
      </c>
      <c r="D58" s="6" t="n">
        <v>0</v>
      </c>
      <c r="E58" s="6" t="n">
        <v>0</v>
      </c>
      <c r="F58" s="9" t="n">
        <v>1.41</v>
      </c>
      <c r="G58" s="9" t="n">
        <v>1.35</v>
      </c>
      <c r="H58" s="9" t="n">
        <v>1.52</v>
      </c>
      <c r="I58" s="9" t="n">
        <v>0.4</v>
      </c>
      <c r="J58" s="9" t="n">
        <v>0.11</v>
      </c>
      <c r="K58" s="9" t="n">
        <v>-0.95</v>
      </c>
      <c r="L58" s="9" t="n">
        <v>1.06</v>
      </c>
      <c r="M58" s="9" t="n">
        <v>-0.84</v>
      </c>
      <c r="N58" s="9" t="n">
        <v>2.21</v>
      </c>
      <c r="O58" s="9" t="n">
        <v>0.53</v>
      </c>
      <c r="P58" s="9" t="n">
        <v>1.42</v>
      </c>
      <c r="Q58" s="9" t="n">
        <v>1.33</v>
      </c>
    </row>
    <row r="59">
      <c r="A59" s="8" t="inlineStr">
        <is>
          <t>2026-09-05</t>
        </is>
      </c>
      <c r="B59" s="8" t="inlineStr">
        <is>
          <t>Chesterfield</t>
        </is>
      </c>
      <c r="C59" s="8" t="inlineStr">
        <is>
          <t>Barnet</t>
        </is>
      </c>
      <c r="D59" s="8" t="n">
        <v>3</v>
      </c>
      <c r="E59" s="8" t="n">
        <v>3</v>
      </c>
      <c r="F59" s="10" t="n">
        <v>1.59</v>
      </c>
      <c r="G59" s="10" t="n">
        <v>1.24</v>
      </c>
      <c r="H59" s="10" t="n">
        <v>2.41</v>
      </c>
      <c r="I59" s="10" t="n">
        <v>2.4</v>
      </c>
      <c r="J59" s="10" t="n">
        <v>0.82</v>
      </c>
      <c r="K59" s="10" t="n">
        <v>1.16</v>
      </c>
      <c r="L59" s="10" t="n">
        <v>-0.34</v>
      </c>
      <c r="M59" s="10" t="n">
        <v>1.97</v>
      </c>
      <c r="N59" s="10" t="n">
        <v>1.41</v>
      </c>
      <c r="O59" s="10" t="n">
        <v>1.4</v>
      </c>
      <c r="P59" s="10" t="n">
        <v>1.61</v>
      </c>
      <c r="Q59" s="10" t="n">
        <v>1.14</v>
      </c>
    </row>
    <row r="60">
      <c r="A60" s="6" t="inlineStr">
        <is>
          <t>2026-09-05</t>
        </is>
      </c>
      <c r="B60" s="6" t="inlineStr">
        <is>
          <t>Tranmere Rovers</t>
        </is>
      </c>
      <c r="C60" s="6" t="inlineStr">
        <is>
          <t>Oldham Athletic</t>
        </is>
      </c>
      <c r="D60" s="6" t="n">
        <v>2</v>
      </c>
      <c r="E60" s="6" t="n">
        <v>0</v>
      </c>
      <c r="F60" s="9" t="n">
        <v>1.15</v>
      </c>
      <c r="G60" s="9" t="n">
        <v>1.41</v>
      </c>
      <c r="H60" s="9" t="n">
        <v>1.96</v>
      </c>
      <c r="I60" s="9" t="n">
        <v>1.94</v>
      </c>
      <c r="J60" s="9" t="n">
        <v>0.8100000000000001</v>
      </c>
      <c r="K60" s="9" t="n">
        <v>0.53</v>
      </c>
      <c r="L60" s="9" t="n">
        <v>0.28</v>
      </c>
      <c r="M60" s="9" t="n">
        <v>1.33</v>
      </c>
      <c r="N60" s="9" t="n">
        <v>1.41</v>
      </c>
      <c r="O60" s="9" t="n">
        <v>1.38</v>
      </c>
      <c r="P60" s="9" t="n">
        <v>1.19</v>
      </c>
      <c r="Q60" s="9" t="n">
        <v>1.55</v>
      </c>
    </row>
    <row r="61">
      <c r="A61" s="8" t="inlineStr">
        <is>
          <t>2026-09-05</t>
        </is>
      </c>
      <c r="B61" s="8" t="inlineStr">
        <is>
          <t>Bristol Rvs</t>
        </is>
      </c>
      <c r="C61" s="8" t="inlineStr">
        <is>
          <t>Rotherham United</t>
        </is>
      </c>
      <c r="D61" s="8" t="n">
        <v>1</v>
      </c>
      <c r="E61" s="8" t="n">
        <v>0</v>
      </c>
      <c r="F61" s="10" t="n">
        <v>1.91</v>
      </c>
      <c r="G61" s="10" t="n">
        <v>1.13</v>
      </c>
      <c r="H61" s="10" t="n">
        <v>0.84</v>
      </c>
      <c r="I61" s="10" t="n">
        <v>0.63</v>
      </c>
      <c r="J61" s="10" t="n">
        <v>-1.07</v>
      </c>
      <c r="K61" s="10" t="n">
        <v>-0.5</v>
      </c>
      <c r="L61" s="10" t="n">
        <v>-0.57</v>
      </c>
      <c r="M61" s="10" t="n">
        <v>-1.57</v>
      </c>
      <c r="N61" s="10" t="n">
        <v>1.5</v>
      </c>
      <c r="O61" s="10" t="n">
        <v>1.13</v>
      </c>
      <c r="P61" s="10" t="n">
        <v>1.89</v>
      </c>
      <c r="Q61" s="10" t="n">
        <v>0.89</v>
      </c>
    </row>
    <row r="62">
      <c r="A62" s="6" t="inlineStr">
        <is>
          <t>2026-09-12</t>
        </is>
      </c>
      <c r="B62" s="6" t="inlineStr">
        <is>
          <t>Colchester United</t>
        </is>
      </c>
      <c r="C62" s="6" t="inlineStr">
        <is>
          <t>Crewe Alexandra</t>
        </is>
      </c>
      <c r="D62" s="6" t="n">
        <v>1</v>
      </c>
      <c r="E62" s="6" t="n">
        <v>1</v>
      </c>
      <c r="F62" s="9" t="n">
        <v>1.58</v>
      </c>
      <c r="G62" s="9" t="n">
        <v>1.2</v>
      </c>
      <c r="H62" s="9" t="n">
        <v>1.3</v>
      </c>
      <c r="I62" s="9" t="n">
        <v>0.64</v>
      </c>
      <c r="J62" s="9" t="n">
        <v>-0.28</v>
      </c>
      <c r="K62" s="9" t="n">
        <v>-0.5600000000000001</v>
      </c>
      <c r="L62" s="9" t="n">
        <v>0.28</v>
      </c>
      <c r="M62" s="9" t="n">
        <v>-0.85</v>
      </c>
      <c r="N62" s="9" t="n">
        <v>1.87</v>
      </c>
      <c r="O62" s="9" t="n">
        <v>0.84</v>
      </c>
      <c r="P62" s="9" t="n">
        <v>1.63</v>
      </c>
      <c r="Q62" s="9" t="n">
        <v>1.12</v>
      </c>
    </row>
    <row r="63">
      <c r="A63" s="8" t="inlineStr">
        <is>
          <t>2026-09-12</t>
        </is>
      </c>
      <c r="B63" s="8" t="inlineStr">
        <is>
          <t>York</t>
        </is>
      </c>
      <c r="C63" s="8" t="inlineStr">
        <is>
          <t>Swindon Town</t>
        </is>
      </c>
      <c r="D63" s="8" t="n">
        <v>4</v>
      </c>
      <c r="E63" s="8" t="n">
        <v>0</v>
      </c>
      <c r="F63" s="10" t="n">
        <v>2.02</v>
      </c>
      <c r="G63" s="10" t="n">
        <v>1.07</v>
      </c>
      <c r="H63" s="10" t="n">
        <v>2.59</v>
      </c>
      <c r="I63" s="10" t="n">
        <v>0.49</v>
      </c>
      <c r="J63" s="10" t="n">
        <v>0.57</v>
      </c>
      <c r="K63" s="10" t="n">
        <v>-0.58</v>
      </c>
      <c r="L63" s="10" t="n">
        <v>1.15</v>
      </c>
      <c r="M63" s="10" t="n">
        <v>-0.01</v>
      </c>
      <c r="N63" s="10" t="n">
        <v>2.6</v>
      </c>
      <c r="O63" s="10" t="n">
        <v>0.28</v>
      </c>
      <c r="P63" s="10" t="n">
        <v>1.99</v>
      </c>
      <c r="Q63" s="10" t="n">
        <v>0.8</v>
      </c>
    </row>
    <row r="64">
      <c r="A64" s="6" t="inlineStr">
        <is>
          <t>2026-09-12</t>
        </is>
      </c>
      <c r="B64" s="6" t="inlineStr">
        <is>
          <t>Crawley Town</t>
        </is>
      </c>
      <c r="C64" s="6" t="inlineStr">
        <is>
          <t>Cheltenham Town</t>
        </is>
      </c>
      <c r="D64" s="6" t="n">
        <v>1</v>
      </c>
      <c r="E64" s="6" t="n">
        <v>3</v>
      </c>
      <c r="F64" s="9" t="n">
        <v>1.53</v>
      </c>
      <c r="G64" s="9" t="n">
        <v>1.41</v>
      </c>
      <c r="H64" s="9" t="n">
        <v>1.44</v>
      </c>
      <c r="I64" s="9" t="n">
        <v>1.9</v>
      </c>
      <c r="J64" s="9" t="n">
        <v>-0.09</v>
      </c>
      <c r="K64" s="9" t="n">
        <v>0.49</v>
      </c>
      <c r="L64" s="9" t="n">
        <v>-0.57</v>
      </c>
      <c r="M64" s="9" t="n">
        <v>0.4</v>
      </c>
      <c r="N64" s="9" t="n">
        <v>1.1</v>
      </c>
      <c r="O64" s="9" t="n">
        <v>1.68</v>
      </c>
      <c r="P64" s="9" t="n">
        <v>1.45</v>
      </c>
      <c r="Q64" s="9" t="n">
        <v>1.3</v>
      </c>
    </row>
    <row r="65">
      <c r="A65" s="8" t="inlineStr">
        <is>
          <t>2026-09-12</t>
        </is>
      </c>
      <c r="B65" s="8" t="inlineStr">
        <is>
          <t>Oldham Athletic</t>
        </is>
      </c>
      <c r="C65" s="8" t="inlineStr">
        <is>
          <t>Chesterfield</t>
        </is>
      </c>
      <c r="D65" s="8" t="n">
        <v>1</v>
      </c>
      <c r="E65" s="8" t="n">
        <v>2</v>
      </c>
      <c r="F65" s="10" t="n">
        <v>1.49</v>
      </c>
      <c r="G65" s="10" t="n">
        <v>1.17</v>
      </c>
      <c r="H65" s="10" t="n">
        <v>1.08</v>
      </c>
      <c r="I65" s="10" t="n">
        <v>2.24</v>
      </c>
      <c r="J65" s="10" t="n">
        <v>-0.41</v>
      </c>
      <c r="K65" s="10" t="n">
        <v>1.07</v>
      </c>
      <c r="L65" s="10" t="n">
        <v>-1.49</v>
      </c>
      <c r="M65" s="10" t="n">
        <v>0.66</v>
      </c>
      <c r="N65" s="10" t="n">
        <v>0.71</v>
      </c>
      <c r="O65" s="10" t="n">
        <v>2.1</v>
      </c>
      <c r="P65" s="10" t="n">
        <v>1.6</v>
      </c>
      <c r="Q65" s="10" t="n">
        <v>1.15</v>
      </c>
    </row>
    <row r="66">
      <c r="A66" s="6" t="inlineStr">
        <is>
          <t>2026-09-12</t>
        </is>
      </c>
      <c r="B66" s="6" t="inlineStr">
        <is>
          <t>Gillingham</t>
        </is>
      </c>
      <c r="C66" s="6" t="inlineStr">
        <is>
          <t>Tranmere Rovers</t>
        </is>
      </c>
      <c r="D66" s="6" t="n">
        <v>2</v>
      </c>
      <c r="E66" s="6" t="n">
        <v>0</v>
      </c>
      <c r="F66" s="9" t="n">
        <v>1.28</v>
      </c>
      <c r="G66" s="9" t="n">
        <v>1.26</v>
      </c>
      <c r="H66" s="9" t="n">
        <v>1.49</v>
      </c>
      <c r="I66" s="9" t="n">
        <v>1.25</v>
      </c>
      <c r="J66" s="9" t="n">
        <v>0.21</v>
      </c>
      <c r="K66" s="9" t="n">
        <v>-0.01</v>
      </c>
      <c r="L66" s="9" t="n">
        <v>0.22</v>
      </c>
      <c r="M66" s="9" t="n">
        <v>0.2</v>
      </c>
      <c r="N66" s="9" t="n">
        <v>1.54</v>
      </c>
      <c r="O66" s="9" t="n">
        <v>1.21</v>
      </c>
      <c r="P66" s="9" t="n">
        <v>1.38</v>
      </c>
      <c r="Q66" s="9" t="n">
        <v>1.35</v>
      </c>
    </row>
    <row r="67">
      <c r="A67" s="8" t="inlineStr">
        <is>
          <t>2026-09-12</t>
        </is>
      </c>
      <c r="B67" s="8" t="inlineStr">
        <is>
          <t>Barnet</t>
        </is>
      </c>
      <c r="C67" s="8" t="inlineStr">
        <is>
          <t>Accrington Stanley</t>
        </is>
      </c>
      <c r="D67" s="8" t="n">
        <v>2</v>
      </c>
      <c r="E67" s="8" t="n">
        <v>1</v>
      </c>
      <c r="F67" s="10" t="n">
        <v>2.02</v>
      </c>
      <c r="G67" s="10" t="n">
        <v>1.04</v>
      </c>
      <c r="H67" s="10" t="n">
        <v>2.41</v>
      </c>
      <c r="I67" s="10" t="n">
        <v>0.6899999999999999</v>
      </c>
      <c r="J67" s="10" t="n">
        <v>0.39</v>
      </c>
      <c r="K67" s="10" t="n">
        <v>-0.35</v>
      </c>
      <c r="L67" s="10" t="n">
        <v>0.74</v>
      </c>
      <c r="M67" s="10" t="n">
        <v>0.04</v>
      </c>
      <c r="N67" s="10" t="n">
        <v>2.42</v>
      </c>
      <c r="O67" s="10" t="n">
        <v>0.42</v>
      </c>
      <c r="P67" s="10" t="n">
        <v>2.01</v>
      </c>
      <c r="Q67" s="10" t="n">
        <v>0.78</v>
      </c>
    </row>
    <row r="68">
      <c r="A68" s="6" t="inlineStr">
        <is>
          <t>2026-09-12</t>
        </is>
      </c>
      <c r="B68" s="6" t="inlineStr">
        <is>
          <t>Walsall</t>
        </is>
      </c>
      <c r="C68" s="6" t="inlineStr">
        <is>
          <t>Rochdale</t>
        </is>
      </c>
      <c r="D68" s="6" t="n">
        <v>0</v>
      </c>
      <c r="E68" s="6" t="n">
        <v>0</v>
      </c>
      <c r="F68" s="9" t="n">
        <v>1.82</v>
      </c>
      <c r="G68" s="9" t="n">
        <v>1.02</v>
      </c>
      <c r="H68" s="9" t="n">
        <v>1.76</v>
      </c>
      <c r="I68" s="9" t="n">
        <v>0.43</v>
      </c>
      <c r="J68" s="9" t="n">
        <v>-0.06</v>
      </c>
      <c r="K68" s="9" t="n">
        <v>-0.59</v>
      </c>
      <c r="L68" s="9" t="n">
        <v>0.53</v>
      </c>
      <c r="M68" s="9" t="n">
        <v>-0.65</v>
      </c>
      <c r="N68" s="9" t="n">
        <v>2.32</v>
      </c>
      <c r="O68" s="9" t="n">
        <v>0.47</v>
      </c>
      <c r="P68" s="9" t="n">
        <v>1.92</v>
      </c>
      <c r="Q68" s="9" t="n">
        <v>0.86</v>
      </c>
    </row>
    <row r="69">
      <c r="A69" s="8" t="inlineStr">
        <is>
          <t>2026-09-12</t>
        </is>
      </c>
      <c r="B69" s="8" t="inlineStr">
        <is>
          <t>Shrewsbury Town</t>
        </is>
      </c>
      <c r="C69" s="8" t="inlineStr">
        <is>
          <t>Northampton Town</t>
        </is>
      </c>
      <c r="D69" s="8" t="n">
        <v>2</v>
      </c>
      <c r="E69" s="8" t="n">
        <v>0</v>
      </c>
      <c r="F69" s="10" t="n">
        <v>1.2</v>
      </c>
      <c r="G69" s="10" t="n">
        <v>1.17</v>
      </c>
      <c r="H69" s="10" t="n">
        <v>0.87</v>
      </c>
      <c r="I69" s="10" t="n">
        <v>0.5</v>
      </c>
      <c r="J69" s="10" t="n">
        <v>-0.33</v>
      </c>
      <c r="K69" s="10" t="n">
        <v>-0.67</v>
      </c>
      <c r="L69" s="10" t="n">
        <v>0.34</v>
      </c>
      <c r="M69" s="10" t="n">
        <v>-1</v>
      </c>
      <c r="N69" s="10" t="n">
        <v>1.65</v>
      </c>
      <c r="O69" s="10" t="n">
        <v>0.98</v>
      </c>
      <c r="P69" s="10" t="n">
        <v>1.38</v>
      </c>
      <c r="Q69" s="10" t="n">
        <v>1.34</v>
      </c>
    </row>
    <row r="70">
      <c r="A70" s="6" t="inlineStr">
        <is>
          <t>2026-09-12</t>
        </is>
      </c>
      <c r="B70" s="6" t="inlineStr">
        <is>
          <t>Rotherham United</t>
        </is>
      </c>
      <c r="C70" s="6" t="inlineStr">
        <is>
          <t>Salford City</t>
        </is>
      </c>
      <c r="D70" s="6" t="n">
        <v>3</v>
      </c>
      <c r="E70" s="6" t="n">
        <v>3</v>
      </c>
      <c r="F70" s="9" t="n">
        <v>1.34</v>
      </c>
      <c r="G70" s="9" t="n">
        <v>1.49</v>
      </c>
      <c r="H70" s="9" t="n">
        <v>2.46</v>
      </c>
      <c r="I70" s="9" t="n">
        <v>1.45</v>
      </c>
      <c r="J70" s="9" t="n">
        <v>1.12</v>
      </c>
      <c r="K70" s="9" t="n">
        <v>-0.04</v>
      </c>
      <c r="L70" s="9" t="n">
        <v>1.16</v>
      </c>
      <c r="M70" s="9" t="n">
        <v>1.08</v>
      </c>
      <c r="N70" s="9" t="n">
        <v>1.98</v>
      </c>
      <c r="O70" s="9" t="n">
        <v>0.83</v>
      </c>
      <c r="P70" s="9" t="n">
        <v>1.28</v>
      </c>
      <c r="Q70" s="9" t="n">
        <v>1.47</v>
      </c>
    </row>
    <row r="71">
      <c r="A71" s="8" t="inlineStr">
        <is>
          <t>2026-09-12</t>
        </is>
      </c>
      <c r="B71" s="8" t="inlineStr">
        <is>
          <t>Newport County</t>
        </is>
      </c>
      <c r="C71" s="8" t="inlineStr">
        <is>
          <t>Fleetwood Town</t>
        </is>
      </c>
      <c r="D71" s="8" t="n">
        <v>1</v>
      </c>
      <c r="E71" s="8" t="n">
        <v>1</v>
      </c>
      <c r="F71" s="10" t="n">
        <v>1.16</v>
      </c>
      <c r="G71" s="10" t="n">
        <v>1.55</v>
      </c>
      <c r="H71" s="10" t="n">
        <v>2.64</v>
      </c>
      <c r="I71" s="10" t="n">
        <v>1.06</v>
      </c>
      <c r="J71" s="10" t="n">
        <v>1.48</v>
      </c>
      <c r="K71" s="10" t="n">
        <v>-0.49</v>
      </c>
      <c r="L71" s="10" t="n">
        <v>1.97</v>
      </c>
      <c r="M71" s="10" t="n">
        <v>0.99</v>
      </c>
      <c r="N71" s="10" t="n">
        <v>2.29</v>
      </c>
      <c r="O71" s="10" t="n">
        <v>0.55</v>
      </c>
      <c r="P71" s="10" t="n">
        <v>1.11</v>
      </c>
      <c r="Q71" s="10" t="n">
        <v>1.64</v>
      </c>
    </row>
    <row r="72">
      <c r="A72" s="6" t="inlineStr">
        <is>
          <t>2026-09-12</t>
        </is>
      </c>
      <c r="B72" s="6" t="inlineStr">
        <is>
          <t>Grimsby Town</t>
        </is>
      </c>
      <c r="C72" s="6" t="inlineStr">
        <is>
          <t>Bristol Rvs</t>
        </is>
      </c>
      <c r="D72" s="6" t="n">
        <v>2</v>
      </c>
      <c r="E72" s="6" t="n">
        <v>0</v>
      </c>
      <c r="F72" s="9" t="n">
        <v>1.52</v>
      </c>
      <c r="G72" s="9" t="n">
        <v>1.34</v>
      </c>
      <c r="H72" s="9" t="n">
        <v>1.44</v>
      </c>
      <c r="I72" s="9" t="n">
        <v>0.11</v>
      </c>
      <c r="J72" s="9" t="n">
        <v>-0.08</v>
      </c>
      <c r="K72" s="9" t="n">
        <v>-1.23</v>
      </c>
      <c r="L72" s="9" t="n">
        <v>1.15</v>
      </c>
      <c r="M72" s="9" t="n">
        <v>-1.31</v>
      </c>
      <c r="N72" s="9" t="n">
        <v>2.43</v>
      </c>
      <c r="O72" s="9" t="n">
        <v>0.33</v>
      </c>
      <c r="P72" s="9" t="n">
        <v>1.5</v>
      </c>
      <c r="Q72" s="9" t="n">
        <v>1.25</v>
      </c>
    </row>
    <row r="73">
      <c r="A73" s="8" t="inlineStr">
        <is>
          <t>2026-09-12</t>
        </is>
      </c>
      <c r="B73" s="8" t="inlineStr">
        <is>
          <t>Port Vale</t>
        </is>
      </c>
      <c r="C73" s="8" t="inlineStr">
        <is>
          <t>Exeter</t>
        </is>
      </c>
      <c r="D73" s="8" t="n">
        <v>1</v>
      </c>
      <c r="E73" s="8" t="n">
        <v>0</v>
      </c>
      <c r="F73" s="10" t="n">
        <v>1.52</v>
      </c>
      <c r="G73" s="10" t="n">
        <v>1.06</v>
      </c>
      <c r="H73" s="10" t="n">
        <v>1.95</v>
      </c>
      <c r="I73" s="10" t="n">
        <v>0.55</v>
      </c>
      <c r="J73" s="10" t="n">
        <v>0.43</v>
      </c>
      <c r="K73" s="10" t="n">
        <v>-0.51</v>
      </c>
      <c r="L73" s="10" t="n">
        <v>0.93</v>
      </c>
      <c r="M73" s="10" t="n">
        <v>-0.08</v>
      </c>
      <c r="N73" s="10" t="n">
        <v>2.32</v>
      </c>
      <c r="O73" s="10" t="n">
        <v>0.48</v>
      </c>
      <c r="P73" s="10" t="n">
        <v>1.7</v>
      </c>
      <c r="Q73" s="10" t="n">
        <v>1.05</v>
      </c>
    </row>
    <row r="74">
      <c r="A74" s="6" t="inlineStr">
        <is>
          <t>2026-09-19</t>
        </is>
      </c>
      <c r="B74" s="6" t="inlineStr">
        <is>
          <t>Exeter</t>
        </is>
      </c>
      <c r="C74" s="6" t="inlineStr">
        <is>
          <t>Tranmere Rovers</t>
        </is>
      </c>
      <c r="D74" s="6" t="n">
        <v>0</v>
      </c>
      <c r="E74" s="6" t="n">
        <v>0</v>
      </c>
      <c r="F74" s="9" t="n">
        <v>1.45</v>
      </c>
      <c r="G74" s="9" t="n">
        <v>1.16</v>
      </c>
      <c r="H74" s="9" t="n">
        <v>0.73</v>
      </c>
      <c r="I74" s="9" t="n">
        <v>0.88</v>
      </c>
      <c r="J74" s="9" t="n">
        <v>-0.72</v>
      </c>
      <c r="K74" s="9" t="n">
        <v>-0.28</v>
      </c>
      <c r="L74" s="9" t="n">
        <v>-0.44</v>
      </c>
      <c r="M74" s="9" t="n">
        <v>-1</v>
      </c>
      <c r="N74" s="9" t="n">
        <v>1.2</v>
      </c>
      <c r="O74" s="9" t="n">
        <v>1.45</v>
      </c>
      <c r="P74" s="9" t="n">
        <v>1.57</v>
      </c>
      <c r="Q74" s="9" t="n">
        <v>1.17</v>
      </c>
    </row>
    <row r="75">
      <c r="A75" s="8" t="inlineStr">
        <is>
          <t>2026-09-19</t>
        </is>
      </c>
      <c r="B75" s="8" t="inlineStr">
        <is>
          <t>Walsall</t>
        </is>
      </c>
      <c r="C75" s="8" t="inlineStr">
        <is>
          <t>Port Vale</t>
        </is>
      </c>
      <c r="D75" s="8" t="n">
        <v>2</v>
      </c>
      <c r="E75" s="8" t="n">
        <v>0</v>
      </c>
      <c r="F75" s="10" t="n">
        <v>1.36</v>
      </c>
      <c r="G75" s="10" t="n">
        <v>1.26</v>
      </c>
      <c r="H75" s="10" t="n">
        <v>0.87</v>
      </c>
      <c r="I75" s="10" t="n">
        <v>0.54</v>
      </c>
      <c r="J75" s="10" t="n">
        <v>-0.49</v>
      </c>
      <c r="K75" s="10" t="n">
        <v>-0.72</v>
      </c>
      <c r="L75" s="10" t="n">
        <v>0.22</v>
      </c>
      <c r="M75" s="10" t="n">
        <v>-1.21</v>
      </c>
      <c r="N75" s="10" t="n">
        <v>1.61</v>
      </c>
      <c r="O75" s="10" t="n">
        <v>1.02</v>
      </c>
      <c r="P75" s="10" t="n">
        <v>1.44</v>
      </c>
      <c r="Q75" s="10" t="n">
        <v>1.29</v>
      </c>
    </row>
    <row r="76">
      <c r="A76" s="6" t="inlineStr">
        <is>
          <t>2026-09-19</t>
        </is>
      </c>
      <c r="B76" s="6" t="inlineStr">
        <is>
          <t>Rochdale</t>
        </is>
      </c>
      <c r="C76" s="6" t="inlineStr">
        <is>
          <t>Oldham Athletic</t>
        </is>
      </c>
      <c r="D76" s="6" t="n">
        <v>2</v>
      </c>
      <c r="E76" s="6" t="n">
        <v>0</v>
      </c>
      <c r="F76" s="9" t="n">
        <v>1.11</v>
      </c>
      <c r="G76" s="9" t="n">
        <v>1.67</v>
      </c>
      <c r="H76" s="9" t="n">
        <v>0.4</v>
      </c>
      <c r="I76" s="9" t="n">
        <v>2.49</v>
      </c>
      <c r="J76" s="9" t="n">
        <v>-0.71</v>
      </c>
      <c r="K76" s="9" t="n">
        <v>0.82</v>
      </c>
      <c r="L76" s="9" t="n">
        <v>-1.53</v>
      </c>
      <c r="M76" s="9" t="n">
        <v>0.1</v>
      </c>
      <c r="N76" s="9" t="n">
        <v>0.25</v>
      </c>
      <c r="O76" s="9" t="n">
        <v>2.62</v>
      </c>
      <c r="P76" s="9" t="n">
        <v>1</v>
      </c>
      <c r="Q76" s="9" t="n">
        <v>1.75</v>
      </c>
    </row>
    <row r="77">
      <c r="A77" s="8" t="inlineStr">
        <is>
          <t>2026-09-19</t>
        </is>
      </c>
      <c r="B77" s="8" t="inlineStr">
        <is>
          <t>Salford City</t>
        </is>
      </c>
      <c r="C77" s="8" t="inlineStr">
        <is>
          <t>Swindon Town</t>
        </is>
      </c>
      <c r="D77" s="8" t="n">
        <v>1</v>
      </c>
      <c r="E77" s="8" t="n">
        <v>0</v>
      </c>
      <c r="F77" s="10" t="n">
        <v>2.08</v>
      </c>
      <c r="G77" s="10" t="n">
        <v>1.06</v>
      </c>
      <c r="H77" s="10" t="n">
        <v>1.25</v>
      </c>
      <c r="I77" s="10" t="n">
        <v>1.12</v>
      </c>
      <c r="J77" s="10" t="n">
        <v>-0.83</v>
      </c>
      <c r="K77" s="10" t="n">
        <v>0.06</v>
      </c>
      <c r="L77" s="10" t="n">
        <v>-0.9</v>
      </c>
      <c r="M77" s="10" t="n">
        <v>-0.77</v>
      </c>
      <c r="N77" s="10" t="n">
        <v>1.46</v>
      </c>
      <c r="O77" s="10" t="n">
        <v>1.27</v>
      </c>
      <c r="P77" s="10" t="n">
        <v>2.04</v>
      </c>
      <c r="Q77" s="10" t="n">
        <v>0.76</v>
      </c>
    </row>
    <row r="78">
      <c r="A78" s="6" t="inlineStr">
        <is>
          <t>2026-09-19</t>
        </is>
      </c>
      <c r="B78" s="6" t="inlineStr">
        <is>
          <t>Colchester United</t>
        </is>
      </c>
      <c r="C78" s="6" t="inlineStr">
        <is>
          <t>Cheltenham Town</t>
        </is>
      </c>
      <c r="D78" s="6" t="n">
        <v>1</v>
      </c>
      <c r="E78" s="6" t="n">
        <v>1</v>
      </c>
      <c r="F78" s="9" t="n">
        <v>1.7</v>
      </c>
      <c r="G78" s="9" t="n">
        <v>1.13</v>
      </c>
      <c r="H78" s="9" t="n">
        <v>0.87</v>
      </c>
      <c r="I78" s="9" t="n">
        <v>1.53</v>
      </c>
      <c r="J78" s="9" t="n">
        <v>-0.83</v>
      </c>
      <c r="K78" s="9" t="n">
        <v>0.4</v>
      </c>
      <c r="L78" s="9" t="n">
        <v>-1.23</v>
      </c>
      <c r="M78" s="9" t="n">
        <v>-0.43</v>
      </c>
      <c r="N78" s="9" t="n">
        <v>0.9</v>
      </c>
      <c r="O78" s="9" t="n">
        <v>1.84</v>
      </c>
      <c r="P78" s="9" t="n">
        <v>1.76</v>
      </c>
      <c r="Q78" s="9" t="n">
        <v>1</v>
      </c>
    </row>
    <row r="79">
      <c r="A79" s="8" t="inlineStr">
        <is>
          <t>2026-09-19</t>
        </is>
      </c>
      <c r="B79" s="8" t="inlineStr">
        <is>
          <t>Grimsby Town</t>
        </is>
      </c>
      <c r="C79" s="8" t="inlineStr">
        <is>
          <t>Crawley Town</t>
        </is>
      </c>
      <c r="D79" s="8" t="n">
        <v>2</v>
      </c>
      <c r="E79" s="8" t="n">
        <v>0</v>
      </c>
      <c r="F79" s="10" t="n">
        <v>2.22</v>
      </c>
      <c r="G79" s="10" t="n">
        <v>1.01</v>
      </c>
      <c r="H79" s="10" t="n">
        <v>4.59</v>
      </c>
      <c r="I79" s="10" t="n">
        <v>0.9399999999999999</v>
      </c>
      <c r="J79" s="10" t="n">
        <v>2.37</v>
      </c>
      <c r="K79" s="10" t="n">
        <v>-0.07000000000000001</v>
      </c>
      <c r="L79" s="10" t="n">
        <v>2.44</v>
      </c>
      <c r="M79" s="10" t="n">
        <v>2.3</v>
      </c>
      <c r="N79" s="10" t="n">
        <v>2.79</v>
      </c>
      <c r="O79" s="10" t="n">
        <v>0.14</v>
      </c>
      <c r="P79" s="10" t="n">
        <v>2.14</v>
      </c>
      <c r="Q79" s="10" t="n">
        <v>0.67</v>
      </c>
    </row>
    <row r="80">
      <c r="A80" s="6" t="inlineStr">
        <is>
          <t>2026-09-19</t>
        </is>
      </c>
      <c r="B80" s="6" t="inlineStr">
        <is>
          <t>Northampton Town</t>
        </is>
      </c>
      <c r="C80" s="6" t="inlineStr">
        <is>
          <t>Rotherham United</t>
        </is>
      </c>
      <c r="D80" s="6" t="n">
        <v>0</v>
      </c>
      <c r="E80" s="6" t="n">
        <v>1</v>
      </c>
      <c r="F80" s="9" t="n">
        <v>1.36</v>
      </c>
      <c r="G80" s="9" t="n">
        <v>1.18</v>
      </c>
      <c r="H80" s="9" t="n">
        <v>1.06</v>
      </c>
      <c r="I80" s="9" t="n">
        <v>1.28</v>
      </c>
      <c r="J80" s="9" t="n">
        <v>-0.3</v>
      </c>
      <c r="K80" s="9" t="n">
        <v>0.1</v>
      </c>
      <c r="L80" s="9" t="n">
        <v>-0.4</v>
      </c>
      <c r="M80" s="9" t="n">
        <v>-0.2</v>
      </c>
      <c r="N80" s="9" t="n">
        <v>1.2</v>
      </c>
      <c r="O80" s="9" t="n">
        <v>1.52</v>
      </c>
      <c r="P80" s="9" t="n">
        <v>1.49</v>
      </c>
      <c r="Q80" s="9" t="n">
        <v>1.24</v>
      </c>
    </row>
    <row r="81">
      <c r="A81" s="8" t="inlineStr">
        <is>
          <t>2026-09-19</t>
        </is>
      </c>
      <c r="B81" s="8" t="inlineStr">
        <is>
          <t>Gillingham</t>
        </is>
      </c>
      <c r="C81" s="8" t="inlineStr">
        <is>
          <t>Bristol Rvs</t>
        </is>
      </c>
      <c r="D81" s="8" t="n">
        <v>3</v>
      </c>
      <c r="E81" s="8" t="n">
        <v>0</v>
      </c>
      <c r="F81" s="10" t="n">
        <v>1.1</v>
      </c>
      <c r="G81" s="10" t="n">
        <v>1.63</v>
      </c>
      <c r="H81" s="10" t="n">
        <v>2.36</v>
      </c>
      <c r="I81" s="10" t="n">
        <v>0.51</v>
      </c>
      <c r="J81" s="10" t="n">
        <v>1.26</v>
      </c>
      <c r="K81" s="10" t="n">
        <v>-1.12</v>
      </c>
      <c r="L81" s="10" t="n">
        <v>2.38</v>
      </c>
      <c r="M81" s="10" t="n">
        <v>0.14</v>
      </c>
      <c r="N81" s="10" t="n">
        <v>2.51</v>
      </c>
      <c r="O81" s="10" t="n">
        <v>0.34</v>
      </c>
      <c r="P81" s="10" t="n">
        <v>1.02</v>
      </c>
      <c r="Q81" s="10" t="n">
        <v>1.74</v>
      </c>
    </row>
    <row r="82">
      <c r="A82" s="6" t="inlineStr">
        <is>
          <t>2026-09-19</t>
        </is>
      </c>
      <c r="B82" s="6" t="inlineStr">
        <is>
          <t>Barnet</t>
        </is>
      </c>
      <c r="C82" s="6" t="inlineStr">
        <is>
          <t>Fleetwood Town</t>
        </is>
      </c>
      <c r="D82" s="6" t="n">
        <v>3</v>
      </c>
      <c r="E82" s="6" t="n">
        <v>1</v>
      </c>
      <c r="F82" s="9" t="n">
        <v>1.88</v>
      </c>
      <c r="G82" s="9" t="n">
        <v>1.07</v>
      </c>
      <c r="H82" s="9" t="n">
        <v>2.55</v>
      </c>
      <c r="I82" s="9" t="n">
        <v>1.58</v>
      </c>
      <c r="J82" s="9" t="n">
        <v>0.67</v>
      </c>
      <c r="K82" s="9" t="n">
        <v>0.51</v>
      </c>
      <c r="L82" s="9" t="n">
        <v>0.16</v>
      </c>
      <c r="M82" s="9" t="n">
        <v>1.18</v>
      </c>
      <c r="N82" s="9" t="n">
        <v>1.95</v>
      </c>
      <c r="O82" s="9" t="n">
        <v>0.87</v>
      </c>
      <c r="P82" s="9" t="n">
        <v>1.91</v>
      </c>
      <c r="Q82" s="9" t="n">
        <v>0.86</v>
      </c>
    </row>
    <row r="83">
      <c r="A83" s="8" t="inlineStr">
        <is>
          <t>2026-09-19</t>
        </is>
      </c>
      <c r="B83" s="8" t="inlineStr">
        <is>
          <t>Crewe Alexandra</t>
        </is>
      </c>
      <c r="C83" s="8" t="inlineStr">
        <is>
          <t>Shrewsbury Town</t>
        </is>
      </c>
      <c r="D83" s="8" t="n">
        <v>1</v>
      </c>
      <c r="E83" s="8" t="n">
        <v>1</v>
      </c>
      <c r="F83" s="10" t="n">
        <v>1.56</v>
      </c>
      <c r="G83" s="10" t="n">
        <v>1.05</v>
      </c>
      <c r="H83" s="10" t="n">
        <v>0.95</v>
      </c>
      <c r="I83" s="10" t="n">
        <v>2.25</v>
      </c>
      <c r="J83" s="10" t="n">
        <v>-0.61</v>
      </c>
      <c r="K83" s="10" t="n">
        <v>1.2</v>
      </c>
      <c r="L83" s="10" t="n">
        <v>-1.82</v>
      </c>
      <c r="M83" s="10" t="n">
        <v>0.59</v>
      </c>
      <c r="N83" s="10" t="n">
        <v>0.62</v>
      </c>
      <c r="O83" s="10" t="n">
        <v>2.19</v>
      </c>
      <c r="P83" s="10" t="n">
        <v>1.73</v>
      </c>
      <c r="Q83" s="10" t="n">
        <v>1.01</v>
      </c>
    </row>
    <row r="84">
      <c r="A84" s="6" t="inlineStr">
        <is>
          <t>2026-09-19</t>
        </is>
      </c>
      <c r="B84" s="6" t="inlineStr">
        <is>
          <t>Accrington Stanley</t>
        </is>
      </c>
      <c r="C84" s="6" t="inlineStr">
        <is>
          <t>Newport County</t>
        </is>
      </c>
      <c r="D84" s="6" t="n">
        <v>0</v>
      </c>
      <c r="E84" s="6" t="n">
        <v>0</v>
      </c>
      <c r="F84" s="9" t="n">
        <v>1.57</v>
      </c>
      <c r="G84" s="9" t="n">
        <v>1.14</v>
      </c>
      <c r="H84" s="9" t="n">
        <v>0.65</v>
      </c>
      <c r="I84" s="9" t="n">
        <v>0.59</v>
      </c>
      <c r="J84" s="9" t="n">
        <v>-0.92</v>
      </c>
      <c r="K84" s="9" t="n">
        <v>-0.55</v>
      </c>
      <c r="L84" s="9" t="n">
        <v>-0.36</v>
      </c>
      <c r="M84" s="9" t="n">
        <v>-1.47</v>
      </c>
      <c r="N84" s="9" t="n">
        <v>1.35</v>
      </c>
      <c r="O84" s="9" t="n">
        <v>1.24</v>
      </c>
      <c r="P84" s="9" t="n">
        <v>1.67</v>
      </c>
      <c r="Q84" s="9" t="n">
        <v>1.08</v>
      </c>
    </row>
    <row r="85">
      <c r="A85" s="8" t="inlineStr">
        <is>
          <t>2026-09-19</t>
        </is>
      </c>
      <c r="B85" s="8" t="inlineStr">
        <is>
          <t>Chesterfield</t>
        </is>
      </c>
      <c r="C85" s="8" t="inlineStr">
        <is>
          <t>York</t>
        </is>
      </c>
      <c r="D85" s="8" t="n">
        <v>2</v>
      </c>
      <c r="E85" s="8" t="n">
        <v>0</v>
      </c>
      <c r="F85" s="10" t="n">
        <v>1.5</v>
      </c>
      <c r="G85" s="10" t="n">
        <v>1.41</v>
      </c>
      <c r="H85" s="10" t="n">
        <v>2.11</v>
      </c>
      <c r="I85" s="10" t="n">
        <v>0.4</v>
      </c>
      <c r="J85" s="10" t="n">
        <v>0.61</v>
      </c>
      <c r="K85" s="10" t="n">
        <v>-1.01</v>
      </c>
      <c r="L85" s="10" t="n">
        <v>1.62</v>
      </c>
      <c r="M85" s="10" t="n">
        <v>-0.4</v>
      </c>
      <c r="N85" s="10" t="n">
        <v>2.49</v>
      </c>
      <c r="O85" s="10" t="n">
        <v>0.34</v>
      </c>
      <c r="P85" s="10" t="n">
        <v>1.44</v>
      </c>
      <c r="Q85" s="10" t="n">
        <v>1.31</v>
      </c>
    </row>
    <row r="86">
      <c r="A86" s="6" t="inlineStr">
        <is>
          <t>2026-09-26</t>
        </is>
      </c>
      <c r="B86" s="6" t="inlineStr">
        <is>
          <t>Tranmere Rovers</t>
        </is>
      </c>
      <c r="C86" s="6" t="inlineStr">
        <is>
          <t>Walsall</t>
        </is>
      </c>
      <c r="D86" s="6" t="n">
        <v>1</v>
      </c>
      <c r="E86" s="6" t="n">
        <v>1</v>
      </c>
      <c r="F86" s="9" t="n">
        <v>1.38</v>
      </c>
      <c r="G86" s="9" t="n">
        <v>1.32</v>
      </c>
      <c r="H86" s="9" t="n">
        <v>2.26</v>
      </c>
      <c r="I86" s="9" t="n">
        <v>0.8100000000000001</v>
      </c>
      <c r="J86" s="9" t="n">
        <v>0.88</v>
      </c>
      <c r="K86" s="9" t="n">
        <v>-0.51</v>
      </c>
      <c r="L86" s="9" t="n">
        <v>1.39</v>
      </c>
      <c r="M86" s="9" t="n">
        <v>0.36</v>
      </c>
      <c r="N86" s="9" t="n">
        <v>2.29</v>
      </c>
      <c r="O86" s="9" t="n">
        <v>0.54</v>
      </c>
      <c r="P86" s="9" t="n">
        <v>1.41</v>
      </c>
      <c r="Q86" s="9" t="n">
        <v>1.33</v>
      </c>
    </row>
    <row r="87">
      <c r="A87" s="8" t="inlineStr">
        <is>
          <t>2026-09-26</t>
        </is>
      </c>
      <c r="B87" s="8" t="inlineStr">
        <is>
          <t>Swindon Town</t>
        </is>
      </c>
      <c r="C87" s="8" t="inlineStr">
        <is>
          <t>Accrington Stanley</t>
        </is>
      </c>
      <c r="D87" s="8" t="n">
        <v>1</v>
      </c>
      <c r="E87" s="8" t="n">
        <v>1</v>
      </c>
      <c r="F87" s="10" t="n">
        <v>1.54</v>
      </c>
      <c r="G87" s="10" t="n">
        <v>1.25</v>
      </c>
      <c r="H87" s="10" t="n">
        <v>1.83</v>
      </c>
      <c r="I87" s="10" t="n">
        <v>1.5</v>
      </c>
      <c r="J87" s="10" t="n">
        <v>0.29</v>
      </c>
      <c r="K87" s="10" t="n">
        <v>0.25</v>
      </c>
      <c r="L87" s="10" t="n">
        <v>0.04</v>
      </c>
      <c r="M87" s="10" t="n">
        <v>0.55</v>
      </c>
      <c r="N87" s="10" t="n">
        <v>1.59</v>
      </c>
      <c r="O87" s="10" t="n">
        <v>1.18</v>
      </c>
      <c r="P87" s="10" t="n">
        <v>1.57</v>
      </c>
      <c r="Q87" s="10" t="n">
        <v>1.18</v>
      </c>
    </row>
    <row r="88">
      <c r="A88" s="6" t="inlineStr">
        <is>
          <t>2026-09-26</t>
        </is>
      </c>
      <c r="B88" s="6" t="inlineStr">
        <is>
          <t>Oldham Athletic</t>
        </is>
      </c>
      <c r="C88" s="6" t="inlineStr">
        <is>
          <t>Salford City</t>
        </is>
      </c>
      <c r="D88" s="6" t="n">
        <v>1</v>
      </c>
      <c r="E88" s="6" t="n">
        <v>4</v>
      </c>
      <c r="F88" s="9" t="n">
        <v>1.47</v>
      </c>
      <c r="G88" s="9" t="n">
        <v>1.41</v>
      </c>
      <c r="H88" s="9" t="n">
        <v>1.09</v>
      </c>
      <c r="I88" s="9" t="n">
        <v>1.67</v>
      </c>
      <c r="J88" s="9" t="n">
        <v>-0.38</v>
      </c>
      <c r="K88" s="9" t="n">
        <v>0.26</v>
      </c>
      <c r="L88" s="9" t="n">
        <v>-0.64</v>
      </c>
      <c r="M88" s="9" t="n">
        <v>-0.11</v>
      </c>
      <c r="N88" s="9" t="n">
        <v>0.99</v>
      </c>
      <c r="O88" s="9" t="n">
        <v>1.77</v>
      </c>
      <c r="P88" s="9" t="n">
        <v>1.41</v>
      </c>
      <c r="Q88" s="9" t="n">
        <v>1.34</v>
      </c>
    </row>
    <row r="89">
      <c r="A89" s="8" t="inlineStr">
        <is>
          <t>2026-09-26</t>
        </is>
      </c>
      <c r="B89" s="8" t="inlineStr">
        <is>
          <t>Newport County</t>
        </is>
      </c>
      <c r="C89" s="8" t="inlineStr">
        <is>
          <t>Grimsby Town</t>
        </is>
      </c>
      <c r="D89" s="8" t="n">
        <v>2</v>
      </c>
      <c r="E89" s="8" t="n">
        <v>1</v>
      </c>
      <c r="F89" s="10" t="n">
        <v>1.04</v>
      </c>
      <c r="G89" s="10" t="n">
        <v>1.72</v>
      </c>
      <c r="H89" s="10" t="n">
        <v>1.23</v>
      </c>
      <c r="I89" s="10" t="n">
        <v>2</v>
      </c>
      <c r="J89" s="10" t="n">
        <v>0.19</v>
      </c>
      <c r="K89" s="10" t="n">
        <v>0.28</v>
      </c>
      <c r="L89" s="10" t="n">
        <v>-0.09</v>
      </c>
      <c r="M89" s="10" t="n">
        <v>0.47</v>
      </c>
      <c r="N89" s="10" t="n">
        <v>0.91</v>
      </c>
      <c r="O89" s="10" t="n">
        <v>1.87</v>
      </c>
      <c r="P89" s="10" t="n">
        <v>0.92</v>
      </c>
      <c r="Q89" s="10" t="n">
        <v>1.84</v>
      </c>
    </row>
    <row r="90">
      <c r="A90" s="6" t="inlineStr">
        <is>
          <t>2026-09-26</t>
        </is>
      </c>
      <c r="B90" s="6" t="inlineStr">
        <is>
          <t>York</t>
        </is>
      </c>
      <c r="C90" s="6" t="inlineStr">
        <is>
          <t>Gillingham</t>
        </is>
      </c>
      <c r="D90" s="6" t="n">
        <v>3</v>
      </c>
      <c r="E90" s="6" t="n">
        <v>0</v>
      </c>
      <c r="F90" s="9" t="n">
        <v>2.08</v>
      </c>
      <c r="G90" s="9" t="n">
        <v>1</v>
      </c>
      <c r="H90" s="9" t="n">
        <v>2.21</v>
      </c>
      <c r="I90" s="9" t="n">
        <v>0.26</v>
      </c>
      <c r="J90" s="9" t="n">
        <v>0.13</v>
      </c>
      <c r="K90" s="9" t="n">
        <v>-0.74</v>
      </c>
      <c r="L90" s="9" t="n">
        <v>0.86</v>
      </c>
      <c r="M90" s="9" t="n">
        <v>-0.61</v>
      </c>
      <c r="N90" s="9" t="n">
        <v>2.62</v>
      </c>
      <c r="O90" s="9" t="n">
        <v>0.24</v>
      </c>
      <c r="P90" s="9" t="n">
        <v>2.08</v>
      </c>
      <c r="Q90" s="9" t="n">
        <v>0.72</v>
      </c>
    </row>
    <row r="91">
      <c r="A91" s="8" t="inlineStr">
        <is>
          <t>2026-09-26</t>
        </is>
      </c>
      <c r="B91" s="8" t="inlineStr">
        <is>
          <t>Fleetwood Town</t>
        </is>
      </c>
      <c r="C91" s="8" t="inlineStr">
        <is>
          <t>Rochdale</t>
        </is>
      </c>
      <c r="D91" s="8" t="n">
        <v>1</v>
      </c>
      <c r="E91" s="8" t="n">
        <v>2</v>
      </c>
      <c r="F91" s="10" t="n">
        <v>1.65</v>
      </c>
      <c r="G91" s="10" t="n">
        <v>1.04</v>
      </c>
      <c r="H91" s="10" t="n">
        <v>1.52</v>
      </c>
      <c r="I91" s="10" t="n">
        <v>1.4</v>
      </c>
      <c r="J91" s="10" t="n">
        <v>-0.13</v>
      </c>
      <c r="K91" s="10" t="n">
        <v>0.36</v>
      </c>
      <c r="L91" s="10" t="n">
        <v>-0.49</v>
      </c>
      <c r="M91" s="10" t="n">
        <v>0.23</v>
      </c>
      <c r="N91" s="10" t="n">
        <v>1.46</v>
      </c>
      <c r="O91" s="10" t="n">
        <v>1.3</v>
      </c>
      <c r="P91" s="10" t="n">
        <v>1.79</v>
      </c>
      <c r="Q91" s="10" t="n">
        <v>0.96</v>
      </c>
    </row>
    <row r="92">
      <c r="A92" s="6" t="inlineStr">
        <is>
          <t>2026-09-26</t>
        </is>
      </c>
      <c r="B92" s="6" t="inlineStr">
        <is>
          <t>Cheltenham Town</t>
        </is>
      </c>
      <c r="C92" s="6" t="inlineStr">
        <is>
          <t>Chesterfield</t>
        </is>
      </c>
      <c r="D92" s="6" t="n">
        <v>2</v>
      </c>
      <c r="E92" s="6" t="n">
        <v>1</v>
      </c>
      <c r="F92" s="9" t="n">
        <v>1.32</v>
      </c>
      <c r="G92" s="9" t="n">
        <v>1.62</v>
      </c>
      <c r="H92" s="9" t="n">
        <v>0.91</v>
      </c>
      <c r="I92" s="9" t="n">
        <v>2.62</v>
      </c>
      <c r="J92" s="9" t="n">
        <v>-0.41</v>
      </c>
      <c r="K92" s="9" t="n">
        <v>1</v>
      </c>
      <c r="L92" s="9" t="n">
        <v>-1.41</v>
      </c>
      <c r="M92" s="9" t="n">
        <v>0.59</v>
      </c>
      <c r="N92" s="9" t="n">
        <v>0.47</v>
      </c>
      <c r="O92" s="9" t="n">
        <v>2.37</v>
      </c>
      <c r="P92" s="9" t="n">
        <v>1.18</v>
      </c>
      <c r="Q92" s="9" t="n">
        <v>1.58</v>
      </c>
    </row>
    <row r="93">
      <c r="A93" s="8" t="inlineStr">
        <is>
          <t>2026-09-26</t>
        </is>
      </c>
      <c r="B93" s="8" t="inlineStr">
        <is>
          <t>Bristol Rvs</t>
        </is>
      </c>
      <c r="C93" s="8" t="inlineStr">
        <is>
          <t>Exeter</t>
        </is>
      </c>
      <c r="D93" s="8" t="n">
        <v>1</v>
      </c>
      <c r="E93" s="8" t="n">
        <v>0</v>
      </c>
      <c r="F93" s="10" t="n">
        <v>1.78</v>
      </c>
      <c r="G93" s="10" t="n">
        <v>1</v>
      </c>
      <c r="H93" s="10" t="n">
        <v>2.02</v>
      </c>
      <c r="I93" s="10" t="n">
        <v>0.66</v>
      </c>
      <c r="J93" s="10" t="n">
        <v>0.24</v>
      </c>
      <c r="K93" s="10" t="n">
        <v>-0.34</v>
      </c>
      <c r="L93" s="10" t="n">
        <v>0.58</v>
      </c>
      <c r="M93" s="10" t="n">
        <v>-0.1</v>
      </c>
      <c r="N93" s="10" t="n">
        <v>2.28</v>
      </c>
      <c r="O93" s="10" t="n">
        <v>0.53</v>
      </c>
      <c r="P93" s="10" t="n">
        <v>1.9</v>
      </c>
      <c r="Q93" s="10" t="n">
        <v>0.86</v>
      </c>
    </row>
    <row r="94">
      <c r="A94" s="6" t="inlineStr">
        <is>
          <t>2026-09-26</t>
        </is>
      </c>
      <c r="B94" s="6" t="inlineStr">
        <is>
          <t>Rotherham United</t>
        </is>
      </c>
      <c r="C94" s="6" t="inlineStr">
        <is>
          <t>Crewe Alexandra</t>
        </is>
      </c>
      <c r="D94" s="6" t="n">
        <v>1</v>
      </c>
      <c r="E94" s="6" t="n">
        <v>1</v>
      </c>
      <c r="F94" s="9" t="n">
        <v>1.62</v>
      </c>
      <c r="G94" s="9" t="n">
        <v>1.28</v>
      </c>
      <c r="H94" s="9" t="n">
        <v>0.64</v>
      </c>
      <c r="I94" s="9" t="n">
        <v>0.35</v>
      </c>
      <c r="J94" s="9" t="n">
        <v>-0.98</v>
      </c>
      <c r="K94" s="9" t="n">
        <v>-0.93</v>
      </c>
      <c r="L94" s="9" t="n">
        <v>-0.06</v>
      </c>
      <c r="M94" s="9" t="n">
        <v>-1.91</v>
      </c>
      <c r="N94" s="9" t="n">
        <v>1.56</v>
      </c>
      <c r="O94" s="9" t="n">
        <v>0.98</v>
      </c>
      <c r="P94" s="9" t="n">
        <v>1.61</v>
      </c>
      <c r="Q94" s="9" t="n">
        <v>1.15</v>
      </c>
    </row>
    <row r="95">
      <c r="A95" s="8" t="inlineStr">
        <is>
          <t>2026-09-26</t>
        </is>
      </c>
      <c r="B95" s="8" t="inlineStr">
        <is>
          <t>Shrewsbury Town</t>
        </is>
      </c>
      <c r="C95" s="8" t="inlineStr">
        <is>
          <t>Colchester United</t>
        </is>
      </c>
      <c r="D95" s="8" t="n">
        <v>2</v>
      </c>
      <c r="E95" s="8" t="n">
        <v>2</v>
      </c>
      <c r="F95" s="10" t="n">
        <v>1.32</v>
      </c>
      <c r="G95" s="10" t="n">
        <v>1.26</v>
      </c>
      <c r="H95" s="10" t="n">
        <v>1.38</v>
      </c>
      <c r="I95" s="10" t="n">
        <v>1.46</v>
      </c>
      <c r="J95" s="10" t="n">
        <v>0.06</v>
      </c>
      <c r="K95" s="10" t="n">
        <v>0.2</v>
      </c>
      <c r="L95" s="10" t="n">
        <v>-0.14</v>
      </c>
      <c r="M95" s="10" t="n">
        <v>0.26</v>
      </c>
      <c r="N95" s="10" t="n">
        <v>1.32</v>
      </c>
      <c r="O95" s="10" t="n">
        <v>1.43</v>
      </c>
      <c r="P95" s="10" t="n">
        <v>1.41</v>
      </c>
      <c r="Q95" s="10" t="n">
        <v>1.32</v>
      </c>
    </row>
    <row r="96">
      <c r="A96" s="6" t="inlineStr">
        <is>
          <t>2026-10-03</t>
        </is>
      </c>
      <c r="B96" s="6" t="inlineStr">
        <is>
          <t>Grimsby Town</t>
        </is>
      </c>
      <c r="C96" s="6" t="inlineStr">
        <is>
          <t>Shrewsbury Town</t>
        </is>
      </c>
      <c r="D96" s="6" t="n">
        <v>1</v>
      </c>
      <c r="E96" s="6" t="n">
        <v>2</v>
      </c>
      <c r="F96" s="9" t="n">
        <v>1.84</v>
      </c>
      <c r="G96" s="9" t="n">
        <v>0.98</v>
      </c>
      <c r="H96" s="9" t="n">
        <v>1.56</v>
      </c>
      <c r="I96" s="9" t="n">
        <v>1.13</v>
      </c>
      <c r="J96" s="9" t="n">
        <v>-0.28</v>
      </c>
      <c r="K96" s="9" t="n">
        <v>0.14</v>
      </c>
      <c r="L96" s="9" t="n">
        <v>-0.43</v>
      </c>
      <c r="M96" s="9" t="n">
        <v>-0.14</v>
      </c>
      <c r="N96" s="9" t="n">
        <v>1.67</v>
      </c>
      <c r="O96" s="9" t="n">
        <v>1.08</v>
      </c>
      <c r="P96" s="9" t="n">
        <v>1.95</v>
      </c>
      <c r="Q96" s="9" t="n">
        <v>0.82</v>
      </c>
    </row>
    <row r="97">
      <c r="A97" s="8" t="inlineStr">
        <is>
          <t>2026-10-03</t>
        </is>
      </c>
      <c r="B97" s="8" t="inlineStr">
        <is>
          <t>Salford City</t>
        </is>
      </c>
      <c r="C97" s="8" t="inlineStr">
        <is>
          <t>Fleetwood Town</t>
        </is>
      </c>
      <c r="D97" s="8" t="n">
        <v>1</v>
      </c>
      <c r="E97" s="8" t="n">
        <v>0</v>
      </c>
      <c r="F97" s="10" t="n">
        <v>1.86</v>
      </c>
      <c r="G97" s="10" t="n">
        <v>1.01</v>
      </c>
      <c r="H97" s="10" t="n">
        <v>2.04</v>
      </c>
      <c r="I97" s="10" t="n">
        <v>0.62</v>
      </c>
      <c r="J97" s="10" t="n">
        <v>0.18</v>
      </c>
      <c r="K97" s="10" t="n">
        <v>-0.39</v>
      </c>
      <c r="L97" s="10" t="n">
        <v>0.57</v>
      </c>
      <c r="M97" s="10" t="n">
        <v>-0.21</v>
      </c>
      <c r="N97" s="10" t="n">
        <v>2.31</v>
      </c>
      <c r="O97" s="10" t="n">
        <v>0.5</v>
      </c>
      <c r="P97" s="10" t="n">
        <v>1.94</v>
      </c>
      <c r="Q97" s="10" t="n">
        <v>0.83</v>
      </c>
    </row>
    <row r="98">
      <c r="A98" s="6" t="inlineStr">
        <is>
          <t>2026-10-03</t>
        </is>
      </c>
      <c r="B98" s="6" t="inlineStr">
        <is>
          <t>Accrington Stanley</t>
        </is>
      </c>
      <c r="C98" s="6" t="inlineStr">
        <is>
          <t>Cheltenham Town</t>
        </is>
      </c>
      <c r="D98" s="6" t="n">
        <v>2</v>
      </c>
      <c r="E98" s="6" t="n">
        <v>0</v>
      </c>
      <c r="F98" s="9" t="n">
        <v>1.54</v>
      </c>
      <c r="G98" s="9" t="n">
        <v>1.29</v>
      </c>
      <c r="H98" s="9" t="n">
        <v>2.59</v>
      </c>
      <c r="I98" s="9" t="n">
        <v>0.34</v>
      </c>
      <c r="J98" s="9" t="n">
        <v>1.05</v>
      </c>
      <c r="K98" s="9" t="n">
        <v>-0.95</v>
      </c>
      <c r="L98" s="9" t="n">
        <v>2</v>
      </c>
      <c r="M98" s="9" t="n">
        <v>0.1</v>
      </c>
      <c r="N98" s="9" t="n">
        <v>2.68</v>
      </c>
      <c r="O98" s="9" t="n">
        <v>0.21</v>
      </c>
      <c r="P98" s="9" t="n">
        <v>1.54</v>
      </c>
      <c r="Q98" s="9" t="n">
        <v>1.21</v>
      </c>
    </row>
    <row r="99">
      <c r="A99" s="8" t="inlineStr">
        <is>
          <t>2026-10-03</t>
        </is>
      </c>
      <c r="B99" s="8" t="inlineStr">
        <is>
          <t>Rochdale</t>
        </is>
      </c>
      <c r="C99" s="8" t="inlineStr">
        <is>
          <t>Swindon Town</t>
        </is>
      </c>
      <c r="D99" s="8" t="n">
        <v>1</v>
      </c>
      <c r="E99" s="8" t="n">
        <v>0</v>
      </c>
      <c r="F99" s="10" t="n">
        <v>1.51</v>
      </c>
      <c r="G99" s="10" t="n">
        <v>1.3</v>
      </c>
      <c r="H99" s="10" t="n">
        <v>1.64</v>
      </c>
      <c r="I99" s="10" t="n">
        <v>1.08</v>
      </c>
      <c r="J99" s="10" t="n">
        <v>0.13</v>
      </c>
      <c r="K99" s="10" t="n">
        <v>-0.22</v>
      </c>
      <c r="L99" s="10" t="n">
        <v>0.35</v>
      </c>
      <c r="M99" s="10" t="n">
        <v>-0.09</v>
      </c>
      <c r="N99" s="10" t="n">
        <v>1.76</v>
      </c>
      <c r="O99" s="10" t="n">
        <v>1</v>
      </c>
      <c r="P99" s="10" t="n">
        <v>1.52</v>
      </c>
      <c r="Q99" s="10" t="n">
        <v>1.23</v>
      </c>
    </row>
    <row r="100">
      <c r="A100" s="6" t="inlineStr">
        <is>
          <t>2026-10-03</t>
        </is>
      </c>
      <c r="B100" s="6" t="inlineStr">
        <is>
          <t>Chesterfield</t>
        </is>
      </c>
      <c r="C100" s="6" t="inlineStr">
        <is>
          <t>Tranmere Rovers</t>
        </is>
      </c>
      <c r="D100" s="6" t="n">
        <v>4</v>
      </c>
      <c r="E100" s="6" t="n">
        <v>2</v>
      </c>
      <c r="F100" s="9" t="n">
        <v>1.91</v>
      </c>
      <c r="G100" s="9" t="n">
        <v>1.03</v>
      </c>
      <c r="H100" s="9" t="n">
        <v>3.13</v>
      </c>
      <c r="I100" s="9" t="n">
        <v>0.52</v>
      </c>
      <c r="J100" s="9" t="n">
        <v>1.22</v>
      </c>
      <c r="K100" s="9" t="n">
        <v>-0.51</v>
      </c>
      <c r="L100" s="9" t="n">
        <v>1.73</v>
      </c>
      <c r="M100" s="9" t="n">
        <v>0.71</v>
      </c>
      <c r="N100" s="9" t="n">
        <v>2.72</v>
      </c>
      <c r="O100" s="9" t="n">
        <v>0.19</v>
      </c>
      <c r="P100" s="9" t="n">
        <v>1.96</v>
      </c>
      <c r="Q100" s="9" t="n">
        <v>0.82</v>
      </c>
    </row>
    <row r="101">
      <c r="A101" s="8" t="inlineStr">
        <is>
          <t>2026-10-03</t>
        </is>
      </c>
      <c r="B101" s="8" t="inlineStr">
        <is>
          <t>Gillingham</t>
        </is>
      </c>
      <c r="C101" s="8" t="inlineStr">
        <is>
          <t>Newport County</t>
        </is>
      </c>
      <c r="D101" s="8" t="n">
        <v>0</v>
      </c>
      <c r="E101" s="8" t="n">
        <v>0</v>
      </c>
      <c r="F101" s="10" t="n">
        <v>1.54</v>
      </c>
      <c r="G101" s="10" t="n">
        <v>1.08</v>
      </c>
      <c r="H101" s="10" t="n">
        <v>0.28</v>
      </c>
      <c r="I101" s="10" t="n">
        <v>1.22</v>
      </c>
      <c r="J101" s="10" t="n">
        <v>-1.26</v>
      </c>
      <c r="K101" s="10" t="n">
        <v>0.14</v>
      </c>
      <c r="L101" s="10" t="n">
        <v>-1.4</v>
      </c>
      <c r="M101" s="10" t="n">
        <v>-1.13</v>
      </c>
      <c r="N101" s="10" t="n">
        <v>0.5600000000000001</v>
      </c>
      <c r="O101" s="10" t="n">
        <v>2.13</v>
      </c>
      <c r="P101" s="10" t="n">
        <v>1.69</v>
      </c>
      <c r="Q101" s="10" t="n">
        <v>1.06</v>
      </c>
    </row>
    <row r="102">
      <c r="A102" s="6" t="inlineStr">
        <is>
          <t>2026-10-03</t>
        </is>
      </c>
      <c r="B102" s="6" t="inlineStr">
        <is>
          <t>Crewe Alexandra</t>
        </is>
      </c>
      <c r="C102" s="6" t="inlineStr">
        <is>
          <t>Bristol Rvs</t>
        </is>
      </c>
      <c r="D102" s="6" t="n">
        <v>3</v>
      </c>
      <c r="E102" s="6" t="n">
        <v>1</v>
      </c>
      <c r="F102" s="9" t="n">
        <v>1.24</v>
      </c>
      <c r="G102" s="9" t="n">
        <v>1.53</v>
      </c>
      <c r="H102" s="9" t="n">
        <v>1.6</v>
      </c>
      <c r="I102" s="9" t="n">
        <v>0.79</v>
      </c>
      <c r="J102" s="9" t="n">
        <v>0.36</v>
      </c>
      <c r="K102" s="9" t="n">
        <v>-0.74</v>
      </c>
      <c r="L102" s="9" t="n">
        <v>1.1</v>
      </c>
      <c r="M102" s="9" t="n">
        <v>-0.39</v>
      </c>
      <c r="N102" s="9" t="n">
        <v>1.95</v>
      </c>
      <c r="O102" s="9" t="n">
        <v>0.8</v>
      </c>
      <c r="P102" s="9" t="n">
        <v>1.18</v>
      </c>
      <c r="Q102" s="9" t="n">
        <v>1.57</v>
      </c>
    </row>
    <row r="103">
      <c r="A103" s="8" t="inlineStr">
        <is>
          <t>2026-10-03</t>
        </is>
      </c>
      <c r="B103" s="8" t="inlineStr">
        <is>
          <t>Exeter</t>
        </is>
      </c>
      <c r="C103" s="8" t="inlineStr">
        <is>
          <t>Rotherham United</t>
        </is>
      </c>
      <c r="D103" s="8" t="n">
        <v>1</v>
      </c>
      <c r="E103" s="8" t="n">
        <v>0</v>
      </c>
      <c r="F103" s="10" t="n">
        <v>1.33</v>
      </c>
      <c r="G103" s="10" t="n">
        <v>1.32</v>
      </c>
      <c r="H103" s="10" t="n">
        <v>2.18</v>
      </c>
      <c r="I103" s="10" t="n">
        <v>0.47</v>
      </c>
      <c r="J103" s="10" t="n">
        <v>0.85</v>
      </c>
      <c r="K103" s="10" t="n">
        <v>-0.85</v>
      </c>
      <c r="L103" s="10" t="n">
        <v>1.7</v>
      </c>
      <c r="M103" s="10" t="n">
        <v>-0.01</v>
      </c>
      <c r="N103" s="10" t="n">
        <v>2.47</v>
      </c>
      <c r="O103" s="10" t="n">
        <v>0.36</v>
      </c>
      <c r="P103" s="10" t="n">
        <v>1.37</v>
      </c>
      <c r="Q103" s="10" t="n">
        <v>1.36</v>
      </c>
    </row>
    <row r="104">
      <c r="A104" s="6" t="inlineStr">
        <is>
          <t>2026-10-10</t>
        </is>
      </c>
      <c r="B104" s="6" t="inlineStr">
        <is>
          <t>Bristol Rvs</t>
        </is>
      </c>
      <c r="C104" s="6" t="inlineStr">
        <is>
          <t>Barnet</t>
        </is>
      </c>
      <c r="D104" s="6" t="n">
        <v>1</v>
      </c>
      <c r="E104" s="6" t="n">
        <v>3</v>
      </c>
      <c r="F104" s="9" t="n">
        <v>1.57</v>
      </c>
      <c r="G104" s="9" t="n">
        <v>1.35</v>
      </c>
      <c r="H104" s="9" t="n">
        <v>2.03</v>
      </c>
      <c r="I104" s="9" t="n">
        <v>2.1</v>
      </c>
      <c r="J104" s="9" t="n">
        <v>0.46</v>
      </c>
      <c r="K104" s="9" t="n">
        <v>0.75</v>
      </c>
      <c r="L104" s="9" t="n">
        <v>-0.29</v>
      </c>
      <c r="M104" s="9" t="n">
        <v>1.21</v>
      </c>
      <c r="N104" s="9" t="n">
        <v>1.36</v>
      </c>
      <c r="O104" s="9" t="n">
        <v>1.44</v>
      </c>
      <c r="P104" s="9" t="n">
        <v>1.52</v>
      </c>
      <c r="Q104" s="9" t="n">
        <v>1.23</v>
      </c>
    </row>
    <row r="105">
      <c r="A105" s="8" t="inlineStr">
        <is>
          <t>2026-10-10</t>
        </is>
      </c>
      <c r="B105" s="8" t="inlineStr">
        <is>
          <t>Cheltenham Town</t>
        </is>
      </c>
      <c r="C105" s="8" t="inlineStr">
        <is>
          <t>Salford City</t>
        </is>
      </c>
      <c r="D105" s="8" t="n">
        <v>0</v>
      </c>
      <c r="E105" s="8" t="n">
        <v>2</v>
      </c>
      <c r="F105" s="10" t="n">
        <v>1.14</v>
      </c>
      <c r="G105" s="10" t="n">
        <v>1.77</v>
      </c>
      <c r="H105" s="10" t="n">
        <v>0.25</v>
      </c>
      <c r="I105" s="10" t="n">
        <v>1.11</v>
      </c>
      <c r="J105" s="10" t="n">
        <v>-0.89</v>
      </c>
      <c r="K105" s="10" t="n">
        <v>-0.66</v>
      </c>
      <c r="L105" s="10" t="n">
        <v>-0.22</v>
      </c>
      <c r="M105" s="10" t="n">
        <v>-1.55</v>
      </c>
      <c r="N105" s="10" t="n">
        <v>0.58</v>
      </c>
      <c r="O105" s="10" t="n">
        <v>2.08</v>
      </c>
      <c r="P105" s="10" t="n">
        <v>0.96</v>
      </c>
      <c r="Q105" s="10" t="n">
        <v>1.8</v>
      </c>
    </row>
    <row r="106">
      <c r="A106" s="6" t="inlineStr">
        <is>
          <t>2026-10-10</t>
        </is>
      </c>
      <c r="B106" s="6" t="inlineStr">
        <is>
          <t>Crawley Town</t>
        </is>
      </c>
      <c r="C106" s="6" t="inlineStr">
        <is>
          <t>Chesterfield</t>
        </is>
      </c>
      <c r="D106" s="6" t="n">
        <v>2</v>
      </c>
      <c r="E106" s="6" t="n">
        <v>2</v>
      </c>
      <c r="F106" s="9" t="n">
        <v>1.11</v>
      </c>
      <c r="G106" s="9" t="n">
        <v>2.01</v>
      </c>
      <c r="H106" s="9" t="n">
        <v>1.79</v>
      </c>
      <c r="I106" s="9" t="n">
        <v>1.58</v>
      </c>
      <c r="J106" s="9" t="n">
        <v>0.68</v>
      </c>
      <c r="K106" s="9" t="n">
        <v>-0.43</v>
      </c>
      <c r="L106" s="9" t="n">
        <v>1.11</v>
      </c>
      <c r="M106" s="9" t="n">
        <v>0.25</v>
      </c>
      <c r="N106" s="9" t="n">
        <v>1.52</v>
      </c>
      <c r="O106" s="9" t="n">
        <v>1.26</v>
      </c>
      <c r="P106" s="9" t="n">
        <v>0.83</v>
      </c>
      <c r="Q106" s="9" t="n">
        <v>1.96</v>
      </c>
    </row>
    <row r="107">
      <c r="A107" s="8" t="inlineStr">
        <is>
          <t>2026-10-10</t>
        </is>
      </c>
      <c r="B107" s="8" t="inlineStr">
        <is>
          <t>Tranmere Rovers</t>
        </is>
      </c>
      <c r="C107" s="8" t="inlineStr">
        <is>
          <t>Rochdale</t>
        </is>
      </c>
      <c r="D107" s="8" t="n">
        <v>1</v>
      </c>
      <c r="E107" s="8" t="n">
        <v>1</v>
      </c>
      <c r="F107" s="10" t="n">
        <v>1.59</v>
      </c>
      <c r="G107" s="10" t="n">
        <v>1.06</v>
      </c>
      <c r="H107" s="10" t="n">
        <v>1.68</v>
      </c>
      <c r="I107" s="10" t="n">
        <v>0.97</v>
      </c>
      <c r="J107" s="10" t="n">
        <v>0.09</v>
      </c>
      <c r="K107" s="10" t="n">
        <v>-0.09</v>
      </c>
      <c r="L107" s="10" t="n">
        <v>0.18</v>
      </c>
      <c r="M107" s="10" t="n">
        <v>-0.01</v>
      </c>
      <c r="N107" s="10" t="n">
        <v>1.86</v>
      </c>
      <c r="O107" s="10" t="n">
        <v>0.89</v>
      </c>
      <c r="P107" s="10" t="n">
        <v>1.74</v>
      </c>
      <c r="Q107" s="10" t="n">
        <v>1.01</v>
      </c>
    </row>
    <row r="108">
      <c r="A108" s="6" t="inlineStr">
        <is>
          <t>2026-10-10</t>
        </is>
      </c>
      <c r="B108" s="6" t="inlineStr">
        <is>
          <t>Fleetwood Town</t>
        </is>
      </c>
      <c r="C108" s="6" t="inlineStr">
        <is>
          <t>Walsall</t>
        </is>
      </c>
      <c r="D108" s="6" t="n">
        <v>1</v>
      </c>
      <c r="E108" s="6" t="n">
        <v>1</v>
      </c>
      <c r="F108" s="9" t="n">
        <v>1.5</v>
      </c>
      <c r="G108" s="9" t="n">
        <v>1.25</v>
      </c>
      <c r="H108" s="9" t="n">
        <v>1.57</v>
      </c>
      <c r="I108" s="9" t="n">
        <v>0.89</v>
      </c>
      <c r="J108" s="9" t="n">
        <v>0.07000000000000001</v>
      </c>
      <c r="K108" s="9" t="n">
        <v>-0.36</v>
      </c>
      <c r="L108" s="9" t="n">
        <v>0.43</v>
      </c>
      <c r="M108" s="9" t="n">
        <v>-0.29</v>
      </c>
      <c r="N108" s="9" t="n">
        <v>1.85</v>
      </c>
      <c r="O108" s="9" t="n">
        <v>0.89</v>
      </c>
      <c r="P108" s="9" t="n">
        <v>1.54</v>
      </c>
      <c r="Q108" s="9" t="n">
        <v>1.2</v>
      </c>
    </row>
    <row r="109">
      <c r="A109" s="8" t="inlineStr">
        <is>
          <t>2026-10-10</t>
        </is>
      </c>
      <c r="B109" s="8" t="inlineStr">
        <is>
          <t>Newport County</t>
        </is>
      </c>
      <c r="C109" s="8" t="inlineStr">
        <is>
          <t>Colchester United</t>
        </is>
      </c>
      <c r="D109" s="8" t="n">
        <v>1</v>
      </c>
      <c r="E109" s="8" t="n">
        <v>0</v>
      </c>
      <c r="F109" s="10" t="n">
        <v>1.37</v>
      </c>
      <c r="G109" s="10" t="n">
        <v>1.41</v>
      </c>
      <c r="H109" s="10" t="n">
        <v>1.6</v>
      </c>
      <c r="I109" s="10" t="n">
        <v>0.61</v>
      </c>
      <c r="J109" s="10" t="n">
        <v>0.23</v>
      </c>
      <c r="K109" s="10" t="n">
        <v>-0.8</v>
      </c>
      <c r="L109" s="10" t="n">
        <v>1.03</v>
      </c>
      <c r="M109" s="10" t="n">
        <v>-0.57</v>
      </c>
      <c r="N109" s="10" t="n">
        <v>2.09</v>
      </c>
      <c r="O109" s="10" t="n">
        <v>0.66</v>
      </c>
      <c r="P109" s="10" t="n">
        <v>1.35</v>
      </c>
      <c r="Q109" s="10" t="n">
        <v>1.4</v>
      </c>
    </row>
    <row r="110">
      <c r="A110" s="6" t="inlineStr">
        <is>
          <t>2026-10-10</t>
        </is>
      </c>
      <c r="B110" s="6" t="inlineStr">
        <is>
          <t>Oldham Athletic</t>
        </is>
      </c>
      <c r="C110" s="6" t="inlineStr">
        <is>
          <t>Accrington Stanley</t>
        </is>
      </c>
      <c r="D110" s="6" t="n">
        <v>0</v>
      </c>
      <c r="E110" s="6" t="n">
        <v>0</v>
      </c>
      <c r="F110" s="9" t="n">
        <v>1.85</v>
      </c>
      <c r="G110" s="9" t="n">
        <v>0.96</v>
      </c>
      <c r="H110" s="9" t="n">
        <v>0.23</v>
      </c>
      <c r="I110" s="9" t="n">
        <v>0.61</v>
      </c>
      <c r="J110" s="9" t="n">
        <v>-1.62</v>
      </c>
      <c r="K110" s="9" t="n">
        <v>-0.35</v>
      </c>
      <c r="L110" s="9" t="n">
        <v>-1.27</v>
      </c>
      <c r="M110" s="9" t="n">
        <v>-1.97</v>
      </c>
      <c r="N110" s="9" t="n">
        <v>0.85</v>
      </c>
      <c r="O110" s="9" t="n">
        <v>1.65</v>
      </c>
      <c r="P110" s="9" t="n">
        <v>1.97</v>
      </c>
      <c r="Q110" s="9" t="n">
        <v>0.8</v>
      </c>
    </row>
    <row r="111">
      <c r="A111" s="8" t="inlineStr">
        <is>
          <t>2026-10-10</t>
        </is>
      </c>
      <c r="B111" s="8" t="inlineStr">
        <is>
          <t>Swindon Town</t>
        </is>
      </c>
      <c r="C111" s="8" t="inlineStr">
        <is>
          <t>Crewe Alexandra</t>
        </is>
      </c>
      <c r="D111" s="8" t="n">
        <v>0</v>
      </c>
      <c r="E111" s="8" t="n">
        <v>1</v>
      </c>
      <c r="F111" s="10" t="n">
        <v>1.42</v>
      </c>
      <c r="G111" s="10" t="n">
        <v>1.45</v>
      </c>
      <c r="H111" s="10" t="n">
        <v>0.64</v>
      </c>
      <c r="I111" s="10" t="n">
        <v>1.61</v>
      </c>
      <c r="J111" s="10" t="n">
        <v>-0.78</v>
      </c>
      <c r="K111" s="10" t="n">
        <v>0.16</v>
      </c>
      <c r="L111" s="10" t="n">
        <v>-0.9399999999999999</v>
      </c>
      <c r="M111" s="10" t="n">
        <v>-0.61</v>
      </c>
      <c r="N111" s="10" t="n">
        <v>0.68</v>
      </c>
      <c r="O111" s="10" t="n">
        <v>2.07</v>
      </c>
      <c r="P111" s="10" t="n">
        <v>1.35</v>
      </c>
      <c r="Q111" s="10" t="n">
        <v>1.4</v>
      </c>
    </row>
    <row r="112">
      <c r="A112" s="6" t="inlineStr">
        <is>
          <t>2026-10-10</t>
        </is>
      </c>
      <c r="B112" s="6" t="inlineStr">
        <is>
          <t>Port Vale</t>
        </is>
      </c>
      <c r="C112" s="6" t="inlineStr">
        <is>
          <t>Grimsby Town</t>
        </is>
      </c>
      <c r="D112" s="6" t="n">
        <v>1</v>
      </c>
      <c r="E112" s="6" t="n">
        <v>0</v>
      </c>
      <c r="F112" s="9" t="n">
        <v>1.33</v>
      </c>
      <c r="G112" s="9" t="n">
        <v>1.3</v>
      </c>
      <c r="H112" s="9" t="n">
        <v>3.18</v>
      </c>
      <c r="I112" s="9" t="n">
        <v>0.45</v>
      </c>
      <c r="J112" s="9" t="n">
        <v>1.85</v>
      </c>
      <c r="K112" s="9" t="n">
        <v>-0.85</v>
      </c>
      <c r="L112" s="9" t="n">
        <v>2.71</v>
      </c>
      <c r="M112" s="9" t="n">
        <v>1</v>
      </c>
      <c r="N112" s="9" t="n">
        <v>2.75</v>
      </c>
      <c r="O112" s="9" t="n">
        <v>0.16</v>
      </c>
      <c r="P112" s="9" t="n">
        <v>1.38</v>
      </c>
      <c r="Q112" s="9" t="n">
        <v>1.35</v>
      </c>
    </row>
    <row r="113">
      <c r="A113" s="8" t="inlineStr">
        <is>
          <t>2026-10-10</t>
        </is>
      </c>
      <c r="B113" s="8" t="inlineStr">
        <is>
          <t>Rotherham United</t>
        </is>
      </c>
      <c r="C113" s="8" t="inlineStr">
        <is>
          <t>Gillingham</t>
        </is>
      </c>
      <c r="D113" s="8" t="n">
        <v>1</v>
      </c>
      <c r="E113" s="8" t="n">
        <v>4</v>
      </c>
      <c r="F113" s="10" t="n">
        <v>1.62</v>
      </c>
      <c r="G113" s="10" t="n">
        <v>1</v>
      </c>
      <c r="H113" s="10" t="n">
        <v>1.38</v>
      </c>
      <c r="I113" s="10" t="n">
        <v>1.86</v>
      </c>
      <c r="J113" s="10" t="n">
        <v>-0.24</v>
      </c>
      <c r="K113" s="10" t="n">
        <v>0.86</v>
      </c>
      <c r="L113" s="10" t="n">
        <v>-1.1</v>
      </c>
      <c r="M113" s="10" t="n">
        <v>0.61</v>
      </c>
      <c r="N113" s="10" t="n">
        <v>1.08</v>
      </c>
      <c r="O113" s="10" t="n">
        <v>1.69</v>
      </c>
      <c r="P113" s="10" t="n">
        <v>1.8</v>
      </c>
      <c r="Q113" s="10" t="n">
        <v>0.95</v>
      </c>
    </row>
    <row r="114">
      <c r="A114" s="6" t="inlineStr">
        <is>
          <t>2026-10-10</t>
        </is>
      </c>
      <c r="B114" s="6" t="inlineStr">
        <is>
          <t>Shrewsbury Town</t>
        </is>
      </c>
      <c r="C114" s="6" t="inlineStr">
        <is>
          <t>Exeter</t>
        </is>
      </c>
      <c r="D114" s="6" t="n">
        <v>0</v>
      </c>
      <c r="E114" s="6" t="n">
        <v>1</v>
      </c>
      <c r="F114" s="9" t="n">
        <v>1.36</v>
      </c>
      <c r="G114" s="9" t="n">
        <v>1.08</v>
      </c>
      <c r="H114" s="9" t="n">
        <v>1.25</v>
      </c>
      <c r="I114" s="9" t="n">
        <v>1.43</v>
      </c>
      <c r="J114" s="9" t="n">
        <v>-0.11</v>
      </c>
      <c r="K114" s="9" t="n">
        <v>0.35</v>
      </c>
      <c r="L114" s="9" t="n">
        <v>-0.46</v>
      </c>
      <c r="M114" s="9" t="n">
        <v>0.23</v>
      </c>
      <c r="N114" s="9" t="n">
        <v>1.25</v>
      </c>
      <c r="O114" s="9" t="n">
        <v>1.5</v>
      </c>
      <c r="P114" s="9" t="n">
        <v>1.57</v>
      </c>
      <c r="Q114" s="9" t="n">
        <v>1.16</v>
      </c>
    </row>
    <row r="115">
      <c r="A115" s="8" t="inlineStr">
        <is>
          <t>2026-10-10</t>
        </is>
      </c>
      <c r="B115" s="8" t="inlineStr">
        <is>
          <t>York</t>
        </is>
      </c>
      <c r="C115" s="8" t="inlineStr">
        <is>
          <t>Northampton Town</t>
        </is>
      </c>
      <c r="D115" s="8" t="n">
        <v>1</v>
      </c>
      <c r="E115" s="8" t="n">
        <v>1</v>
      </c>
      <c r="F115" s="10" t="n">
        <v>1.83</v>
      </c>
      <c r="G115" s="10" t="n">
        <v>0.95</v>
      </c>
      <c r="H115" s="10" t="n">
        <v>2.31</v>
      </c>
      <c r="I115" s="10" t="n">
        <v>0.98</v>
      </c>
      <c r="J115" s="10" t="n">
        <v>0.48</v>
      </c>
      <c r="K115" s="10" t="n">
        <v>0.03</v>
      </c>
      <c r="L115" s="10" t="n">
        <v>0.45</v>
      </c>
      <c r="M115" s="10" t="n">
        <v>0.51</v>
      </c>
      <c r="N115" s="10" t="n">
        <v>2.2</v>
      </c>
      <c r="O115" s="10" t="n">
        <v>0.62</v>
      </c>
      <c r="P115" s="10" t="n">
        <v>1.97</v>
      </c>
      <c r="Q115" s="10" t="n">
        <v>0.8100000000000001</v>
      </c>
    </row>
  </sheetData>
  <autoFilter ref="A1:Q115"/>
  <conditionalFormatting sqref="J2:J115">
    <cfRule type="colorScale" priority="1">
      <colorScale>
        <cfvo type="min"/>
        <cfvo type="num" val="0"/>
        <cfvo type="max"/>
        <color rgb="00F8696B"/>
        <color rgb="00FFFFFF"/>
        <color rgb="0063BE7B"/>
      </colorScale>
    </cfRule>
  </conditionalFormatting>
  <conditionalFormatting sqref="K2:K115">
    <cfRule type="colorScale" priority="2">
      <colorScale>
        <cfvo type="min"/>
        <cfvo type="num" val="0"/>
        <cfvo type="max"/>
        <color rgb="00F8696B"/>
        <color rgb="00FFFFFF"/>
        <color rgb="0063BE7B"/>
      </colorScale>
    </cfRule>
  </conditionalFormatting>
  <conditionalFormatting sqref="L2:L115">
    <cfRule type="colorScale" priority="3">
      <colorScale>
        <cfvo type="min"/>
        <cfvo type="num" val="0"/>
        <cfvo type="max"/>
        <color rgb="00F8696B"/>
        <color rgb="00FFFFFF"/>
        <color rgb="0063BE7B"/>
      </colorScale>
    </cfRule>
  </conditionalFormatting>
  <conditionalFormatting sqref="M2:M115">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0" workbookViewId="0">
      <pane ySplit="2" topLeftCell="A3" activePane="bottomLeft" state="frozen"/>
      <selection pane="bottomLeft" activeCell="A1" sqref="A1"/>
    </sheetView>
  </sheetViews>
  <sheetFormatPr baseColWidth="8" defaultRowHeight="15"/>
  <cols>
    <col width="20"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Chesterfield</t>
        </is>
      </c>
      <c r="B3" s="9" t="n">
        <v>0.59</v>
      </c>
      <c r="C3" s="9" t="n">
        <v>0.97</v>
      </c>
      <c r="D3" s="9" t="n">
        <v>0.79</v>
      </c>
      <c r="E3" s="9" t="n">
        <v>0.54</v>
      </c>
      <c r="F3" s="9" t="n">
        <v>0.39</v>
      </c>
      <c r="G3" s="9" t="n">
        <v>1.41</v>
      </c>
    </row>
    <row r="4">
      <c r="A4" s="8" t="inlineStr">
        <is>
          <t>Shrewsbury Town</t>
        </is>
      </c>
      <c r="B4" s="10" t="n">
        <v>0.54</v>
      </c>
      <c r="C4" s="10" t="n">
        <v>0.42</v>
      </c>
      <c r="D4" s="10" t="n">
        <v>0.26</v>
      </c>
      <c r="E4" s="10" t="n">
        <v>0.25</v>
      </c>
      <c r="F4" s="10" t="n">
        <v>0.82</v>
      </c>
      <c r="G4" s="10" t="n">
        <v>0.48</v>
      </c>
    </row>
    <row r="5">
      <c r="A5" s="6" t="inlineStr">
        <is>
          <t>Accrington Stanley</t>
        </is>
      </c>
      <c r="B5" s="9" t="n">
        <v>0.46</v>
      </c>
      <c r="C5" s="9" t="n">
        <v>0.39</v>
      </c>
      <c r="D5" s="9" t="n">
        <v>0.91</v>
      </c>
      <c r="E5" s="9" t="n">
        <v>0.9399999999999999</v>
      </c>
      <c r="F5" s="9" t="n">
        <v>0.01</v>
      </c>
      <c r="G5" s="9" t="n">
        <v>-0.04</v>
      </c>
    </row>
    <row r="6">
      <c r="A6" s="8" t="inlineStr">
        <is>
          <t>York</t>
        </is>
      </c>
      <c r="B6" s="10" t="n">
        <v>0.37</v>
      </c>
      <c r="C6" s="10" t="n">
        <v>0.63</v>
      </c>
      <c r="D6" s="10" t="n">
        <v>0.34</v>
      </c>
      <c r="E6" s="10" t="n">
        <v>0.45</v>
      </c>
      <c r="F6" s="10" t="n">
        <v>0.41</v>
      </c>
      <c r="G6" s="10" t="n">
        <v>0.93</v>
      </c>
    </row>
    <row r="7">
      <c r="A7" s="6" t="inlineStr">
        <is>
          <t>Exeter</t>
        </is>
      </c>
      <c r="B7" s="9" t="n">
        <v>0.35</v>
      </c>
      <c r="C7" s="9" t="n">
        <v>0.51</v>
      </c>
      <c r="D7" s="9" t="n">
        <v>0.8100000000000001</v>
      </c>
      <c r="E7" s="9" t="n">
        <v>1.06</v>
      </c>
      <c r="F7" s="9" t="n">
        <v>-0.1</v>
      </c>
      <c r="G7" s="9" t="n">
        <v>0</v>
      </c>
    </row>
    <row r="8">
      <c r="A8" s="8" t="inlineStr">
        <is>
          <t>Newport County</t>
        </is>
      </c>
      <c r="B8" s="10" t="n">
        <v>0.34</v>
      </c>
      <c r="C8" s="10" t="n">
        <v>0.49</v>
      </c>
      <c r="D8" s="10" t="n">
        <v>0.83</v>
      </c>
      <c r="E8" s="10" t="n">
        <v>1.03</v>
      </c>
      <c r="F8" s="10" t="n">
        <v>-0.16</v>
      </c>
      <c r="G8" s="10" t="n">
        <v>0.36</v>
      </c>
    </row>
    <row r="9">
      <c r="A9" s="6" t="inlineStr">
        <is>
          <t>Rotherham United</t>
        </is>
      </c>
      <c r="B9" s="9" t="n">
        <v>0.31</v>
      </c>
      <c r="C9" s="9" t="n">
        <v>0.48</v>
      </c>
      <c r="D9" s="9" t="n">
        <v>0.14</v>
      </c>
      <c r="E9" s="9" t="n">
        <v>-0.06</v>
      </c>
      <c r="F9" s="9" t="n">
        <v>0.48</v>
      </c>
      <c r="G9" s="9" t="n">
        <v>0.57</v>
      </c>
    </row>
    <row r="10">
      <c r="A10" s="8" t="inlineStr">
        <is>
          <t>Port Vale</t>
        </is>
      </c>
      <c r="B10" s="10" t="n">
        <v>0.2</v>
      </c>
      <c r="C10" s="10" t="n">
        <v>0.04</v>
      </c>
      <c r="D10" s="10" t="n">
        <v>0.88</v>
      </c>
      <c r="E10" s="10" t="n">
        <v>0.62</v>
      </c>
      <c r="F10" s="10" t="n">
        <v>-0.49</v>
      </c>
      <c r="G10" s="10" t="n">
        <v>-0.55</v>
      </c>
    </row>
    <row r="11">
      <c r="A11" s="6" t="inlineStr">
        <is>
          <t>Gillingham</t>
        </is>
      </c>
      <c r="B11" s="9" t="n">
        <v>0.16</v>
      </c>
      <c r="C11" s="9" t="n">
        <v>0.35</v>
      </c>
      <c r="D11" s="9" t="n">
        <v>-0.05</v>
      </c>
      <c r="E11" s="9" t="n">
        <v>0.22</v>
      </c>
      <c r="F11" s="9" t="n">
        <v>0.38</v>
      </c>
      <c r="G11" s="9" t="n">
        <v>0.65</v>
      </c>
    </row>
    <row r="12">
      <c r="A12" s="8" t="inlineStr">
        <is>
          <t>Crawley Town</t>
        </is>
      </c>
      <c r="B12" s="10" t="n">
        <v>0.11</v>
      </c>
      <c r="C12" s="10" t="n">
        <v>-0.33</v>
      </c>
      <c r="D12" s="10" t="n">
        <v>-0.41</v>
      </c>
      <c r="E12" s="10" t="n">
        <v>-0.72</v>
      </c>
      <c r="F12" s="10" t="n">
        <v>0.63</v>
      </c>
      <c r="G12" s="10" t="n">
        <v>1.06</v>
      </c>
    </row>
    <row r="13">
      <c r="A13" s="6" t="inlineStr">
        <is>
          <t>Bristol Rvs</t>
        </is>
      </c>
      <c r="B13" s="9" t="n">
        <v>0.01</v>
      </c>
      <c r="C13" s="9" t="n">
        <v>-0.03</v>
      </c>
      <c r="D13" s="9" t="n">
        <v>0.73</v>
      </c>
      <c r="E13" s="9" t="n">
        <v>0.58</v>
      </c>
      <c r="F13" s="9" t="n">
        <v>-0.71</v>
      </c>
      <c r="G13" s="9" t="n">
        <v>-1.1</v>
      </c>
    </row>
    <row r="14">
      <c r="A14" s="8" t="inlineStr">
        <is>
          <t>Walsall</t>
        </is>
      </c>
      <c r="B14" s="10" t="n">
        <v>0.01</v>
      </c>
      <c r="C14" s="10" t="n">
        <v>0.22</v>
      </c>
      <c r="D14" s="10" t="n">
        <v>0.12</v>
      </c>
      <c r="E14" s="10" t="n">
        <v>0.32</v>
      </c>
      <c r="F14" s="10" t="n">
        <v>-0.07000000000000001</v>
      </c>
      <c r="G14" s="10" t="n">
        <v>-0.43</v>
      </c>
    </row>
    <row r="15">
      <c r="A15" s="6" t="inlineStr">
        <is>
          <t>Grimsby Town</t>
        </is>
      </c>
      <c r="B15" s="9" t="n">
        <v>-0.03</v>
      </c>
      <c r="C15" s="9" t="n">
        <v>-0.1</v>
      </c>
      <c r="D15" s="9" t="n">
        <v>0.77</v>
      </c>
      <c r="E15" s="9" t="n">
        <v>0.68</v>
      </c>
      <c r="F15" s="9" t="n">
        <v>-0.84</v>
      </c>
      <c r="G15" s="9" t="n">
        <v>-0.41</v>
      </c>
    </row>
    <row r="16">
      <c r="A16" s="8" t="inlineStr">
        <is>
          <t>Barnet</t>
        </is>
      </c>
      <c r="B16" s="10" t="n">
        <v>-0.06</v>
      </c>
      <c r="C16" s="10" t="n">
        <v>0.22</v>
      </c>
      <c r="D16" s="10" t="n">
        <v>0.2</v>
      </c>
      <c r="E16" s="10" t="n">
        <v>0.31</v>
      </c>
      <c r="F16" s="10" t="n">
        <v>-0.32</v>
      </c>
      <c r="G16" s="10" t="n">
        <v>-0.16</v>
      </c>
    </row>
    <row r="17">
      <c r="A17" s="6" t="inlineStr">
        <is>
          <t>Oldham Athletic</t>
        </is>
      </c>
      <c r="B17" s="9" t="n">
        <v>-0.06</v>
      </c>
      <c r="C17" s="9" t="n">
        <v>-0.28</v>
      </c>
      <c r="D17" s="9" t="n">
        <v>-0.07000000000000001</v>
      </c>
      <c r="E17" s="9" t="n">
        <v>-0.64</v>
      </c>
      <c r="F17" s="9" t="n">
        <v>-0.05</v>
      </c>
      <c r="G17" s="9" t="n">
        <v>0.15</v>
      </c>
    </row>
    <row r="18">
      <c r="A18" s="8" t="inlineStr">
        <is>
          <t>Crewe Alexandra</t>
        </is>
      </c>
      <c r="B18" s="10" t="n">
        <v>-0.07000000000000001</v>
      </c>
      <c r="C18" s="10" t="n">
        <v>-0.11</v>
      </c>
      <c r="D18" s="10" t="n">
        <v>-0.63</v>
      </c>
      <c r="E18" s="10" t="n">
        <v>-0.62</v>
      </c>
      <c r="F18" s="10" t="n">
        <v>0.49</v>
      </c>
      <c r="G18" s="10" t="n">
        <v>0.43</v>
      </c>
    </row>
    <row r="19">
      <c r="A19" s="6" t="inlineStr">
        <is>
          <t>Tranmere Rovers</t>
        </is>
      </c>
      <c r="B19" s="9" t="n">
        <v>-0.21</v>
      </c>
      <c r="C19" s="9" t="n">
        <v>-0.15</v>
      </c>
      <c r="D19" s="9" t="n">
        <v>-0.03</v>
      </c>
      <c r="E19" s="9" t="n">
        <v>0.18</v>
      </c>
      <c r="F19" s="9" t="n">
        <v>-0.38</v>
      </c>
      <c r="G19" s="9" t="n">
        <v>-0.22</v>
      </c>
    </row>
    <row r="20">
      <c r="A20" s="8" t="inlineStr">
        <is>
          <t>Swindon Town</t>
        </is>
      </c>
      <c r="B20" s="10" t="n">
        <v>-0.23</v>
      </c>
      <c r="C20" s="10" t="n">
        <v>-0.27</v>
      </c>
      <c r="D20" s="10" t="n">
        <v>0.13</v>
      </c>
      <c r="E20" s="10" t="n">
        <v>0.04</v>
      </c>
      <c r="F20" s="10" t="n">
        <v>-0.59</v>
      </c>
      <c r="G20" s="10" t="n">
        <v>-0.35</v>
      </c>
    </row>
    <row r="21">
      <c r="A21" s="6" t="inlineStr">
        <is>
          <t>Cheltenham Town</t>
        </is>
      </c>
      <c r="B21" s="9" t="n">
        <v>-0.25</v>
      </c>
      <c r="C21" s="9" t="n">
        <v>-0.01</v>
      </c>
      <c r="D21" s="9" t="n">
        <v>-0.72</v>
      </c>
      <c r="E21" s="9" t="n">
        <v>-0.63</v>
      </c>
      <c r="F21" s="9" t="n">
        <v>0.23</v>
      </c>
      <c r="G21" s="9" t="n">
        <v>0.57</v>
      </c>
    </row>
    <row r="22">
      <c r="A22" s="8" t="inlineStr">
        <is>
          <t>Salford City</t>
        </is>
      </c>
      <c r="B22" s="10" t="n">
        <v>-0.38</v>
      </c>
      <c r="C22" s="10" t="n">
        <v>-0.35</v>
      </c>
      <c r="D22" s="10" t="n">
        <v>-0.5600000000000001</v>
      </c>
      <c r="E22" s="10" t="n">
        <v>-0.9</v>
      </c>
      <c r="F22" s="10" t="n">
        <v>-0.2</v>
      </c>
      <c r="G22" s="10" t="n">
        <v>-0.25</v>
      </c>
    </row>
    <row r="23">
      <c r="A23" s="6" t="inlineStr">
        <is>
          <t>Colchester United</t>
        </is>
      </c>
      <c r="B23" s="9" t="n">
        <v>-0.4</v>
      </c>
      <c r="C23" s="9" t="n">
        <v>-0.51</v>
      </c>
      <c r="D23" s="9" t="n">
        <v>0.29</v>
      </c>
      <c r="E23" s="9" t="n">
        <v>0.19</v>
      </c>
      <c r="F23" s="9" t="n">
        <v>-0.96</v>
      </c>
      <c r="G23" s="9" t="n">
        <v>-1.03</v>
      </c>
    </row>
    <row r="24">
      <c r="A24" s="8" t="inlineStr">
        <is>
          <t>Northampton Town</t>
        </is>
      </c>
      <c r="B24" s="10" t="n">
        <v>-0.54</v>
      </c>
      <c r="C24" s="10" t="n">
        <v>-0.43</v>
      </c>
      <c r="D24" s="10" t="n">
        <v>-0.92</v>
      </c>
      <c r="E24" s="10" t="n">
        <v>-0.51</v>
      </c>
      <c r="F24" s="10" t="n">
        <v>-0.16</v>
      </c>
      <c r="G24" s="10" t="n">
        <v>-0.4</v>
      </c>
    </row>
    <row r="25">
      <c r="A25" s="6" t="inlineStr">
        <is>
          <t>Fleetwood Town</t>
        </is>
      </c>
      <c r="B25" s="9" t="n">
        <v>-0.55</v>
      </c>
      <c r="C25" s="9" t="n">
        <v>-0.53</v>
      </c>
      <c r="D25" s="9" t="n">
        <v>-0.36</v>
      </c>
      <c r="E25" s="9" t="n">
        <v>-0.49</v>
      </c>
      <c r="F25" s="9" t="n">
        <v>-0.75</v>
      </c>
      <c r="G25" s="9" t="n">
        <v>-0.57</v>
      </c>
    </row>
    <row r="26">
      <c r="A26" s="8" t="inlineStr">
        <is>
          <t>Rochdale</t>
        </is>
      </c>
      <c r="B26" s="10" t="n">
        <v>-0.74</v>
      </c>
      <c r="C26" s="10" t="n">
        <v>-0.75</v>
      </c>
      <c r="D26" s="10" t="n">
        <v>-1.18</v>
      </c>
      <c r="E26" s="10" t="n">
        <v>-1.53</v>
      </c>
      <c r="F26" s="10" t="n">
        <v>-0.3</v>
      </c>
      <c r="G26" s="10" t="n">
        <v>-0.18</v>
      </c>
    </row>
    <row r="28">
      <c r="A28" s="13" t="inlineStr">
        <is>
          <t>Total Goals - Total / Home / Away</t>
        </is>
      </c>
    </row>
    <row r="29" ht="30" customHeight="1">
      <c r="A29" s="4" t="inlineStr">
        <is>
          <t>Team</t>
        </is>
      </c>
      <c r="B29" s="4" t="inlineStr">
        <is>
          <t>Total GF</t>
        </is>
      </c>
      <c r="C29" s="4" t="inlineStr">
        <is>
          <t>Total GA</t>
        </is>
      </c>
      <c r="D29" s="4" t="inlineStr">
        <is>
          <t>Home GF</t>
        </is>
      </c>
      <c r="E29" s="4" t="inlineStr">
        <is>
          <t>Home GA</t>
        </is>
      </c>
      <c r="F29" s="4" t="inlineStr">
        <is>
          <t>Away GF</t>
        </is>
      </c>
      <c r="G29" s="4" t="inlineStr">
        <is>
          <t>Away GA</t>
        </is>
      </c>
    </row>
    <row r="30">
      <c r="A30" s="6" t="inlineStr">
        <is>
          <t>Chesterfield</t>
        </is>
      </c>
      <c r="B30" s="6" t="n">
        <v>17</v>
      </c>
      <c r="C30" s="6" t="n">
        <v>14</v>
      </c>
      <c r="D30" s="6" t="n">
        <v>10</v>
      </c>
      <c r="E30" s="6" t="n">
        <v>7</v>
      </c>
      <c r="F30" s="6" t="n">
        <v>7</v>
      </c>
      <c r="G30" s="6" t="n">
        <v>7</v>
      </c>
    </row>
    <row r="31">
      <c r="A31" s="8" t="inlineStr">
        <is>
          <t>Shrewsbury Town</t>
        </is>
      </c>
      <c r="B31" s="8" t="n">
        <v>9</v>
      </c>
      <c r="C31" s="8" t="n">
        <v>15</v>
      </c>
      <c r="D31" s="8" t="n">
        <v>6</v>
      </c>
      <c r="E31" s="8" t="n">
        <v>6</v>
      </c>
      <c r="F31" s="8" t="n">
        <v>3</v>
      </c>
      <c r="G31" s="8" t="n">
        <v>9</v>
      </c>
    </row>
    <row r="32">
      <c r="A32" s="6" t="inlineStr">
        <is>
          <t>Accrington Stanley</t>
        </is>
      </c>
      <c r="B32" s="6" t="n">
        <v>13</v>
      </c>
      <c r="C32" s="6" t="n">
        <v>14</v>
      </c>
      <c r="D32" s="6" t="n">
        <v>9</v>
      </c>
      <c r="E32" s="6" t="n">
        <v>6</v>
      </c>
      <c r="F32" s="6" t="n">
        <v>4</v>
      </c>
      <c r="G32" s="6" t="n">
        <v>8</v>
      </c>
    </row>
    <row r="33">
      <c r="A33" s="8" t="inlineStr">
        <is>
          <t>York</t>
        </is>
      </c>
      <c r="B33" s="8" t="n">
        <v>17</v>
      </c>
      <c r="C33" s="8" t="n">
        <v>11</v>
      </c>
      <c r="D33" s="8" t="n">
        <v>13</v>
      </c>
      <c r="E33" s="8" t="n">
        <v>4</v>
      </c>
      <c r="F33" s="8" t="n">
        <v>4</v>
      </c>
      <c r="G33" s="8" t="n">
        <v>7</v>
      </c>
    </row>
    <row r="34">
      <c r="A34" s="6" t="inlineStr">
        <is>
          <t>Exeter</t>
        </is>
      </c>
      <c r="B34" s="6" t="n">
        <v>6</v>
      </c>
      <c r="C34" s="6" t="n">
        <v>6</v>
      </c>
      <c r="D34" s="6" t="n">
        <v>4</v>
      </c>
      <c r="E34" s="6" t="n">
        <v>1</v>
      </c>
      <c r="F34" s="6" t="n">
        <v>2</v>
      </c>
      <c r="G34" s="6" t="n">
        <v>5</v>
      </c>
    </row>
    <row r="35">
      <c r="A35" s="8" t="inlineStr">
        <is>
          <t>Newport County</t>
        </is>
      </c>
      <c r="B35" s="8" t="n">
        <v>13</v>
      </c>
      <c r="C35" s="8" t="n">
        <v>12</v>
      </c>
      <c r="D35" s="8" t="n">
        <v>9</v>
      </c>
      <c r="E35" s="8" t="n">
        <v>4</v>
      </c>
      <c r="F35" s="8" t="n">
        <v>4</v>
      </c>
      <c r="G35" s="8" t="n">
        <v>8</v>
      </c>
    </row>
    <row r="36">
      <c r="A36" s="6" t="inlineStr">
        <is>
          <t>Rotherham United</t>
        </is>
      </c>
      <c r="B36" s="6" t="n">
        <v>12</v>
      </c>
      <c r="C36" s="6" t="n">
        <v>16</v>
      </c>
      <c r="D36" s="6" t="n">
        <v>8</v>
      </c>
      <c r="E36" s="6" t="n">
        <v>10</v>
      </c>
      <c r="F36" s="6" t="n">
        <v>4</v>
      </c>
      <c r="G36" s="6" t="n">
        <v>6</v>
      </c>
    </row>
    <row r="37">
      <c r="A37" s="8" t="inlineStr">
        <is>
          <t>Port Vale</t>
        </is>
      </c>
      <c r="B37" s="8" t="n">
        <v>4</v>
      </c>
      <c r="C37" s="8" t="n">
        <v>9</v>
      </c>
      <c r="D37" s="8" t="n">
        <v>3</v>
      </c>
      <c r="E37" s="8" t="n">
        <v>1</v>
      </c>
      <c r="F37" s="8" t="n">
        <v>1</v>
      </c>
      <c r="G37" s="8" t="n">
        <v>8</v>
      </c>
    </row>
    <row r="38">
      <c r="A38" s="6" t="inlineStr">
        <is>
          <t>Gillingham</t>
        </is>
      </c>
      <c r="B38" s="6" t="n">
        <v>15</v>
      </c>
      <c r="C38" s="6" t="n">
        <v>10</v>
      </c>
      <c r="D38" s="6" t="n">
        <v>6</v>
      </c>
      <c r="E38" s="6" t="n">
        <v>4</v>
      </c>
      <c r="F38" s="6" t="n">
        <v>9</v>
      </c>
      <c r="G38" s="6" t="n">
        <v>6</v>
      </c>
    </row>
    <row r="39">
      <c r="A39" s="8" t="inlineStr">
        <is>
          <t>Crawley Town</t>
        </is>
      </c>
      <c r="B39" s="8" t="n">
        <v>8</v>
      </c>
      <c r="C39" s="8" t="n">
        <v>15</v>
      </c>
      <c r="D39" s="8" t="n">
        <v>3</v>
      </c>
      <c r="E39" s="8" t="n">
        <v>8</v>
      </c>
      <c r="F39" s="8" t="n">
        <v>5</v>
      </c>
      <c r="G39" s="8" t="n">
        <v>7</v>
      </c>
    </row>
    <row r="40">
      <c r="A40" s="6" t="inlineStr">
        <is>
          <t>Bristol Rvs</t>
        </is>
      </c>
      <c r="B40" s="6" t="n">
        <v>15</v>
      </c>
      <c r="C40" s="6" t="n">
        <v>17</v>
      </c>
      <c r="D40" s="6" t="n">
        <v>10</v>
      </c>
      <c r="E40" s="6" t="n">
        <v>6</v>
      </c>
      <c r="F40" s="6" t="n">
        <v>5</v>
      </c>
      <c r="G40" s="6" t="n">
        <v>11</v>
      </c>
    </row>
    <row r="41">
      <c r="A41" s="8" t="inlineStr">
        <is>
          <t>Walsall</t>
        </is>
      </c>
      <c r="B41" s="8" t="n">
        <v>12</v>
      </c>
      <c r="C41" s="8" t="n">
        <v>6</v>
      </c>
      <c r="D41" s="8" t="n">
        <v>5</v>
      </c>
      <c r="E41" s="8" t="n">
        <v>2</v>
      </c>
      <c r="F41" s="8" t="n">
        <v>7</v>
      </c>
      <c r="G41" s="8" t="n">
        <v>4</v>
      </c>
    </row>
    <row r="42">
      <c r="A42" s="6" t="inlineStr">
        <is>
          <t>Grimsby Town</t>
        </is>
      </c>
      <c r="B42" s="6" t="n">
        <v>13</v>
      </c>
      <c r="C42" s="6" t="n">
        <v>11</v>
      </c>
      <c r="D42" s="6" t="n">
        <v>8</v>
      </c>
      <c r="E42" s="6" t="n">
        <v>4</v>
      </c>
      <c r="F42" s="6" t="n">
        <v>5</v>
      </c>
      <c r="G42" s="6" t="n">
        <v>7</v>
      </c>
    </row>
    <row r="43">
      <c r="A43" s="8" t="inlineStr">
        <is>
          <t>Barnet</t>
        </is>
      </c>
      <c r="B43" s="8" t="n">
        <v>20</v>
      </c>
      <c r="C43" s="8" t="n">
        <v>11</v>
      </c>
      <c r="D43" s="8" t="n">
        <v>10</v>
      </c>
      <c r="E43" s="8" t="n">
        <v>5</v>
      </c>
      <c r="F43" s="8" t="n">
        <v>10</v>
      </c>
      <c r="G43" s="8" t="n">
        <v>6</v>
      </c>
    </row>
    <row r="44">
      <c r="A44" s="6" t="inlineStr">
        <is>
          <t>Oldham Athletic</t>
        </is>
      </c>
      <c r="B44" s="6" t="n">
        <v>9</v>
      </c>
      <c r="C44" s="6" t="n">
        <v>13</v>
      </c>
      <c r="D44" s="6" t="n">
        <v>7</v>
      </c>
      <c r="E44" s="6" t="n">
        <v>6</v>
      </c>
      <c r="F44" s="6" t="n">
        <v>2</v>
      </c>
      <c r="G44" s="6" t="n">
        <v>7</v>
      </c>
    </row>
    <row r="45">
      <c r="A45" s="8" t="inlineStr">
        <is>
          <t>Crewe Alexandra</t>
        </is>
      </c>
      <c r="B45" s="8" t="n">
        <v>12</v>
      </c>
      <c r="C45" s="8" t="n">
        <v>7</v>
      </c>
      <c r="D45" s="8" t="n">
        <v>8</v>
      </c>
      <c r="E45" s="8" t="n">
        <v>5</v>
      </c>
      <c r="F45" s="8" t="n">
        <v>4</v>
      </c>
      <c r="G45" s="8" t="n">
        <v>2</v>
      </c>
    </row>
    <row r="46">
      <c r="A46" s="6" t="inlineStr">
        <is>
          <t>Tranmere Rovers</t>
        </is>
      </c>
      <c r="B46" s="6" t="n">
        <v>13</v>
      </c>
      <c r="C46" s="6" t="n">
        <v>13</v>
      </c>
      <c r="D46" s="6" t="n">
        <v>8</v>
      </c>
      <c r="E46" s="6" t="n">
        <v>4</v>
      </c>
      <c r="F46" s="6" t="n">
        <v>5</v>
      </c>
      <c r="G46" s="6" t="n">
        <v>9</v>
      </c>
    </row>
    <row r="47">
      <c r="A47" s="8" t="inlineStr">
        <is>
          <t>Swindon Town</t>
        </is>
      </c>
      <c r="B47" s="8" t="n">
        <v>9</v>
      </c>
      <c r="C47" s="8" t="n">
        <v>14</v>
      </c>
      <c r="D47" s="8" t="n">
        <v>9</v>
      </c>
      <c r="E47" s="8" t="n">
        <v>5</v>
      </c>
      <c r="F47" s="8" t="n">
        <v>0</v>
      </c>
      <c r="G47" s="8" t="n">
        <v>9</v>
      </c>
    </row>
    <row r="48">
      <c r="A48" s="6" t="inlineStr">
        <is>
          <t>Cheltenham Town</t>
        </is>
      </c>
      <c r="B48" s="6" t="n">
        <v>16</v>
      </c>
      <c r="C48" s="6" t="n">
        <v>16</v>
      </c>
      <c r="D48" s="6" t="n">
        <v>9</v>
      </c>
      <c r="E48" s="6" t="n">
        <v>8</v>
      </c>
      <c r="F48" s="6" t="n">
        <v>7</v>
      </c>
      <c r="G48" s="6" t="n">
        <v>8</v>
      </c>
    </row>
    <row r="49">
      <c r="A49" s="8" t="inlineStr">
        <is>
          <t>Salford City</t>
        </is>
      </c>
      <c r="B49" s="8" t="n">
        <v>15</v>
      </c>
      <c r="C49" s="8" t="n">
        <v>10</v>
      </c>
      <c r="D49" s="8" t="n">
        <v>5</v>
      </c>
      <c r="E49" s="8" t="n">
        <v>2</v>
      </c>
      <c r="F49" s="8" t="n">
        <v>10</v>
      </c>
      <c r="G49" s="8" t="n">
        <v>8</v>
      </c>
    </row>
    <row r="50">
      <c r="A50" s="6" t="inlineStr">
        <is>
          <t>Colchester United</t>
        </is>
      </c>
      <c r="B50" s="6" t="n">
        <v>10</v>
      </c>
      <c r="C50" s="6" t="n">
        <v>13</v>
      </c>
      <c r="D50" s="6" t="n">
        <v>5</v>
      </c>
      <c r="E50" s="6" t="n">
        <v>3</v>
      </c>
      <c r="F50" s="6" t="n">
        <v>5</v>
      </c>
      <c r="G50" s="6" t="n">
        <v>10</v>
      </c>
    </row>
    <row r="51">
      <c r="A51" s="8" t="inlineStr">
        <is>
          <t>Northampton Town</t>
        </is>
      </c>
      <c r="B51" s="8" t="n">
        <v>4</v>
      </c>
      <c r="C51" s="8" t="n">
        <v>7</v>
      </c>
      <c r="D51" s="8" t="n">
        <v>2</v>
      </c>
      <c r="E51" s="8" t="n">
        <v>2</v>
      </c>
      <c r="F51" s="8" t="n">
        <v>2</v>
      </c>
      <c r="G51" s="8" t="n">
        <v>5</v>
      </c>
    </row>
    <row r="52">
      <c r="A52" s="6" t="inlineStr">
        <is>
          <t>Fleetwood Town</t>
        </is>
      </c>
      <c r="B52" s="6" t="n">
        <v>10</v>
      </c>
      <c r="C52" s="6" t="n">
        <v>11</v>
      </c>
      <c r="D52" s="6" t="n">
        <v>5</v>
      </c>
      <c r="E52" s="6" t="n">
        <v>4</v>
      </c>
      <c r="F52" s="6" t="n">
        <v>5</v>
      </c>
      <c r="G52" s="6" t="n">
        <v>7</v>
      </c>
    </row>
    <row r="53">
      <c r="A53" s="8" t="inlineStr">
        <is>
          <t>Rochdale</t>
        </is>
      </c>
      <c r="B53" s="8" t="n">
        <v>11</v>
      </c>
      <c r="C53" s="8" t="n">
        <v>12</v>
      </c>
      <c r="D53" s="8" t="n">
        <v>8</v>
      </c>
      <c r="E53" s="8" t="n">
        <v>6</v>
      </c>
      <c r="F53" s="8" t="n">
        <v>3</v>
      </c>
      <c r="G53" s="8" t="n">
        <v>6</v>
      </c>
    </row>
  </sheetData>
  <mergeCells count="2">
    <mergeCell ref="A1:G1"/>
    <mergeCell ref="A28:G28"/>
  </mergeCells>
  <conditionalFormatting sqref="B3:B26">
    <cfRule type="colorScale" priority="1">
      <colorScale>
        <cfvo type="min"/>
        <cfvo type="num" val="0"/>
        <cfvo type="max"/>
        <color rgb="00F8696B"/>
        <color rgb="00FFFFFF"/>
        <color rgb="0063BE7B"/>
      </colorScale>
    </cfRule>
  </conditionalFormatting>
  <conditionalFormatting sqref="C3:C26">
    <cfRule type="colorScale" priority="2">
      <colorScale>
        <cfvo type="min"/>
        <cfvo type="num" val="0"/>
        <cfvo type="max"/>
        <color rgb="00F8696B"/>
        <color rgb="00FFFFFF"/>
        <color rgb="0063BE7B"/>
      </colorScale>
    </cfRule>
  </conditionalFormatting>
  <conditionalFormatting sqref="D3:D26">
    <cfRule type="colorScale" priority="3">
      <colorScale>
        <cfvo type="min"/>
        <cfvo type="num" val="0"/>
        <cfvo type="max"/>
        <color rgb="00F8696B"/>
        <color rgb="00FFFFFF"/>
        <color rgb="0063BE7B"/>
      </colorScale>
    </cfRule>
  </conditionalFormatting>
  <conditionalFormatting sqref="E3:E26">
    <cfRule type="colorScale" priority="4">
      <colorScale>
        <cfvo type="min"/>
        <cfvo type="num" val="0"/>
        <cfvo type="max"/>
        <color rgb="00F8696B"/>
        <color rgb="00FFFFFF"/>
        <color rgb="0063BE7B"/>
      </colorScale>
    </cfRule>
  </conditionalFormatting>
  <conditionalFormatting sqref="F3:F26">
    <cfRule type="colorScale" priority="5">
      <colorScale>
        <cfvo type="min"/>
        <cfvo type="num" val="0"/>
        <cfvo type="max"/>
        <color rgb="00F8696B"/>
        <color rgb="00FFFFFF"/>
        <color rgb="0063BE7B"/>
      </colorScale>
    </cfRule>
  </conditionalFormatting>
  <conditionalFormatting sqref="G3:G26">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Chesterfield</t>
        </is>
      </c>
      <c r="B2" s="14">
        <f>'Chesterfield'!$E$25</f>
        <v/>
      </c>
      <c r="C2" s="9">
        <f>'Chesterfield'!$R$2</f>
        <v/>
      </c>
      <c r="D2" s="9">
        <f>'Chesterfield'!$R$3</f>
        <v/>
      </c>
      <c r="E2" s="9">
        <f>'Chesterfield'!$R$4</f>
        <v/>
      </c>
      <c r="F2" s="9">
        <f>'Chesterfield'!$R$5</f>
        <v/>
      </c>
      <c r="G2" s="9">
        <f>'Chesterfield'!$R$6</f>
        <v/>
      </c>
      <c r="H2" s="9">
        <f>'Chesterfield'!$R$7</f>
        <v/>
      </c>
      <c r="I2" s="9">
        <f>'Chesterfield'!$R$8</f>
        <v/>
      </c>
      <c r="J2" s="9">
        <f>'Chesterfield'!$R$9</f>
        <v/>
      </c>
      <c r="K2" s="9">
        <f>'Chesterfield'!$R$10</f>
        <v/>
      </c>
      <c r="L2" s="9">
        <f>'Chesterfield'!$R$11</f>
        <v/>
      </c>
    </row>
    <row r="3">
      <c r="A3" s="6" t="inlineStr">
        <is>
          <t>Shrewsbury Town</t>
        </is>
      </c>
      <c r="B3" s="14">
        <f>'Shrewsbury Town'!$E$25</f>
        <v/>
      </c>
      <c r="C3" s="9">
        <f>'Shrewsbury Town'!$R$2</f>
        <v/>
      </c>
      <c r="D3" s="9">
        <f>'Shrewsbury Town'!$R$3</f>
        <v/>
      </c>
      <c r="E3" s="9">
        <f>'Shrewsbury Town'!$R$4</f>
        <v/>
      </c>
      <c r="F3" s="9">
        <f>'Shrewsbury Town'!$R$5</f>
        <v/>
      </c>
      <c r="G3" s="9">
        <f>'Shrewsbury Town'!$R$6</f>
        <v/>
      </c>
      <c r="H3" s="9">
        <f>'Shrewsbury Town'!$R$7</f>
        <v/>
      </c>
      <c r="I3" s="9">
        <f>'Shrewsbury Town'!$R$8</f>
        <v/>
      </c>
      <c r="J3" s="9">
        <f>'Shrewsbury Town'!$R$9</f>
        <v/>
      </c>
      <c r="K3" s="9">
        <f>'Shrewsbury Town'!$R$10</f>
        <v/>
      </c>
      <c r="L3" s="9">
        <f>'Shrewsbury Town'!$R$11</f>
        <v/>
      </c>
    </row>
    <row r="4">
      <c r="A4" s="6" t="inlineStr">
        <is>
          <t>Accrington Stanley</t>
        </is>
      </c>
      <c r="B4" s="14">
        <f>'Accrington Stanley'!$E$25</f>
        <v/>
      </c>
      <c r="C4" s="9">
        <f>'Accrington Stanley'!$R$2</f>
        <v/>
      </c>
      <c r="D4" s="9">
        <f>'Accrington Stanley'!$R$3</f>
        <v/>
      </c>
      <c r="E4" s="9">
        <f>'Accrington Stanley'!$R$4</f>
        <v/>
      </c>
      <c r="F4" s="9">
        <f>'Accrington Stanley'!$R$5</f>
        <v/>
      </c>
      <c r="G4" s="9">
        <f>'Accrington Stanley'!$R$6</f>
        <v/>
      </c>
      <c r="H4" s="9">
        <f>'Accrington Stanley'!$R$7</f>
        <v/>
      </c>
      <c r="I4" s="9">
        <f>'Accrington Stanley'!$R$8</f>
        <v/>
      </c>
      <c r="J4" s="9">
        <f>'Accrington Stanley'!$R$9</f>
        <v/>
      </c>
      <c r="K4" s="9">
        <f>'Accrington Stanley'!$R$10</f>
        <v/>
      </c>
      <c r="L4" s="9">
        <f>'Accrington Stanley'!$R$11</f>
        <v/>
      </c>
    </row>
    <row r="5">
      <c r="A5" s="6" t="inlineStr">
        <is>
          <t>York</t>
        </is>
      </c>
      <c r="B5" s="14">
        <f>'York'!$E$24</f>
        <v/>
      </c>
      <c r="C5" s="9">
        <f>'York'!$R$2</f>
        <v/>
      </c>
      <c r="D5" s="9">
        <f>'York'!$R$3</f>
        <v/>
      </c>
      <c r="E5" s="9">
        <f>'York'!$R$4</f>
        <v/>
      </c>
      <c r="F5" s="9">
        <f>'York'!$R$5</f>
        <v/>
      </c>
      <c r="G5" s="9">
        <f>'York'!$R$6</f>
        <v/>
      </c>
      <c r="H5" s="9">
        <f>'York'!$R$7</f>
        <v/>
      </c>
      <c r="I5" s="9">
        <f>'York'!$R$8</f>
        <v/>
      </c>
      <c r="J5" s="9">
        <f>'York'!$R$9</f>
        <v/>
      </c>
      <c r="K5" s="9">
        <f>'York'!$R$10</f>
        <v/>
      </c>
      <c r="L5" s="6" t="n"/>
    </row>
    <row r="6">
      <c r="A6" s="6" t="inlineStr">
        <is>
          <t>Exeter</t>
        </is>
      </c>
      <c r="B6" s="14">
        <f>'Exeter'!$E$25</f>
        <v/>
      </c>
      <c r="C6" s="9">
        <f>'Exeter'!$R$2</f>
        <v/>
      </c>
      <c r="D6" s="9">
        <f>'Exeter'!$R$3</f>
        <v/>
      </c>
      <c r="E6" s="9">
        <f>'Exeter'!$R$4</f>
        <v/>
      </c>
      <c r="F6" s="9">
        <f>'Exeter'!$R$5</f>
        <v/>
      </c>
      <c r="G6" s="9">
        <f>'Exeter'!$R$6</f>
        <v/>
      </c>
      <c r="H6" s="9">
        <f>'Exeter'!$R$7</f>
        <v/>
      </c>
      <c r="I6" s="9">
        <f>'Exeter'!$R$8</f>
        <v/>
      </c>
      <c r="J6" s="9">
        <f>'Exeter'!$R$9</f>
        <v/>
      </c>
      <c r="K6" s="9">
        <f>'Exeter'!$R$10</f>
        <v/>
      </c>
      <c r="L6" s="9">
        <f>'Exeter'!$R$11</f>
        <v/>
      </c>
    </row>
    <row r="7">
      <c r="A7" s="6" t="inlineStr">
        <is>
          <t>Newport County</t>
        </is>
      </c>
      <c r="B7" s="14">
        <f>'Newport County'!$E$25</f>
        <v/>
      </c>
      <c r="C7" s="9">
        <f>'Newport County'!$R$2</f>
        <v/>
      </c>
      <c r="D7" s="9">
        <f>'Newport County'!$R$3</f>
        <v/>
      </c>
      <c r="E7" s="9">
        <f>'Newport County'!$R$4</f>
        <v/>
      </c>
      <c r="F7" s="9">
        <f>'Newport County'!$R$5</f>
        <v/>
      </c>
      <c r="G7" s="9">
        <f>'Newport County'!$R$6</f>
        <v/>
      </c>
      <c r="H7" s="9">
        <f>'Newport County'!$R$7</f>
        <v/>
      </c>
      <c r="I7" s="9">
        <f>'Newport County'!$R$8</f>
        <v/>
      </c>
      <c r="J7" s="9">
        <f>'Newport County'!$R$9</f>
        <v/>
      </c>
      <c r="K7" s="9">
        <f>'Newport County'!$R$10</f>
        <v/>
      </c>
      <c r="L7" s="9">
        <f>'Newport County'!$R$11</f>
        <v/>
      </c>
    </row>
    <row r="8">
      <c r="A8" s="6" t="inlineStr">
        <is>
          <t>Rotherham United</t>
        </is>
      </c>
      <c r="B8" s="14">
        <f>'Rotherham United'!$E$25</f>
        <v/>
      </c>
      <c r="C8" s="9">
        <f>'Rotherham United'!$R$2</f>
        <v/>
      </c>
      <c r="D8" s="9">
        <f>'Rotherham United'!$R$3</f>
        <v/>
      </c>
      <c r="E8" s="9">
        <f>'Rotherham United'!$R$4</f>
        <v/>
      </c>
      <c r="F8" s="9">
        <f>'Rotherham United'!$R$5</f>
        <v/>
      </c>
      <c r="G8" s="9">
        <f>'Rotherham United'!$R$6</f>
        <v/>
      </c>
      <c r="H8" s="9">
        <f>'Rotherham United'!$R$7</f>
        <v/>
      </c>
      <c r="I8" s="9">
        <f>'Rotherham United'!$R$8</f>
        <v/>
      </c>
      <c r="J8" s="9">
        <f>'Rotherham United'!$R$9</f>
        <v/>
      </c>
      <c r="K8" s="9">
        <f>'Rotherham United'!$R$10</f>
        <v/>
      </c>
      <c r="L8" s="9">
        <f>'Rotherham United'!$R$11</f>
        <v/>
      </c>
    </row>
    <row r="9">
      <c r="A9" s="6" t="inlineStr">
        <is>
          <t>Port Vale</t>
        </is>
      </c>
      <c r="B9" s="14">
        <f>'Port Vale'!$E$23</f>
        <v/>
      </c>
      <c r="C9" s="9">
        <f>'Port Vale'!$R$2</f>
        <v/>
      </c>
      <c r="D9" s="9">
        <f>'Port Vale'!$R$3</f>
        <v/>
      </c>
      <c r="E9" s="9">
        <f>'Port Vale'!$R$4</f>
        <v/>
      </c>
      <c r="F9" s="9">
        <f>'Port Vale'!$R$5</f>
        <v/>
      </c>
      <c r="G9" s="9">
        <f>'Port Vale'!$R$6</f>
        <v/>
      </c>
      <c r="H9" s="9">
        <f>'Port Vale'!$R$7</f>
        <v/>
      </c>
      <c r="I9" s="9">
        <f>'Port Vale'!$R$8</f>
        <v/>
      </c>
      <c r="J9" s="9">
        <f>'Port Vale'!$R$9</f>
        <v/>
      </c>
      <c r="K9" s="6" t="n"/>
      <c r="L9" s="6" t="n"/>
    </row>
    <row r="10">
      <c r="A10" s="6" t="inlineStr">
        <is>
          <t>Gillingham</t>
        </is>
      </c>
      <c r="B10" s="14">
        <f>'Gillingham'!$E$25</f>
        <v/>
      </c>
      <c r="C10" s="9">
        <f>'Gillingham'!$R$2</f>
        <v/>
      </c>
      <c r="D10" s="9">
        <f>'Gillingham'!$R$3</f>
        <v/>
      </c>
      <c r="E10" s="9">
        <f>'Gillingham'!$R$4</f>
        <v/>
      </c>
      <c r="F10" s="9">
        <f>'Gillingham'!$R$5</f>
        <v/>
      </c>
      <c r="G10" s="9">
        <f>'Gillingham'!$R$6</f>
        <v/>
      </c>
      <c r="H10" s="9">
        <f>'Gillingham'!$R$7</f>
        <v/>
      </c>
      <c r="I10" s="9">
        <f>'Gillingham'!$R$8</f>
        <v/>
      </c>
      <c r="J10" s="9">
        <f>'Gillingham'!$R$9</f>
        <v/>
      </c>
      <c r="K10" s="9">
        <f>'Gillingham'!$R$10</f>
        <v/>
      </c>
      <c r="L10" s="9">
        <f>'Gillingham'!$R$11</f>
        <v/>
      </c>
    </row>
    <row r="11">
      <c r="A11" s="6" t="inlineStr">
        <is>
          <t>Crawley Town</t>
        </is>
      </c>
      <c r="B11" s="14">
        <f>'Crawley Town'!$E$23</f>
        <v/>
      </c>
      <c r="C11" s="9">
        <f>'Crawley Town'!$R$2</f>
        <v/>
      </c>
      <c r="D11" s="9">
        <f>'Crawley Town'!$R$3</f>
        <v/>
      </c>
      <c r="E11" s="9">
        <f>'Crawley Town'!$R$4</f>
        <v/>
      </c>
      <c r="F11" s="9">
        <f>'Crawley Town'!$R$5</f>
        <v/>
      </c>
      <c r="G11" s="9">
        <f>'Crawley Town'!$R$6</f>
        <v/>
      </c>
      <c r="H11" s="9">
        <f>'Crawley Town'!$R$7</f>
        <v/>
      </c>
      <c r="I11" s="9">
        <f>'Crawley Town'!$R$8</f>
        <v/>
      </c>
      <c r="J11" s="9">
        <f>'Crawley Town'!$R$9</f>
        <v/>
      </c>
      <c r="K11" s="6" t="n"/>
      <c r="L11" s="6" t="n"/>
    </row>
    <row r="12">
      <c r="A12" s="6" t="inlineStr">
        <is>
          <t>Bristol Rvs</t>
        </is>
      </c>
      <c r="B12" s="14">
        <f>'Bristol Rvs'!$E$25</f>
        <v/>
      </c>
      <c r="C12" s="9">
        <f>'Bristol Rvs'!$R$2</f>
        <v/>
      </c>
      <c r="D12" s="9">
        <f>'Bristol Rvs'!$R$3</f>
        <v/>
      </c>
      <c r="E12" s="9">
        <f>'Bristol Rvs'!$R$4</f>
        <v/>
      </c>
      <c r="F12" s="9">
        <f>'Bristol Rvs'!$R$5</f>
        <v/>
      </c>
      <c r="G12" s="9">
        <f>'Bristol Rvs'!$R$6</f>
        <v/>
      </c>
      <c r="H12" s="9">
        <f>'Bristol Rvs'!$R$7</f>
        <v/>
      </c>
      <c r="I12" s="9">
        <f>'Bristol Rvs'!$R$8</f>
        <v/>
      </c>
      <c r="J12" s="9">
        <f>'Bristol Rvs'!$R$9</f>
        <v/>
      </c>
      <c r="K12" s="9">
        <f>'Bristol Rvs'!$R$10</f>
        <v/>
      </c>
      <c r="L12" s="9">
        <f>'Bristol Rvs'!$R$11</f>
        <v/>
      </c>
    </row>
    <row r="13">
      <c r="A13" s="6" t="inlineStr">
        <is>
          <t>Walsall</t>
        </is>
      </c>
      <c r="B13" s="14">
        <f>'Walsall'!$E$24</f>
        <v/>
      </c>
      <c r="C13" s="9">
        <f>'Walsall'!$R$2</f>
        <v/>
      </c>
      <c r="D13" s="9">
        <f>'Walsall'!$R$3</f>
        <v/>
      </c>
      <c r="E13" s="9">
        <f>'Walsall'!$R$4</f>
        <v/>
      </c>
      <c r="F13" s="9">
        <f>'Walsall'!$R$5</f>
        <v/>
      </c>
      <c r="G13" s="9">
        <f>'Walsall'!$R$6</f>
        <v/>
      </c>
      <c r="H13" s="9">
        <f>'Walsall'!$R$7</f>
        <v/>
      </c>
      <c r="I13" s="9">
        <f>'Walsall'!$R$8</f>
        <v/>
      </c>
      <c r="J13" s="9">
        <f>'Walsall'!$R$9</f>
        <v/>
      </c>
      <c r="K13" s="9">
        <f>'Walsall'!$R$10</f>
        <v/>
      </c>
      <c r="L13" s="6" t="n"/>
    </row>
    <row r="14">
      <c r="A14" s="6" t="inlineStr">
        <is>
          <t>Grimsby Town</t>
        </is>
      </c>
      <c r="B14" s="14">
        <f>'Grimsby Town'!$E$25</f>
        <v/>
      </c>
      <c r="C14" s="9">
        <f>'Grimsby Town'!$R$2</f>
        <v/>
      </c>
      <c r="D14" s="9">
        <f>'Grimsby Town'!$R$3</f>
        <v/>
      </c>
      <c r="E14" s="9">
        <f>'Grimsby Town'!$R$4</f>
        <v/>
      </c>
      <c r="F14" s="9">
        <f>'Grimsby Town'!$R$5</f>
        <v/>
      </c>
      <c r="G14" s="9">
        <f>'Grimsby Town'!$R$6</f>
        <v/>
      </c>
      <c r="H14" s="9">
        <f>'Grimsby Town'!$R$7</f>
        <v/>
      </c>
      <c r="I14" s="9">
        <f>'Grimsby Town'!$R$8</f>
        <v/>
      </c>
      <c r="J14" s="9">
        <f>'Grimsby Town'!$R$9</f>
        <v/>
      </c>
      <c r="K14" s="9">
        <f>'Grimsby Town'!$R$10</f>
        <v/>
      </c>
      <c r="L14" s="9">
        <f>'Grimsby Town'!$R$11</f>
        <v/>
      </c>
    </row>
    <row r="15">
      <c r="A15" s="6" t="inlineStr">
        <is>
          <t>Barnet</t>
        </is>
      </c>
      <c r="B15" s="14">
        <f>'Barnet'!$E$23</f>
        <v/>
      </c>
      <c r="C15" s="9">
        <f>'Barnet'!$R$2</f>
        <v/>
      </c>
      <c r="D15" s="9">
        <f>'Barnet'!$R$3</f>
        <v/>
      </c>
      <c r="E15" s="9">
        <f>'Barnet'!$R$4</f>
        <v/>
      </c>
      <c r="F15" s="9">
        <f>'Barnet'!$R$5</f>
        <v/>
      </c>
      <c r="G15" s="9">
        <f>'Barnet'!$R$6</f>
        <v/>
      </c>
      <c r="H15" s="9">
        <f>'Barnet'!$R$7</f>
        <v/>
      </c>
      <c r="I15" s="9">
        <f>'Barnet'!$R$8</f>
        <v/>
      </c>
      <c r="J15" s="9">
        <f>'Barnet'!$R$9</f>
        <v/>
      </c>
      <c r="K15" s="6" t="n"/>
      <c r="L15" s="6" t="n"/>
    </row>
    <row r="16">
      <c r="A16" s="6" t="inlineStr">
        <is>
          <t>Oldham Athletic</t>
        </is>
      </c>
      <c r="B16" s="14">
        <f>'Oldham Athletic'!$E$24</f>
        <v/>
      </c>
      <c r="C16" s="9">
        <f>'Oldham Athletic'!$R$2</f>
        <v/>
      </c>
      <c r="D16" s="9">
        <f>'Oldham Athletic'!$R$3</f>
        <v/>
      </c>
      <c r="E16" s="9">
        <f>'Oldham Athletic'!$R$4</f>
        <v/>
      </c>
      <c r="F16" s="9">
        <f>'Oldham Athletic'!$R$5</f>
        <v/>
      </c>
      <c r="G16" s="9">
        <f>'Oldham Athletic'!$R$6</f>
        <v/>
      </c>
      <c r="H16" s="9">
        <f>'Oldham Athletic'!$R$7</f>
        <v/>
      </c>
      <c r="I16" s="9">
        <f>'Oldham Athletic'!$R$8</f>
        <v/>
      </c>
      <c r="J16" s="9">
        <f>'Oldham Athletic'!$R$9</f>
        <v/>
      </c>
      <c r="K16" s="9">
        <f>'Oldham Athletic'!$R$10</f>
        <v/>
      </c>
      <c r="L16" s="6" t="n"/>
    </row>
    <row r="17">
      <c r="A17" s="6" t="inlineStr">
        <is>
          <t>Crewe Alexandra</t>
        </is>
      </c>
      <c r="B17" s="14">
        <f>'Crewe Alexandra'!$E$25</f>
        <v/>
      </c>
      <c r="C17" s="9">
        <f>'Crewe Alexandra'!$R$2</f>
        <v/>
      </c>
      <c r="D17" s="9">
        <f>'Crewe Alexandra'!$R$3</f>
        <v/>
      </c>
      <c r="E17" s="9">
        <f>'Crewe Alexandra'!$R$4</f>
        <v/>
      </c>
      <c r="F17" s="9">
        <f>'Crewe Alexandra'!$R$5</f>
        <v/>
      </c>
      <c r="G17" s="9">
        <f>'Crewe Alexandra'!$R$6</f>
        <v/>
      </c>
      <c r="H17" s="9">
        <f>'Crewe Alexandra'!$R$7</f>
        <v/>
      </c>
      <c r="I17" s="9">
        <f>'Crewe Alexandra'!$R$8</f>
        <v/>
      </c>
      <c r="J17" s="9">
        <f>'Crewe Alexandra'!$R$9</f>
        <v/>
      </c>
      <c r="K17" s="9">
        <f>'Crewe Alexandra'!$R$10</f>
        <v/>
      </c>
      <c r="L17" s="9">
        <f>'Crewe Alexandra'!$R$11</f>
        <v/>
      </c>
    </row>
    <row r="18">
      <c r="A18" s="6" t="inlineStr">
        <is>
          <t>Tranmere Rovers</t>
        </is>
      </c>
      <c r="B18" s="14">
        <f>'Tranmere Rovers'!$E$25</f>
        <v/>
      </c>
      <c r="C18" s="9">
        <f>'Tranmere Rovers'!$R$2</f>
        <v/>
      </c>
      <c r="D18" s="9">
        <f>'Tranmere Rovers'!$R$3</f>
        <v/>
      </c>
      <c r="E18" s="9">
        <f>'Tranmere Rovers'!$R$4</f>
        <v/>
      </c>
      <c r="F18" s="9">
        <f>'Tranmere Rovers'!$R$5</f>
        <v/>
      </c>
      <c r="G18" s="9">
        <f>'Tranmere Rovers'!$R$6</f>
        <v/>
      </c>
      <c r="H18" s="9">
        <f>'Tranmere Rovers'!$R$7</f>
        <v/>
      </c>
      <c r="I18" s="9">
        <f>'Tranmere Rovers'!$R$8</f>
        <v/>
      </c>
      <c r="J18" s="9">
        <f>'Tranmere Rovers'!$R$9</f>
        <v/>
      </c>
      <c r="K18" s="9">
        <f>'Tranmere Rovers'!$R$10</f>
        <v/>
      </c>
      <c r="L18" s="9">
        <f>'Tranmere Rovers'!$R$11</f>
        <v/>
      </c>
    </row>
    <row r="19">
      <c r="A19" s="6" t="inlineStr">
        <is>
          <t>Swindon Town</t>
        </is>
      </c>
      <c r="B19" s="14">
        <f>'Swindon Town'!$E$25</f>
        <v/>
      </c>
      <c r="C19" s="9">
        <f>'Swindon Town'!$R$2</f>
        <v/>
      </c>
      <c r="D19" s="9">
        <f>'Swindon Town'!$R$3</f>
        <v/>
      </c>
      <c r="E19" s="9">
        <f>'Swindon Town'!$R$4</f>
        <v/>
      </c>
      <c r="F19" s="9">
        <f>'Swindon Town'!$R$5</f>
        <v/>
      </c>
      <c r="G19" s="9">
        <f>'Swindon Town'!$R$6</f>
        <v/>
      </c>
      <c r="H19" s="9">
        <f>'Swindon Town'!$R$7</f>
        <v/>
      </c>
      <c r="I19" s="9">
        <f>'Swindon Town'!$R$8</f>
        <v/>
      </c>
      <c r="J19" s="9">
        <f>'Swindon Town'!$R$9</f>
        <v/>
      </c>
      <c r="K19" s="9">
        <f>'Swindon Town'!$R$10</f>
        <v/>
      </c>
      <c r="L19" s="9">
        <f>'Swindon Town'!$R$11</f>
        <v/>
      </c>
    </row>
    <row r="20">
      <c r="A20" s="6" t="inlineStr">
        <is>
          <t>Cheltenham Town</t>
        </is>
      </c>
      <c r="B20" s="14">
        <f>'Cheltenham Town'!$E$25</f>
        <v/>
      </c>
      <c r="C20" s="9">
        <f>'Cheltenham Town'!$R$2</f>
        <v/>
      </c>
      <c r="D20" s="9">
        <f>'Cheltenham Town'!$R$3</f>
        <v/>
      </c>
      <c r="E20" s="9">
        <f>'Cheltenham Town'!$R$4</f>
        <v/>
      </c>
      <c r="F20" s="9">
        <f>'Cheltenham Town'!$R$5</f>
        <v/>
      </c>
      <c r="G20" s="9">
        <f>'Cheltenham Town'!$R$6</f>
        <v/>
      </c>
      <c r="H20" s="9">
        <f>'Cheltenham Town'!$R$7</f>
        <v/>
      </c>
      <c r="I20" s="9">
        <f>'Cheltenham Town'!$R$8</f>
        <v/>
      </c>
      <c r="J20" s="9">
        <f>'Cheltenham Town'!$R$9</f>
        <v/>
      </c>
      <c r="K20" s="9">
        <f>'Cheltenham Town'!$R$10</f>
        <v/>
      </c>
      <c r="L20" s="9">
        <f>'Cheltenham Town'!$R$11</f>
        <v/>
      </c>
    </row>
    <row r="21">
      <c r="A21" s="6" t="inlineStr">
        <is>
          <t>Salford City</t>
        </is>
      </c>
      <c r="B21" s="14">
        <f>'Salford City'!$E$25</f>
        <v/>
      </c>
      <c r="C21" s="9">
        <f>'Salford City'!$R$2</f>
        <v/>
      </c>
      <c r="D21" s="9">
        <f>'Salford City'!$R$3</f>
        <v/>
      </c>
      <c r="E21" s="9">
        <f>'Salford City'!$R$4</f>
        <v/>
      </c>
      <c r="F21" s="9">
        <f>'Salford City'!$R$5</f>
        <v/>
      </c>
      <c r="G21" s="9">
        <f>'Salford City'!$R$6</f>
        <v/>
      </c>
      <c r="H21" s="9">
        <f>'Salford City'!$R$7</f>
        <v/>
      </c>
      <c r="I21" s="9">
        <f>'Salford City'!$R$8</f>
        <v/>
      </c>
      <c r="J21" s="9">
        <f>'Salford City'!$R$9</f>
        <v/>
      </c>
      <c r="K21" s="9">
        <f>'Salford City'!$R$10</f>
        <v/>
      </c>
      <c r="L21" s="9">
        <f>'Salford City'!$R$11</f>
        <v/>
      </c>
    </row>
    <row r="22">
      <c r="A22" s="6" t="inlineStr">
        <is>
          <t>Colchester United</t>
        </is>
      </c>
      <c r="B22" s="14">
        <f>'Colchester United'!$E$24</f>
        <v/>
      </c>
      <c r="C22" s="9">
        <f>'Colchester United'!$R$2</f>
        <v/>
      </c>
      <c r="D22" s="9">
        <f>'Colchester United'!$R$3</f>
        <v/>
      </c>
      <c r="E22" s="9">
        <f>'Colchester United'!$R$4</f>
        <v/>
      </c>
      <c r="F22" s="9">
        <f>'Colchester United'!$R$5</f>
        <v/>
      </c>
      <c r="G22" s="9">
        <f>'Colchester United'!$R$6</f>
        <v/>
      </c>
      <c r="H22" s="9">
        <f>'Colchester United'!$R$7</f>
        <v/>
      </c>
      <c r="I22" s="9">
        <f>'Colchester United'!$R$8</f>
        <v/>
      </c>
      <c r="J22" s="9">
        <f>'Colchester United'!$R$9</f>
        <v/>
      </c>
      <c r="K22" s="9">
        <f>'Colchester United'!$R$10</f>
        <v/>
      </c>
      <c r="L22" s="6" t="n"/>
    </row>
    <row r="23">
      <c r="A23" s="6" t="inlineStr">
        <is>
          <t>Northampton Town</t>
        </is>
      </c>
      <c r="B23" s="14">
        <f>'Northampton Town'!$E$23</f>
        <v/>
      </c>
      <c r="C23" s="9">
        <f>'Northampton Town'!$R$2</f>
        <v/>
      </c>
      <c r="D23" s="9">
        <f>'Northampton Town'!$R$3</f>
        <v/>
      </c>
      <c r="E23" s="9">
        <f>'Northampton Town'!$R$4</f>
        <v/>
      </c>
      <c r="F23" s="9">
        <f>'Northampton Town'!$R$5</f>
        <v/>
      </c>
      <c r="G23" s="9">
        <f>'Northampton Town'!$R$6</f>
        <v/>
      </c>
      <c r="H23" s="9">
        <f>'Northampton Town'!$R$7</f>
        <v/>
      </c>
      <c r="I23" s="9">
        <f>'Northampton Town'!$R$8</f>
        <v/>
      </c>
      <c r="J23" s="9">
        <f>'Northampton Town'!$R$9</f>
        <v/>
      </c>
      <c r="K23" s="6" t="n"/>
      <c r="L23" s="6" t="n"/>
    </row>
    <row r="24">
      <c r="A24" s="6" t="inlineStr">
        <is>
          <t>Fleetwood Town</t>
        </is>
      </c>
      <c r="B24" s="14">
        <f>'Fleetwood Town'!$E$25</f>
        <v/>
      </c>
      <c r="C24" s="9">
        <f>'Fleetwood Town'!$R$2</f>
        <v/>
      </c>
      <c r="D24" s="9">
        <f>'Fleetwood Town'!$R$3</f>
        <v/>
      </c>
      <c r="E24" s="9">
        <f>'Fleetwood Town'!$R$4</f>
        <v/>
      </c>
      <c r="F24" s="9">
        <f>'Fleetwood Town'!$R$5</f>
        <v/>
      </c>
      <c r="G24" s="9">
        <f>'Fleetwood Town'!$R$6</f>
        <v/>
      </c>
      <c r="H24" s="9">
        <f>'Fleetwood Town'!$R$7</f>
        <v/>
      </c>
      <c r="I24" s="9">
        <f>'Fleetwood Town'!$R$8</f>
        <v/>
      </c>
      <c r="J24" s="9">
        <f>'Fleetwood Town'!$R$9</f>
        <v/>
      </c>
      <c r="K24" s="9">
        <f>'Fleetwood Town'!$R$10</f>
        <v/>
      </c>
      <c r="L24" s="9">
        <f>'Fleetwood Town'!$R$11</f>
        <v/>
      </c>
    </row>
    <row r="25">
      <c r="A25" s="6" t="inlineStr">
        <is>
          <t>Rochdale</t>
        </is>
      </c>
      <c r="B25" s="14">
        <f>'Rochdale'!$E$25</f>
        <v/>
      </c>
      <c r="C25" s="9">
        <f>'Rochdale'!$R$2</f>
        <v/>
      </c>
      <c r="D25" s="9">
        <f>'Rochdale'!$R$3</f>
        <v/>
      </c>
      <c r="E25" s="9">
        <f>'Rochdale'!$R$4</f>
        <v/>
      </c>
      <c r="F25" s="9">
        <f>'Rochdale'!$R$5</f>
        <v/>
      </c>
      <c r="G25" s="9">
        <f>'Rochdale'!$R$6</f>
        <v/>
      </c>
      <c r="H25" s="9">
        <f>'Rochdale'!$R$7</f>
        <v/>
      </c>
      <c r="I25" s="9">
        <f>'Rochdale'!$R$8</f>
        <v/>
      </c>
      <c r="J25" s="9">
        <f>'Rochdale'!$R$9</f>
        <v/>
      </c>
      <c r="K25" s="9">
        <f>'Rochdale'!$R$10</f>
        <v/>
      </c>
      <c r="L25" s="9">
        <f>'Rochdale'!$R$11</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Accrington Stanley</t>
        </is>
      </c>
      <c r="B2" s="14" t="n">
        <v>0.91</v>
      </c>
      <c r="C2" s="9" t="n">
        <v>1.9</v>
      </c>
      <c r="D2" s="9" t="n">
        <v>0.9399999999999999</v>
      </c>
      <c r="E2" s="9" t="n">
        <v>0.09</v>
      </c>
      <c r="F2" s="9" t="n">
        <v>-0.36</v>
      </c>
      <c r="G2" s="9" t="n">
        <v>2</v>
      </c>
    </row>
    <row r="3">
      <c r="A3" s="6" t="inlineStr">
        <is>
          <t>Port Vale</t>
        </is>
      </c>
      <c r="B3" s="14" t="n">
        <v>0.88</v>
      </c>
      <c r="C3" s="9" t="n">
        <v>0.31</v>
      </c>
      <c r="D3" s="9" t="n">
        <v>-0.43</v>
      </c>
      <c r="E3" s="9" t="n">
        <v>0.93</v>
      </c>
      <c r="F3" s="9" t="n">
        <v>2.71</v>
      </c>
      <c r="G3" s="6" t="n"/>
    </row>
    <row r="4">
      <c r="A4" s="6" t="inlineStr">
        <is>
          <t>Newport County</t>
        </is>
      </c>
      <c r="B4" s="14" t="n">
        <v>0.83</v>
      </c>
      <c r="C4" s="9" t="n">
        <v>1.18</v>
      </c>
      <c r="D4" s="9" t="n">
        <v>0.08</v>
      </c>
      <c r="E4" s="9" t="n">
        <v>1.97</v>
      </c>
      <c r="F4" s="9" t="n">
        <v>-0.09</v>
      </c>
      <c r="G4" s="9" t="n">
        <v>1.03</v>
      </c>
    </row>
    <row r="5">
      <c r="A5" s="6" t="inlineStr">
        <is>
          <t>Exeter</t>
        </is>
      </c>
      <c r="B5" s="14" t="n">
        <v>0.8100000000000001</v>
      </c>
      <c r="C5" s="9" t="n">
        <v>1.11</v>
      </c>
      <c r="D5" s="9" t="n">
        <v>0.61</v>
      </c>
      <c r="E5" s="9" t="n">
        <v>1.06</v>
      </c>
      <c r="F5" s="9" t="n">
        <v>-0.44</v>
      </c>
      <c r="G5" s="9" t="n">
        <v>1.7</v>
      </c>
    </row>
    <row r="6">
      <c r="A6" s="6" t="inlineStr">
        <is>
          <t>Chesterfield</t>
        </is>
      </c>
      <c r="B6" s="14" t="n">
        <v>0.79</v>
      </c>
      <c r="C6" s="9" t="n">
        <v>0.38</v>
      </c>
      <c r="D6" s="9" t="n">
        <v>0.54</v>
      </c>
      <c r="E6" s="9" t="n">
        <v>-0.34</v>
      </c>
      <c r="F6" s="9" t="n">
        <v>1.62</v>
      </c>
      <c r="G6" s="9" t="n">
        <v>1.73</v>
      </c>
    </row>
    <row r="7">
      <c r="A7" s="6" t="inlineStr">
        <is>
          <t>Grimsby Town</t>
        </is>
      </c>
      <c r="B7" s="14" t="n">
        <v>0.77</v>
      </c>
      <c r="C7" s="9" t="n">
        <v>-0</v>
      </c>
      <c r="D7" s="9" t="n">
        <v>0.68</v>
      </c>
      <c r="E7" s="9" t="n">
        <v>1.15</v>
      </c>
      <c r="F7" s="9" t="n">
        <v>2.44</v>
      </c>
      <c r="G7" s="9" t="n">
        <v>-0.43</v>
      </c>
    </row>
    <row r="8">
      <c r="A8" s="6" t="inlineStr">
        <is>
          <t>Bristol Rvs</t>
        </is>
      </c>
      <c r="B8" s="14" t="n">
        <v>0.73</v>
      </c>
      <c r="C8" s="9" t="n">
        <v>2.44</v>
      </c>
      <c r="D8" s="9" t="n">
        <v>1.48</v>
      </c>
      <c r="E8" s="9" t="n">
        <v>-0.57</v>
      </c>
      <c r="F8" s="9" t="n">
        <v>0.58</v>
      </c>
      <c r="G8" s="9" t="n">
        <v>-0.29</v>
      </c>
    </row>
    <row r="9">
      <c r="A9" s="6" t="inlineStr">
        <is>
          <t>York</t>
        </is>
      </c>
      <c r="B9" s="14" t="n">
        <v>0.34</v>
      </c>
      <c r="C9" s="9" t="n">
        <v>-0.22</v>
      </c>
      <c r="D9" s="9" t="n">
        <v>-0.5600000000000001</v>
      </c>
      <c r="E9" s="9" t="n">
        <v>1.15</v>
      </c>
      <c r="F9" s="9" t="n">
        <v>0.86</v>
      </c>
      <c r="G9" s="9" t="n">
        <v>0.45</v>
      </c>
    </row>
    <row r="10">
      <c r="A10" s="6" t="inlineStr">
        <is>
          <t>Colchester United</t>
        </is>
      </c>
      <c r="B10" s="14" t="n">
        <v>0.29</v>
      </c>
      <c r="C10" s="9" t="n">
        <v>2.02</v>
      </c>
      <c r="D10" s="9" t="n">
        <v>0.1</v>
      </c>
      <c r="E10" s="9" t="n">
        <v>0.28</v>
      </c>
      <c r="F10" s="9" t="n">
        <v>-1.23</v>
      </c>
      <c r="G10" s="6" t="n"/>
    </row>
    <row r="11">
      <c r="A11" s="6" t="inlineStr">
        <is>
          <t>Shrewsbury Town</t>
        </is>
      </c>
      <c r="B11" s="14" t="n">
        <v>0.26</v>
      </c>
      <c r="C11" s="9" t="n">
        <v>1.29</v>
      </c>
      <c r="D11" s="9" t="n">
        <v>0.25</v>
      </c>
      <c r="E11" s="9" t="n">
        <v>0.34</v>
      </c>
      <c r="F11" s="9" t="n">
        <v>-0.14</v>
      </c>
      <c r="G11" s="9" t="n">
        <v>-0.46</v>
      </c>
    </row>
    <row r="12">
      <c r="A12" s="6" t="inlineStr">
        <is>
          <t>Barnet</t>
        </is>
      </c>
      <c r="B12" s="14" t="n">
        <v>0.2</v>
      </c>
      <c r="C12" s="9" t="n">
        <v>0.46</v>
      </c>
      <c r="D12" s="9" t="n">
        <v>-0.57</v>
      </c>
      <c r="E12" s="9" t="n">
        <v>0.74</v>
      </c>
      <c r="F12" s="9" t="n">
        <v>0.16</v>
      </c>
      <c r="G12" s="6" t="n"/>
    </row>
    <row r="13">
      <c r="A13" s="6" t="inlineStr">
        <is>
          <t>Rotherham United</t>
        </is>
      </c>
      <c r="B13" s="14" t="n">
        <v>0.14</v>
      </c>
      <c r="C13" s="9" t="n">
        <v>-1.39</v>
      </c>
      <c r="D13" s="9" t="n">
        <v>2.07</v>
      </c>
      <c r="E13" s="9" t="n">
        <v>1.16</v>
      </c>
      <c r="F13" s="9" t="n">
        <v>-0.06</v>
      </c>
      <c r="G13" s="9" t="n">
        <v>-1.1</v>
      </c>
    </row>
    <row r="14">
      <c r="A14" s="6" t="inlineStr">
        <is>
          <t>Swindon Town</t>
        </is>
      </c>
      <c r="B14" s="14" t="n">
        <v>0.13</v>
      </c>
      <c r="C14" s="9" t="n">
        <v>-0.76</v>
      </c>
      <c r="D14" s="9" t="n">
        <v>1.82</v>
      </c>
      <c r="E14" s="9" t="n">
        <v>0.51</v>
      </c>
      <c r="F14" s="9" t="n">
        <v>0.04</v>
      </c>
      <c r="G14" s="9" t="n">
        <v>-0.9399999999999999</v>
      </c>
    </row>
    <row r="15">
      <c r="A15" s="6" t="inlineStr">
        <is>
          <t>Walsall</t>
        </is>
      </c>
      <c r="B15" s="14" t="n">
        <v>0.12</v>
      </c>
      <c r="C15" s="9" t="n">
        <v>0.41</v>
      </c>
      <c r="D15" s="9" t="n">
        <v>-0.68</v>
      </c>
      <c r="E15" s="9" t="n">
        <v>0.53</v>
      </c>
      <c r="F15" s="9" t="n">
        <v>0.22</v>
      </c>
      <c r="G15" s="6" t="n"/>
    </row>
    <row r="16">
      <c r="A16" s="6" t="inlineStr">
        <is>
          <t>Tranmere Rovers</t>
        </is>
      </c>
      <c r="B16" s="14" t="n">
        <v>-0.03</v>
      </c>
      <c r="C16" s="9" t="n">
        <v>-0.42</v>
      </c>
      <c r="D16" s="9" t="n">
        <v>-1.58</v>
      </c>
      <c r="E16" s="9" t="n">
        <v>0.28</v>
      </c>
      <c r="F16" s="9" t="n">
        <v>1.39</v>
      </c>
      <c r="G16" s="9" t="n">
        <v>0.18</v>
      </c>
    </row>
    <row r="17">
      <c r="A17" s="6" t="inlineStr">
        <is>
          <t>Gillingham</t>
        </is>
      </c>
      <c r="B17" s="14" t="n">
        <v>-0.05</v>
      </c>
      <c r="C17" s="9" t="n">
        <v>-1.94</v>
      </c>
      <c r="D17" s="9" t="n">
        <v>0.48</v>
      </c>
      <c r="E17" s="9" t="n">
        <v>0.22</v>
      </c>
      <c r="F17" s="9" t="n">
        <v>2.38</v>
      </c>
      <c r="G17" s="9" t="n">
        <v>-1.4</v>
      </c>
    </row>
    <row r="18">
      <c r="A18" s="6" t="inlineStr">
        <is>
          <t>Oldham Athletic</t>
        </is>
      </c>
      <c r="B18" s="14" t="n">
        <v>-0.07000000000000001</v>
      </c>
      <c r="C18" s="9" t="n">
        <v>0.88</v>
      </c>
      <c r="D18" s="9" t="n">
        <v>2.16</v>
      </c>
      <c r="E18" s="9" t="n">
        <v>-1.49</v>
      </c>
      <c r="F18" s="9" t="n">
        <v>-0.64</v>
      </c>
      <c r="G18" s="9" t="n">
        <v>-1.27</v>
      </c>
    </row>
    <row r="19">
      <c r="A19" s="6" t="inlineStr">
        <is>
          <t>Fleetwood Town</t>
        </is>
      </c>
      <c r="B19" s="14" t="n">
        <v>-0.36</v>
      </c>
      <c r="C19" s="9" t="n">
        <v>-0.65</v>
      </c>
      <c r="D19" s="9" t="n">
        <v>-0.59</v>
      </c>
      <c r="E19" s="9" t="n">
        <v>-0.48</v>
      </c>
      <c r="F19" s="9" t="n">
        <v>-0.49</v>
      </c>
      <c r="G19" s="9" t="n">
        <v>0.43</v>
      </c>
    </row>
    <row r="20">
      <c r="A20" s="6" t="inlineStr">
        <is>
          <t>Crawley Town</t>
        </is>
      </c>
      <c r="B20" s="14" t="n">
        <v>-0.41</v>
      </c>
      <c r="C20" s="9" t="n">
        <v>-1.32</v>
      </c>
      <c r="D20" s="9" t="n">
        <v>-0.88</v>
      </c>
      <c r="E20" s="9" t="n">
        <v>-0.57</v>
      </c>
      <c r="F20" s="9" t="n">
        <v>1.11</v>
      </c>
      <c r="G20" s="6" t="n"/>
    </row>
    <row r="21">
      <c r="A21" s="6" t="inlineStr">
        <is>
          <t>Salford City</t>
        </is>
      </c>
      <c r="B21" s="14" t="n">
        <v>-0.5600000000000001</v>
      </c>
      <c r="C21" s="9" t="n">
        <v>-2.23</v>
      </c>
      <c r="D21" s="9" t="n">
        <v>0.73</v>
      </c>
      <c r="E21" s="9" t="n">
        <v>-0.98</v>
      </c>
      <c r="F21" s="9" t="n">
        <v>-0.9</v>
      </c>
      <c r="G21" s="9" t="n">
        <v>0.57</v>
      </c>
    </row>
    <row r="22">
      <c r="A22" s="6" t="inlineStr">
        <is>
          <t>Crewe Alexandra</t>
        </is>
      </c>
      <c r="B22" s="14" t="n">
        <v>-0.63</v>
      </c>
      <c r="C22" s="9" t="n">
        <v>-0.62</v>
      </c>
      <c r="D22" s="9" t="n">
        <v>-0.58</v>
      </c>
      <c r="E22" s="9" t="n">
        <v>-1.22</v>
      </c>
      <c r="F22" s="9" t="n">
        <v>-1.82</v>
      </c>
      <c r="G22" s="9" t="n">
        <v>1.1</v>
      </c>
    </row>
    <row r="23">
      <c r="A23" s="6" t="inlineStr">
        <is>
          <t>Cheltenham Town</t>
        </is>
      </c>
      <c r="B23" s="14" t="n">
        <v>-0.72</v>
      </c>
      <c r="C23" s="9" t="n">
        <v>-1.54</v>
      </c>
      <c r="D23" s="9" t="n">
        <v>-0.63</v>
      </c>
      <c r="E23" s="9" t="n">
        <v>0.21</v>
      </c>
      <c r="F23" s="9" t="n">
        <v>-1.41</v>
      </c>
      <c r="G23" s="9" t="n">
        <v>-0.22</v>
      </c>
    </row>
    <row r="24">
      <c r="A24" s="6" t="inlineStr">
        <is>
          <t>Northampton Town</t>
        </is>
      </c>
      <c r="B24" s="14" t="n">
        <v>-0.92</v>
      </c>
      <c r="C24" s="9" t="n">
        <v>0.19</v>
      </c>
      <c r="D24" s="9" t="n">
        <v>-2.84</v>
      </c>
      <c r="E24" s="9" t="n">
        <v>-0.62</v>
      </c>
      <c r="F24" s="9" t="n">
        <v>-0.4</v>
      </c>
      <c r="G24" s="6" t="n"/>
    </row>
    <row r="25">
      <c r="A25" s="6" t="inlineStr">
        <is>
          <t>Rochdale</t>
        </is>
      </c>
      <c r="B25" s="14" t="n">
        <v>-1.18</v>
      </c>
      <c r="C25" s="9" t="n">
        <v>-2.2</v>
      </c>
      <c r="D25" s="9" t="n">
        <v>-0.97</v>
      </c>
      <c r="E25" s="9" t="n">
        <v>-1.53</v>
      </c>
      <c r="F25" s="9" t="n">
        <v>-1.53</v>
      </c>
      <c r="G25" s="9" t="n">
        <v>0.35</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Shrewsbury Town</t>
        </is>
      </c>
      <c r="B2" s="14" t="n">
        <v>0.82</v>
      </c>
      <c r="C2" s="9" t="n">
        <v>0.42</v>
      </c>
      <c r="D2" s="9" t="n">
        <v>0.97</v>
      </c>
      <c r="E2" s="9" t="n">
        <v>0.48</v>
      </c>
      <c r="F2" s="9" t="n">
        <v>1.82</v>
      </c>
      <c r="G2" s="9" t="n">
        <v>0.43</v>
      </c>
    </row>
    <row r="3">
      <c r="A3" s="6" t="inlineStr">
        <is>
          <t>Crawley Town</t>
        </is>
      </c>
      <c r="B3" s="14" t="n">
        <v>0.63</v>
      </c>
      <c r="C3" s="9" t="n">
        <v>2.2</v>
      </c>
      <c r="D3" s="9" t="n">
        <v>2.84</v>
      </c>
      <c r="E3" s="9" t="n">
        <v>-0.09</v>
      </c>
      <c r="F3" s="9" t="n">
        <v>-2.44</v>
      </c>
      <c r="G3" s="6" t="n"/>
    </row>
    <row r="4">
      <c r="A4" s="6" t="inlineStr">
        <is>
          <t>Crewe Alexandra</t>
        </is>
      </c>
      <c r="B4" s="14" t="n">
        <v>0.49</v>
      </c>
      <c r="C4" s="9" t="n">
        <v>1.32</v>
      </c>
      <c r="D4" s="9" t="n">
        <v>0.43</v>
      </c>
      <c r="E4" s="9" t="n">
        <v>-0.28</v>
      </c>
      <c r="F4" s="9" t="n">
        <v>0.06</v>
      </c>
      <c r="G4" s="9" t="n">
        <v>0.9399999999999999</v>
      </c>
    </row>
    <row r="5">
      <c r="A5" s="6" t="inlineStr">
        <is>
          <t>Rotherham United</t>
        </is>
      </c>
      <c r="B5" s="14" t="n">
        <v>0.48</v>
      </c>
      <c r="C5" s="9" t="n">
        <v>1.54</v>
      </c>
      <c r="D5" s="9" t="n">
        <v>1.58</v>
      </c>
      <c r="E5" s="9" t="n">
        <v>0.57</v>
      </c>
      <c r="F5" s="9" t="n">
        <v>0.4</v>
      </c>
      <c r="G5" s="9" t="n">
        <v>-1.7</v>
      </c>
    </row>
    <row r="6">
      <c r="A6" s="6" t="inlineStr">
        <is>
          <t>York</t>
        </is>
      </c>
      <c r="B6" s="14" t="n">
        <v>0.4</v>
      </c>
      <c r="C6" s="9" t="n">
        <v>1.39</v>
      </c>
      <c r="D6" s="9" t="n">
        <v>0.63</v>
      </c>
      <c r="E6" s="9" t="n">
        <v>1.22</v>
      </c>
      <c r="F6" s="9" t="n">
        <v>-1.62</v>
      </c>
      <c r="G6" s="6" t="n"/>
    </row>
    <row r="7">
      <c r="A7" s="6" t="inlineStr">
        <is>
          <t>Chesterfield</t>
        </is>
      </c>
      <c r="B7" s="14" t="n">
        <v>0.39</v>
      </c>
      <c r="C7" s="9" t="n">
        <v>2.23</v>
      </c>
      <c r="D7" s="9" t="n">
        <v>-2.07</v>
      </c>
      <c r="E7" s="9" t="n">
        <v>1.49</v>
      </c>
      <c r="F7" s="9" t="n">
        <v>1.41</v>
      </c>
      <c r="G7" s="9" t="n">
        <v>-1.11</v>
      </c>
    </row>
    <row r="8">
      <c r="A8" s="6" t="inlineStr">
        <is>
          <t>Gillingham</t>
        </is>
      </c>
      <c r="B8" s="14" t="n">
        <v>0.38</v>
      </c>
      <c r="C8" s="9" t="n">
        <v>0.65</v>
      </c>
      <c r="D8" s="9" t="n">
        <v>-0.54</v>
      </c>
      <c r="E8" s="9" t="n">
        <v>1.53</v>
      </c>
      <c r="F8" s="9" t="n">
        <v>-0.86</v>
      </c>
      <c r="G8" s="9" t="n">
        <v>1.1</v>
      </c>
    </row>
    <row r="9">
      <c r="A9" s="6" t="inlineStr">
        <is>
          <t>Cheltenham Town</t>
        </is>
      </c>
      <c r="B9" s="14" t="n">
        <v>0.23</v>
      </c>
      <c r="C9" s="9" t="n">
        <v>0.76</v>
      </c>
      <c r="D9" s="9" t="n">
        <v>0.57</v>
      </c>
      <c r="E9" s="9" t="n">
        <v>0.57</v>
      </c>
      <c r="F9" s="9" t="n">
        <v>1.23</v>
      </c>
      <c r="G9" s="9" t="n">
        <v>-2</v>
      </c>
    </row>
    <row r="10">
      <c r="A10" s="6" t="inlineStr">
        <is>
          <t>Accrington Stanley</t>
        </is>
      </c>
      <c r="B10" s="14" t="n">
        <v>0.01</v>
      </c>
      <c r="C10" s="9" t="n">
        <v>-1.11</v>
      </c>
      <c r="D10" s="9" t="n">
        <v>0.68</v>
      </c>
      <c r="E10" s="9" t="n">
        <v>-0.74</v>
      </c>
      <c r="F10" s="9" t="n">
        <v>-0.04</v>
      </c>
      <c r="G10" s="9" t="n">
        <v>1.27</v>
      </c>
    </row>
    <row r="11">
      <c r="A11" s="6" t="inlineStr">
        <is>
          <t>Oldham Athletic</t>
        </is>
      </c>
      <c r="B11" s="14" t="n">
        <v>-0.05</v>
      </c>
      <c r="C11" s="9" t="n">
        <v>-2.02</v>
      </c>
      <c r="D11" s="9" t="n">
        <v>0.59</v>
      </c>
      <c r="E11" s="9" t="n">
        <v>-0.28</v>
      </c>
      <c r="F11" s="9" t="n">
        <v>1.53</v>
      </c>
      <c r="G11" s="6" t="n"/>
    </row>
    <row r="12">
      <c r="A12" s="6" t="inlineStr">
        <is>
          <t>Walsall</t>
        </is>
      </c>
      <c r="B12" s="14" t="n">
        <v>-0.07000000000000001</v>
      </c>
      <c r="C12" s="9" t="n">
        <v>1.94</v>
      </c>
      <c r="D12" s="9" t="n">
        <v>0.58</v>
      </c>
      <c r="E12" s="9" t="n">
        <v>-1.06</v>
      </c>
      <c r="F12" s="9" t="n">
        <v>-1.39</v>
      </c>
      <c r="G12" s="9" t="n">
        <v>-0.43</v>
      </c>
    </row>
    <row r="13">
      <c r="A13" s="6" t="inlineStr">
        <is>
          <t>Exeter</t>
        </is>
      </c>
      <c r="B13" s="14" t="n">
        <v>-0.1</v>
      </c>
      <c r="C13" s="9" t="n">
        <v>0</v>
      </c>
      <c r="D13" s="9" t="n">
        <v>0.5600000000000001</v>
      </c>
      <c r="E13" s="9" t="n">
        <v>-0.93</v>
      </c>
      <c r="F13" s="9" t="n">
        <v>-0.58</v>
      </c>
      <c r="G13" s="9" t="n">
        <v>0.46</v>
      </c>
    </row>
    <row r="14">
      <c r="A14" s="6" t="inlineStr">
        <is>
          <t>Newport County</t>
        </is>
      </c>
      <c r="B14" s="14" t="n">
        <v>-0.16</v>
      </c>
      <c r="C14" s="9" t="n">
        <v>-2.44</v>
      </c>
      <c r="D14" s="9" t="n">
        <v>-0.73</v>
      </c>
      <c r="E14" s="9" t="n">
        <v>0.62</v>
      </c>
      <c r="F14" s="9" t="n">
        <v>0.36</v>
      </c>
      <c r="G14" s="9" t="n">
        <v>1.4</v>
      </c>
    </row>
    <row r="15">
      <c r="A15" s="6" t="inlineStr">
        <is>
          <t>Northampton Town</t>
        </is>
      </c>
      <c r="B15" s="14" t="n">
        <v>-0.16</v>
      </c>
      <c r="C15" s="9" t="n">
        <v>0.62</v>
      </c>
      <c r="D15" s="9" t="n">
        <v>-0.48</v>
      </c>
      <c r="E15" s="9" t="n">
        <v>-0.34</v>
      </c>
      <c r="F15" s="9" t="n">
        <v>-0.45</v>
      </c>
      <c r="G15" s="6" t="n"/>
    </row>
    <row r="16">
      <c r="A16" s="6" t="inlineStr">
        <is>
          <t>Salford City</t>
        </is>
      </c>
      <c r="B16" s="14" t="n">
        <v>-0.2</v>
      </c>
      <c r="C16" s="9" t="n">
        <v>-0.46</v>
      </c>
      <c r="D16" s="9" t="n">
        <v>-0.25</v>
      </c>
      <c r="E16" s="9" t="n">
        <v>-1.16</v>
      </c>
      <c r="F16" s="9" t="n">
        <v>0.64</v>
      </c>
      <c r="G16" s="9" t="n">
        <v>0.22</v>
      </c>
    </row>
    <row r="17">
      <c r="A17" s="6" t="inlineStr">
        <is>
          <t>Rochdale</t>
        </is>
      </c>
      <c r="B17" s="14" t="n">
        <v>-0.3</v>
      </c>
      <c r="C17" s="9" t="n">
        <v>-1.18</v>
      </c>
      <c r="D17" s="9" t="n">
        <v>-0.1</v>
      </c>
      <c r="E17" s="9" t="n">
        <v>-0.53</v>
      </c>
      <c r="F17" s="9" t="n">
        <v>0.49</v>
      </c>
      <c r="G17" s="9" t="n">
        <v>-0.18</v>
      </c>
    </row>
    <row r="18">
      <c r="A18" s="6" t="inlineStr">
        <is>
          <t>Barnet</t>
        </is>
      </c>
      <c r="B18" s="14" t="n">
        <v>-0.32</v>
      </c>
      <c r="C18" s="9" t="n">
        <v>-1.29</v>
      </c>
      <c r="D18" s="9" t="n">
        <v>-0.61</v>
      </c>
      <c r="E18" s="9" t="n">
        <v>0.34</v>
      </c>
      <c r="F18" s="9" t="n">
        <v>0.29</v>
      </c>
      <c r="G18" s="6" t="n"/>
    </row>
    <row r="19">
      <c r="A19" s="6" t="inlineStr">
        <is>
          <t>Tranmere Rovers</t>
        </is>
      </c>
      <c r="B19" s="14" t="n">
        <v>-0.38</v>
      </c>
      <c r="C19" s="9" t="n">
        <v>-0.31</v>
      </c>
      <c r="D19" s="9" t="n">
        <v>-0.08</v>
      </c>
      <c r="E19" s="9" t="n">
        <v>-0.22</v>
      </c>
      <c r="F19" s="9" t="n">
        <v>0.44</v>
      </c>
      <c r="G19" s="9" t="n">
        <v>-1.73</v>
      </c>
    </row>
    <row r="20">
      <c r="A20" s="6" t="inlineStr">
        <is>
          <t>Port Vale</t>
        </is>
      </c>
      <c r="B20" s="14" t="n">
        <v>-0.49</v>
      </c>
      <c r="C20" s="9" t="n">
        <v>-0.88</v>
      </c>
      <c r="D20" s="9" t="n">
        <v>-1.82</v>
      </c>
      <c r="E20" s="9" t="n">
        <v>0.98</v>
      </c>
      <c r="F20" s="9" t="n">
        <v>-0.22</v>
      </c>
      <c r="G20" s="6" t="n"/>
    </row>
    <row r="21">
      <c r="A21" s="6" t="inlineStr">
        <is>
          <t>Swindon Town</t>
        </is>
      </c>
      <c r="B21" s="14" t="n">
        <v>-0.59</v>
      </c>
      <c r="C21" s="9" t="n">
        <v>-0.19</v>
      </c>
      <c r="D21" s="9" t="n">
        <v>-2.16</v>
      </c>
      <c r="E21" s="9" t="n">
        <v>-1.15</v>
      </c>
      <c r="F21" s="9" t="n">
        <v>0.9</v>
      </c>
      <c r="G21" s="9" t="n">
        <v>-0.35</v>
      </c>
    </row>
    <row r="22">
      <c r="A22" s="6" t="inlineStr">
        <is>
          <t>Bristol Rvs</t>
        </is>
      </c>
      <c r="B22" s="14" t="n">
        <v>-0.71</v>
      </c>
      <c r="C22" s="9" t="n">
        <v>0.22</v>
      </c>
      <c r="D22" s="9" t="n">
        <v>0.88</v>
      </c>
      <c r="E22" s="9" t="n">
        <v>-1.15</v>
      </c>
      <c r="F22" s="9" t="n">
        <v>-2.38</v>
      </c>
      <c r="G22" s="9" t="n">
        <v>-1.1</v>
      </c>
    </row>
    <row r="23">
      <c r="A23" s="6" t="inlineStr">
        <is>
          <t>Fleetwood Town</t>
        </is>
      </c>
      <c r="B23" s="14" t="n">
        <v>-0.75</v>
      </c>
      <c r="C23" s="9" t="n">
        <v>-0.38</v>
      </c>
      <c r="D23" s="9" t="n">
        <v>-0.68</v>
      </c>
      <c r="E23" s="9" t="n">
        <v>-1.97</v>
      </c>
      <c r="F23" s="9" t="n">
        <v>-0.16</v>
      </c>
      <c r="G23" s="9" t="n">
        <v>-0.57</v>
      </c>
    </row>
    <row r="24">
      <c r="A24" s="6" t="inlineStr">
        <is>
          <t>Grimsby Town</t>
        </is>
      </c>
      <c r="B24" s="14" t="n">
        <v>-0.84</v>
      </c>
      <c r="C24" s="9" t="n">
        <v>-0.41</v>
      </c>
      <c r="D24" s="9" t="n">
        <v>-0.9399999999999999</v>
      </c>
      <c r="E24" s="9" t="n">
        <v>-0.21</v>
      </c>
      <c r="F24" s="9" t="n">
        <v>0.09</v>
      </c>
      <c r="G24" s="9" t="n">
        <v>-2.71</v>
      </c>
    </row>
    <row r="25">
      <c r="A25" s="6" t="inlineStr">
        <is>
          <t>Colchester United</t>
        </is>
      </c>
      <c r="B25" s="14" t="n">
        <v>-0.96</v>
      </c>
      <c r="C25" s="9" t="n">
        <v>-1.9</v>
      </c>
      <c r="D25" s="9" t="n">
        <v>-1.48</v>
      </c>
      <c r="E25" s="9" t="n">
        <v>-0.51</v>
      </c>
      <c r="F25" s="9" t="n">
        <v>0.14</v>
      </c>
      <c r="G25" s="9" t="n">
        <v>-1.03</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M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7" customWidth="1" min="13" max="13"/>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c r="M1" s="4" t="inlineStr">
        <is>
          <t>Median</t>
        </is>
      </c>
    </row>
    <row r="2">
      <c r="A2" s="6" t="inlineStr">
        <is>
          <t>Barnet</t>
        </is>
      </c>
      <c r="B2" s="14">
        <f>'Barnet'!$E$25</f>
        <v/>
      </c>
      <c r="C2" s="9">
        <f>'Barnet'!$S$2</f>
        <v/>
      </c>
      <c r="D2" s="9">
        <f>'Barnet'!$S$3</f>
        <v/>
      </c>
      <c r="E2" s="9">
        <f>'Barnet'!$S$4</f>
        <v/>
      </c>
      <c r="F2" s="9">
        <f>'Barnet'!$S$5</f>
        <v/>
      </c>
      <c r="G2" s="9">
        <f>'Barnet'!$S$6</f>
        <v/>
      </c>
      <c r="H2" s="9">
        <f>'Barnet'!$S$7</f>
        <v/>
      </c>
      <c r="I2" s="9">
        <f>'Barnet'!$S$8</f>
        <v/>
      </c>
      <c r="J2" s="9">
        <f>'Barnet'!$S$9</f>
        <v/>
      </c>
      <c r="K2" s="6" t="n"/>
      <c r="L2" s="6" t="n"/>
      <c r="M2" s="14">
        <f>'Barnet'!$E$26</f>
        <v/>
      </c>
    </row>
    <row r="3">
      <c r="A3" s="6" t="inlineStr">
        <is>
          <t>Chesterfield</t>
        </is>
      </c>
      <c r="B3" s="14">
        <f>'Chesterfield'!$E$27</f>
        <v/>
      </c>
      <c r="C3" s="9">
        <f>'Chesterfield'!$S$2</f>
        <v/>
      </c>
      <c r="D3" s="9">
        <f>'Chesterfield'!$S$3</f>
        <v/>
      </c>
      <c r="E3" s="9">
        <f>'Chesterfield'!$S$4</f>
        <v/>
      </c>
      <c r="F3" s="9">
        <f>'Chesterfield'!$S$5</f>
        <v/>
      </c>
      <c r="G3" s="9">
        <f>'Chesterfield'!$S$6</f>
        <v/>
      </c>
      <c r="H3" s="9">
        <f>'Chesterfield'!$S$7</f>
        <v/>
      </c>
      <c r="I3" s="9">
        <f>'Chesterfield'!$S$8</f>
        <v/>
      </c>
      <c r="J3" s="9">
        <f>'Chesterfield'!$S$9</f>
        <v/>
      </c>
      <c r="K3" s="9">
        <f>'Chesterfield'!$S$10</f>
        <v/>
      </c>
      <c r="L3" s="9">
        <f>'Chesterfield'!$S$11</f>
        <v/>
      </c>
      <c r="M3" s="14">
        <f>'Chesterfield'!$E$28</f>
        <v/>
      </c>
    </row>
    <row r="4">
      <c r="A4" s="6" t="inlineStr">
        <is>
          <t>Crawley Town</t>
        </is>
      </c>
      <c r="B4" s="14">
        <f>'Crawley Town'!$E$25</f>
        <v/>
      </c>
      <c r="C4" s="9">
        <f>'Crawley Town'!$S$2</f>
        <v/>
      </c>
      <c r="D4" s="9">
        <f>'Crawley Town'!$S$3</f>
        <v/>
      </c>
      <c r="E4" s="9">
        <f>'Crawley Town'!$S$4</f>
        <v/>
      </c>
      <c r="F4" s="9">
        <f>'Crawley Town'!$S$5</f>
        <v/>
      </c>
      <c r="G4" s="9">
        <f>'Crawley Town'!$S$6</f>
        <v/>
      </c>
      <c r="H4" s="9">
        <f>'Crawley Town'!$S$7</f>
        <v/>
      </c>
      <c r="I4" s="9">
        <f>'Crawley Town'!$S$8</f>
        <v/>
      </c>
      <c r="J4" s="9">
        <f>'Crawley Town'!$S$9</f>
        <v/>
      </c>
      <c r="K4" s="6" t="n"/>
      <c r="L4" s="6" t="n"/>
      <c r="M4" s="14">
        <f>'Crawley Town'!$E$26</f>
        <v/>
      </c>
    </row>
    <row r="5">
      <c r="A5" s="6" t="inlineStr">
        <is>
          <t>Grimsby Town</t>
        </is>
      </c>
      <c r="B5" s="14">
        <f>'Grimsby Town'!$E$27</f>
        <v/>
      </c>
      <c r="C5" s="9">
        <f>'Grimsby Town'!$S$2</f>
        <v/>
      </c>
      <c r="D5" s="9">
        <f>'Grimsby Town'!$S$3</f>
        <v/>
      </c>
      <c r="E5" s="9">
        <f>'Grimsby Town'!$S$4</f>
        <v/>
      </c>
      <c r="F5" s="9">
        <f>'Grimsby Town'!$S$5</f>
        <v/>
      </c>
      <c r="G5" s="9">
        <f>'Grimsby Town'!$S$6</f>
        <v/>
      </c>
      <c r="H5" s="9">
        <f>'Grimsby Town'!$S$7</f>
        <v/>
      </c>
      <c r="I5" s="9">
        <f>'Grimsby Town'!$S$8</f>
        <v/>
      </c>
      <c r="J5" s="9">
        <f>'Grimsby Town'!$S$9</f>
        <v/>
      </c>
      <c r="K5" s="9">
        <f>'Grimsby Town'!$S$10</f>
        <v/>
      </c>
      <c r="L5" s="9">
        <f>'Grimsby Town'!$S$11</f>
        <v/>
      </c>
      <c r="M5" s="14">
        <f>'Grimsby Town'!$E$28</f>
        <v/>
      </c>
    </row>
    <row r="6">
      <c r="A6" s="6" t="inlineStr">
        <is>
          <t>Accrington Stanley</t>
        </is>
      </c>
      <c r="B6" s="14">
        <f>'Accrington Stanley'!$E$27</f>
        <v/>
      </c>
      <c r="C6" s="9">
        <f>'Accrington Stanley'!$S$2</f>
        <v/>
      </c>
      <c r="D6" s="9">
        <f>'Accrington Stanley'!$S$3</f>
        <v/>
      </c>
      <c r="E6" s="9">
        <f>'Accrington Stanley'!$S$4</f>
        <v/>
      </c>
      <c r="F6" s="9">
        <f>'Accrington Stanley'!$S$5</f>
        <v/>
      </c>
      <c r="G6" s="9">
        <f>'Accrington Stanley'!$S$6</f>
        <v/>
      </c>
      <c r="H6" s="9">
        <f>'Accrington Stanley'!$S$7</f>
        <v/>
      </c>
      <c r="I6" s="9">
        <f>'Accrington Stanley'!$S$8</f>
        <v/>
      </c>
      <c r="J6" s="9">
        <f>'Accrington Stanley'!$S$9</f>
        <v/>
      </c>
      <c r="K6" s="9">
        <f>'Accrington Stanley'!$S$10</f>
        <v/>
      </c>
      <c r="L6" s="9">
        <f>'Accrington Stanley'!$S$11</f>
        <v/>
      </c>
      <c r="M6" s="14">
        <f>'Accrington Stanley'!$E$28</f>
        <v/>
      </c>
    </row>
    <row r="7">
      <c r="A7" s="6" t="inlineStr">
        <is>
          <t>York</t>
        </is>
      </c>
      <c r="B7" s="14">
        <f>'York'!$E$26</f>
        <v/>
      </c>
      <c r="C7" s="9">
        <f>'York'!$S$2</f>
        <v/>
      </c>
      <c r="D7" s="9">
        <f>'York'!$S$3</f>
        <v/>
      </c>
      <c r="E7" s="9">
        <f>'York'!$S$4</f>
        <v/>
      </c>
      <c r="F7" s="9">
        <f>'York'!$S$5</f>
        <v/>
      </c>
      <c r="G7" s="9">
        <f>'York'!$S$6</f>
        <v/>
      </c>
      <c r="H7" s="9">
        <f>'York'!$S$7</f>
        <v/>
      </c>
      <c r="I7" s="9">
        <f>'York'!$S$8</f>
        <v/>
      </c>
      <c r="J7" s="9">
        <f>'York'!$S$9</f>
        <v/>
      </c>
      <c r="K7" s="9">
        <f>'York'!$S$10</f>
        <v/>
      </c>
      <c r="L7" s="6" t="n"/>
      <c r="M7" s="14">
        <f>'York'!$E$27</f>
        <v/>
      </c>
    </row>
    <row r="8">
      <c r="A8" s="6" t="inlineStr">
        <is>
          <t>Fleetwood Town</t>
        </is>
      </c>
      <c r="B8" s="14">
        <f>'Fleetwood Town'!$E$27</f>
        <v/>
      </c>
      <c r="C8" s="9">
        <f>'Fleetwood Town'!$S$2</f>
        <v/>
      </c>
      <c r="D8" s="9">
        <f>'Fleetwood Town'!$S$3</f>
        <v/>
      </c>
      <c r="E8" s="9">
        <f>'Fleetwood Town'!$S$4</f>
        <v/>
      </c>
      <c r="F8" s="9">
        <f>'Fleetwood Town'!$S$5</f>
        <v/>
      </c>
      <c r="G8" s="9">
        <f>'Fleetwood Town'!$S$6</f>
        <v/>
      </c>
      <c r="H8" s="9">
        <f>'Fleetwood Town'!$S$7</f>
        <v/>
      </c>
      <c r="I8" s="9">
        <f>'Fleetwood Town'!$S$8</f>
        <v/>
      </c>
      <c r="J8" s="9">
        <f>'Fleetwood Town'!$S$9</f>
        <v/>
      </c>
      <c r="K8" s="9">
        <f>'Fleetwood Town'!$S$10</f>
        <v/>
      </c>
      <c r="L8" s="9">
        <f>'Fleetwood Town'!$S$11</f>
        <v/>
      </c>
      <c r="M8" s="14">
        <f>'Fleetwood Town'!$E$28</f>
        <v/>
      </c>
    </row>
    <row r="9">
      <c r="A9" s="6" t="inlineStr">
        <is>
          <t>Bristol Rvs</t>
        </is>
      </c>
      <c r="B9" s="14">
        <f>'Bristol Rvs'!$E$27</f>
        <v/>
      </c>
      <c r="C9" s="9">
        <f>'Bristol Rvs'!$S$2</f>
        <v/>
      </c>
      <c r="D9" s="9">
        <f>'Bristol Rvs'!$S$3</f>
        <v/>
      </c>
      <c r="E9" s="9">
        <f>'Bristol Rvs'!$S$4</f>
        <v/>
      </c>
      <c r="F9" s="9">
        <f>'Bristol Rvs'!$S$5</f>
        <v/>
      </c>
      <c r="G9" s="9">
        <f>'Bristol Rvs'!$S$6</f>
        <v/>
      </c>
      <c r="H9" s="9">
        <f>'Bristol Rvs'!$S$7</f>
        <v/>
      </c>
      <c r="I9" s="9">
        <f>'Bristol Rvs'!$S$8</f>
        <v/>
      </c>
      <c r="J9" s="9">
        <f>'Bristol Rvs'!$S$9</f>
        <v/>
      </c>
      <c r="K9" s="9">
        <f>'Bristol Rvs'!$S$10</f>
        <v/>
      </c>
      <c r="L9" s="9">
        <f>'Bristol Rvs'!$S$11</f>
        <v/>
      </c>
      <c r="M9" s="14">
        <f>'Bristol Rvs'!$E$28</f>
        <v/>
      </c>
    </row>
    <row r="10">
      <c r="A10" s="6" t="inlineStr">
        <is>
          <t>Walsall</t>
        </is>
      </c>
      <c r="B10" s="14">
        <f>'Walsall'!$E$26</f>
        <v/>
      </c>
      <c r="C10" s="9">
        <f>'Walsall'!$S$2</f>
        <v/>
      </c>
      <c r="D10" s="9">
        <f>'Walsall'!$S$3</f>
        <v/>
      </c>
      <c r="E10" s="9">
        <f>'Walsall'!$S$4</f>
        <v/>
      </c>
      <c r="F10" s="9">
        <f>'Walsall'!$S$5</f>
        <v/>
      </c>
      <c r="G10" s="9">
        <f>'Walsall'!$S$6</f>
        <v/>
      </c>
      <c r="H10" s="9">
        <f>'Walsall'!$S$7</f>
        <v/>
      </c>
      <c r="I10" s="9">
        <f>'Walsall'!$S$8</f>
        <v/>
      </c>
      <c r="J10" s="9">
        <f>'Walsall'!$S$9</f>
        <v/>
      </c>
      <c r="K10" s="9">
        <f>'Walsall'!$S$10</f>
        <v/>
      </c>
      <c r="L10" s="6" t="n"/>
      <c r="M10" s="14">
        <f>'Walsall'!$E$27</f>
        <v/>
      </c>
    </row>
    <row r="11">
      <c r="A11" s="6" t="inlineStr">
        <is>
          <t>Tranmere Rovers</t>
        </is>
      </c>
      <c r="B11" s="14">
        <f>'Tranmere Rovers'!$E$27</f>
        <v/>
      </c>
      <c r="C11" s="9">
        <f>'Tranmere Rovers'!$S$2</f>
        <v/>
      </c>
      <c r="D11" s="9">
        <f>'Tranmere Rovers'!$S$3</f>
        <v/>
      </c>
      <c r="E11" s="9">
        <f>'Tranmere Rovers'!$S$4</f>
        <v/>
      </c>
      <c r="F11" s="9">
        <f>'Tranmere Rovers'!$S$5</f>
        <v/>
      </c>
      <c r="G11" s="9">
        <f>'Tranmere Rovers'!$S$6</f>
        <v/>
      </c>
      <c r="H11" s="9">
        <f>'Tranmere Rovers'!$S$7</f>
        <v/>
      </c>
      <c r="I11" s="9">
        <f>'Tranmere Rovers'!$S$8</f>
        <v/>
      </c>
      <c r="J11" s="9">
        <f>'Tranmere Rovers'!$S$9</f>
        <v/>
      </c>
      <c r="K11" s="9">
        <f>'Tranmere Rovers'!$S$10</f>
        <v/>
      </c>
      <c r="L11" s="9">
        <f>'Tranmere Rovers'!$S$11</f>
        <v/>
      </c>
      <c r="M11" s="14">
        <f>'Tranmere Rovers'!$E$28</f>
        <v/>
      </c>
    </row>
    <row r="12">
      <c r="A12" s="6" t="inlineStr">
        <is>
          <t>Cheltenham Town</t>
        </is>
      </c>
      <c r="B12" s="14">
        <f>'Cheltenham Town'!$E$27</f>
        <v/>
      </c>
      <c r="C12" s="9">
        <f>'Cheltenham Town'!$S$2</f>
        <v/>
      </c>
      <c r="D12" s="9">
        <f>'Cheltenham Town'!$S$3</f>
        <v/>
      </c>
      <c r="E12" s="9">
        <f>'Cheltenham Town'!$S$4</f>
        <v/>
      </c>
      <c r="F12" s="9">
        <f>'Cheltenham Town'!$S$5</f>
        <v/>
      </c>
      <c r="G12" s="9">
        <f>'Cheltenham Town'!$S$6</f>
        <v/>
      </c>
      <c r="H12" s="9">
        <f>'Cheltenham Town'!$S$7</f>
        <v/>
      </c>
      <c r="I12" s="9">
        <f>'Cheltenham Town'!$S$8</f>
        <v/>
      </c>
      <c r="J12" s="9">
        <f>'Cheltenham Town'!$S$9</f>
        <v/>
      </c>
      <c r="K12" s="9">
        <f>'Cheltenham Town'!$S$10</f>
        <v/>
      </c>
      <c r="L12" s="9">
        <f>'Cheltenham Town'!$S$11</f>
        <v/>
      </c>
      <c r="M12" s="14">
        <f>'Cheltenham Town'!$E$28</f>
        <v/>
      </c>
    </row>
    <row r="13">
      <c r="A13" s="6" t="inlineStr">
        <is>
          <t>Colchester United</t>
        </is>
      </c>
      <c r="B13" s="14">
        <f>'Colchester United'!$E$26</f>
        <v/>
      </c>
      <c r="C13" s="9">
        <f>'Colchester United'!$S$2</f>
        <v/>
      </c>
      <c r="D13" s="9">
        <f>'Colchester United'!$S$3</f>
        <v/>
      </c>
      <c r="E13" s="9">
        <f>'Colchester United'!$S$4</f>
        <v/>
      </c>
      <c r="F13" s="9">
        <f>'Colchester United'!$S$5</f>
        <v/>
      </c>
      <c r="G13" s="9">
        <f>'Colchester United'!$S$6</f>
        <v/>
      </c>
      <c r="H13" s="9">
        <f>'Colchester United'!$S$7</f>
        <v/>
      </c>
      <c r="I13" s="9">
        <f>'Colchester United'!$S$8</f>
        <v/>
      </c>
      <c r="J13" s="9">
        <f>'Colchester United'!$S$9</f>
        <v/>
      </c>
      <c r="K13" s="9">
        <f>'Colchester United'!$S$10</f>
        <v/>
      </c>
      <c r="L13" s="6" t="n"/>
      <c r="M13" s="14">
        <f>'Colchester United'!$E$27</f>
        <v/>
      </c>
    </row>
    <row r="14">
      <c r="A14" s="6" t="inlineStr">
        <is>
          <t>Rotherham United</t>
        </is>
      </c>
      <c r="B14" s="14">
        <f>'Rotherham United'!$E$27</f>
        <v/>
      </c>
      <c r="C14" s="9">
        <f>'Rotherham United'!$S$2</f>
        <v/>
      </c>
      <c r="D14" s="9">
        <f>'Rotherham United'!$S$3</f>
        <v/>
      </c>
      <c r="E14" s="9">
        <f>'Rotherham United'!$S$4</f>
        <v/>
      </c>
      <c r="F14" s="9">
        <f>'Rotherham United'!$S$5</f>
        <v/>
      </c>
      <c r="G14" s="9">
        <f>'Rotherham United'!$S$6</f>
        <v/>
      </c>
      <c r="H14" s="9">
        <f>'Rotherham United'!$S$7</f>
        <v/>
      </c>
      <c r="I14" s="9">
        <f>'Rotherham United'!$S$8</f>
        <v/>
      </c>
      <c r="J14" s="9">
        <f>'Rotherham United'!$S$9</f>
        <v/>
      </c>
      <c r="K14" s="9">
        <f>'Rotherham United'!$S$10</f>
        <v/>
      </c>
      <c r="L14" s="9">
        <f>'Rotherham United'!$S$11</f>
        <v/>
      </c>
      <c r="M14" s="14">
        <f>'Rotherham United'!$E$28</f>
        <v/>
      </c>
    </row>
    <row r="15">
      <c r="A15" s="6" t="inlineStr">
        <is>
          <t>Gillingham</t>
        </is>
      </c>
      <c r="B15" s="14">
        <f>'Gillingham'!$E$27</f>
        <v/>
      </c>
      <c r="C15" s="9">
        <f>'Gillingham'!$S$2</f>
        <v/>
      </c>
      <c r="D15" s="9">
        <f>'Gillingham'!$S$3</f>
        <v/>
      </c>
      <c r="E15" s="9">
        <f>'Gillingham'!$S$4</f>
        <v/>
      </c>
      <c r="F15" s="9">
        <f>'Gillingham'!$S$5</f>
        <v/>
      </c>
      <c r="G15" s="9">
        <f>'Gillingham'!$S$6</f>
        <v/>
      </c>
      <c r="H15" s="9">
        <f>'Gillingham'!$S$7</f>
        <v/>
      </c>
      <c r="I15" s="9">
        <f>'Gillingham'!$S$8</f>
        <v/>
      </c>
      <c r="J15" s="9">
        <f>'Gillingham'!$S$9</f>
        <v/>
      </c>
      <c r="K15" s="9">
        <f>'Gillingham'!$S$10</f>
        <v/>
      </c>
      <c r="L15" s="9">
        <f>'Gillingham'!$S$11</f>
        <v/>
      </c>
      <c r="M15" s="14">
        <f>'Gillingham'!$E$28</f>
        <v/>
      </c>
    </row>
    <row r="16">
      <c r="A16" s="6" t="inlineStr">
        <is>
          <t>Oldham Athletic</t>
        </is>
      </c>
      <c r="B16" s="14">
        <f>'Oldham Athletic'!$E$26</f>
        <v/>
      </c>
      <c r="C16" s="9">
        <f>'Oldham Athletic'!$S$2</f>
        <v/>
      </c>
      <c r="D16" s="9">
        <f>'Oldham Athletic'!$S$3</f>
        <v/>
      </c>
      <c r="E16" s="9">
        <f>'Oldham Athletic'!$S$4</f>
        <v/>
      </c>
      <c r="F16" s="9">
        <f>'Oldham Athletic'!$S$5</f>
        <v/>
      </c>
      <c r="G16" s="9">
        <f>'Oldham Athletic'!$S$6</f>
        <v/>
      </c>
      <c r="H16" s="9">
        <f>'Oldham Athletic'!$S$7</f>
        <v/>
      </c>
      <c r="I16" s="9">
        <f>'Oldham Athletic'!$S$8</f>
        <v/>
      </c>
      <c r="J16" s="9">
        <f>'Oldham Athletic'!$S$9</f>
        <v/>
      </c>
      <c r="K16" s="9">
        <f>'Oldham Athletic'!$S$10</f>
        <v/>
      </c>
      <c r="L16" s="6" t="n"/>
      <c r="M16" s="14">
        <f>'Oldham Athletic'!$E$27</f>
        <v/>
      </c>
    </row>
    <row r="17">
      <c r="A17" s="6" t="inlineStr">
        <is>
          <t>Swindon Town</t>
        </is>
      </c>
      <c r="B17" s="14">
        <f>'Swindon Town'!$E$27</f>
        <v/>
      </c>
      <c r="C17" s="9">
        <f>'Swindon Town'!$S$2</f>
        <v/>
      </c>
      <c r="D17" s="9">
        <f>'Swindon Town'!$S$3</f>
        <v/>
      </c>
      <c r="E17" s="9">
        <f>'Swindon Town'!$S$4</f>
        <v/>
      </c>
      <c r="F17" s="9">
        <f>'Swindon Town'!$S$5</f>
        <v/>
      </c>
      <c r="G17" s="9">
        <f>'Swindon Town'!$S$6</f>
        <v/>
      </c>
      <c r="H17" s="9">
        <f>'Swindon Town'!$S$7</f>
        <v/>
      </c>
      <c r="I17" s="9">
        <f>'Swindon Town'!$S$8</f>
        <v/>
      </c>
      <c r="J17" s="9">
        <f>'Swindon Town'!$S$9</f>
        <v/>
      </c>
      <c r="K17" s="9">
        <f>'Swindon Town'!$S$10</f>
        <v/>
      </c>
      <c r="L17" s="9">
        <f>'Swindon Town'!$S$11</f>
        <v/>
      </c>
      <c r="M17" s="14">
        <f>'Swindon Town'!$E$28</f>
        <v/>
      </c>
    </row>
    <row r="18">
      <c r="A18" s="6" t="inlineStr">
        <is>
          <t>Shrewsbury Town</t>
        </is>
      </c>
      <c r="B18" s="14">
        <f>'Shrewsbury Town'!$E$27</f>
        <v/>
      </c>
      <c r="C18" s="9">
        <f>'Shrewsbury Town'!$S$2</f>
        <v/>
      </c>
      <c r="D18" s="9">
        <f>'Shrewsbury Town'!$S$3</f>
        <v/>
      </c>
      <c r="E18" s="9">
        <f>'Shrewsbury Town'!$S$4</f>
        <v/>
      </c>
      <c r="F18" s="9">
        <f>'Shrewsbury Town'!$S$5</f>
        <v/>
      </c>
      <c r="G18" s="9">
        <f>'Shrewsbury Town'!$S$6</f>
        <v/>
      </c>
      <c r="H18" s="9">
        <f>'Shrewsbury Town'!$S$7</f>
        <v/>
      </c>
      <c r="I18" s="9">
        <f>'Shrewsbury Town'!$S$8</f>
        <v/>
      </c>
      <c r="J18" s="9">
        <f>'Shrewsbury Town'!$S$9</f>
        <v/>
      </c>
      <c r="K18" s="9">
        <f>'Shrewsbury Town'!$S$10</f>
        <v/>
      </c>
      <c r="L18" s="9">
        <f>'Shrewsbury Town'!$S$11</f>
        <v/>
      </c>
      <c r="M18" s="14">
        <f>'Shrewsbury Town'!$E$28</f>
        <v/>
      </c>
    </row>
    <row r="19">
      <c r="A19" s="6" t="inlineStr">
        <is>
          <t>Rochdale</t>
        </is>
      </c>
      <c r="B19" s="14">
        <f>'Rochdale'!$E$27</f>
        <v/>
      </c>
      <c r="C19" s="9">
        <f>'Rochdale'!$S$2</f>
        <v/>
      </c>
      <c r="D19" s="9">
        <f>'Rochdale'!$S$3</f>
        <v/>
      </c>
      <c r="E19" s="9">
        <f>'Rochdale'!$S$4</f>
        <v/>
      </c>
      <c r="F19" s="9">
        <f>'Rochdale'!$S$5</f>
        <v/>
      </c>
      <c r="G19" s="9">
        <f>'Rochdale'!$S$6</f>
        <v/>
      </c>
      <c r="H19" s="9">
        <f>'Rochdale'!$S$7</f>
        <v/>
      </c>
      <c r="I19" s="9">
        <f>'Rochdale'!$S$8</f>
        <v/>
      </c>
      <c r="J19" s="9">
        <f>'Rochdale'!$S$9</f>
        <v/>
      </c>
      <c r="K19" s="9">
        <f>'Rochdale'!$S$10</f>
        <v/>
      </c>
      <c r="L19" s="9">
        <f>'Rochdale'!$S$11</f>
        <v/>
      </c>
      <c r="M19" s="14">
        <f>'Rochdale'!$E$28</f>
        <v/>
      </c>
    </row>
    <row r="20">
      <c r="A20" s="6" t="inlineStr">
        <is>
          <t>Port Vale</t>
        </is>
      </c>
      <c r="B20" s="14">
        <f>'Port Vale'!$E$25</f>
        <v/>
      </c>
      <c r="C20" s="9">
        <f>'Port Vale'!$S$2</f>
        <v/>
      </c>
      <c r="D20" s="9">
        <f>'Port Vale'!$S$3</f>
        <v/>
      </c>
      <c r="E20" s="9">
        <f>'Port Vale'!$S$4</f>
        <v/>
      </c>
      <c r="F20" s="9">
        <f>'Port Vale'!$S$5</f>
        <v/>
      </c>
      <c r="G20" s="9">
        <f>'Port Vale'!$S$6</f>
        <v/>
      </c>
      <c r="H20" s="9">
        <f>'Port Vale'!$S$7</f>
        <v/>
      </c>
      <c r="I20" s="9">
        <f>'Port Vale'!$S$8</f>
        <v/>
      </c>
      <c r="J20" s="9">
        <f>'Port Vale'!$S$9</f>
        <v/>
      </c>
      <c r="K20" s="6" t="n"/>
      <c r="L20" s="6" t="n"/>
      <c r="M20" s="14">
        <f>'Port Vale'!$E$26</f>
        <v/>
      </c>
    </row>
    <row r="21">
      <c r="A21" s="6" t="inlineStr">
        <is>
          <t>Crewe Alexandra</t>
        </is>
      </c>
      <c r="B21" s="14">
        <f>'Crewe Alexandra'!$E$27</f>
        <v/>
      </c>
      <c r="C21" s="9">
        <f>'Crewe Alexandra'!$S$2</f>
        <v/>
      </c>
      <c r="D21" s="9">
        <f>'Crewe Alexandra'!$S$3</f>
        <v/>
      </c>
      <c r="E21" s="9">
        <f>'Crewe Alexandra'!$S$4</f>
        <v/>
      </c>
      <c r="F21" s="9">
        <f>'Crewe Alexandra'!$S$5</f>
        <v/>
      </c>
      <c r="G21" s="9">
        <f>'Crewe Alexandra'!$S$6</f>
        <v/>
      </c>
      <c r="H21" s="9">
        <f>'Crewe Alexandra'!$S$7</f>
        <v/>
      </c>
      <c r="I21" s="9">
        <f>'Crewe Alexandra'!$S$8</f>
        <v/>
      </c>
      <c r="J21" s="9">
        <f>'Crewe Alexandra'!$S$9</f>
        <v/>
      </c>
      <c r="K21" s="9">
        <f>'Crewe Alexandra'!$S$10</f>
        <v/>
      </c>
      <c r="L21" s="9">
        <f>'Crewe Alexandra'!$S$11</f>
        <v/>
      </c>
      <c r="M21" s="14">
        <f>'Crewe Alexandra'!$E$28</f>
        <v/>
      </c>
    </row>
    <row r="22">
      <c r="A22" s="6" t="inlineStr">
        <is>
          <t>Exeter</t>
        </is>
      </c>
      <c r="B22" s="14">
        <f>'Exeter'!$E$27</f>
        <v/>
      </c>
      <c r="C22" s="9">
        <f>'Exeter'!$S$2</f>
        <v/>
      </c>
      <c r="D22" s="9">
        <f>'Exeter'!$S$3</f>
        <v/>
      </c>
      <c r="E22" s="9">
        <f>'Exeter'!$S$4</f>
        <v/>
      </c>
      <c r="F22" s="9">
        <f>'Exeter'!$S$5</f>
        <v/>
      </c>
      <c r="G22" s="9">
        <f>'Exeter'!$S$6</f>
        <v/>
      </c>
      <c r="H22" s="9">
        <f>'Exeter'!$S$7</f>
        <v/>
      </c>
      <c r="I22" s="9">
        <f>'Exeter'!$S$8</f>
        <v/>
      </c>
      <c r="J22" s="9">
        <f>'Exeter'!$S$9</f>
        <v/>
      </c>
      <c r="K22" s="9">
        <f>'Exeter'!$S$10</f>
        <v/>
      </c>
      <c r="L22" s="9">
        <f>'Exeter'!$S$11</f>
        <v/>
      </c>
      <c r="M22" s="14">
        <f>'Exeter'!$E$28</f>
        <v/>
      </c>
    </row>
    <row r="23">
      <c r="A23" s="6" t="inlineStr">
        <is>
          <t>Newport County</t>
        </is>
      </c>
      <c r="B23" s="14">
        <f>'Newport County'!$E$27</f>
        <v/>
      </c>
      <c r="C23" s="9">
        <f>'Newport County'!$S$2</f>
        <v/>
      </c>
      <c r="D23" s="9">
        <f>'Newport County'!$S$3</f>
        <v/>
      </c>
      <c r="E23" s="9">
        <f>'Newport County'!$S$4</f>
        <v/>
      </c>
      <c r="F23" s="9">
        <f>'Newport County'!$S$5</f>
        <v/>
      </c>
      <c r="G23" s="9">
        <f>'Newport County'!$S$6</f>
        <v/>
      </c>
      <c r="H23" s="9">
        <f>'Newport County'!$S$7</f>
        <v/>
      </c>
      <c r="I23" s="9">
        <f>'Newport County'!$S$8</f>
        <v/>
      </c>
      <c r="J23" s="9">
        <f>'Newport County'!$S$9</f>
        <v/>
      </c>
      <c r="K23" s="9">
        <f>'Newport County'!$S$10</f>
        <v/>
      </c>
      <c r="L23" s="9">
        <f>'Newport County'!$S$11</f>
        <v/>
      </c>
      <c r="M23" s="14">
        <f>'Newport County'!$E$28</f>
        <v/>
      </c>
    </row>
    <row r="24">
      <c r="A24" s="6" t="inlineStr">
        <is>
          <t>Salford City</t>
        </is>
      </c>
      <c r="B24" s="14">
        <f>'Salford City'!$E$27</f>
        <v/>
      </c>
      <c r="C24" s="9">
        <f>'Salford City'!$S$2</f>
        <v/>
      </c>
      <c r="D24" s="9">
        <f>'Salford City'!$S$3</f>
        <v/>
      </c>
      <c r="E24" s="9">
        <f>'Salford City'!$S$4</f>
        <v/>
      </c>
      <c r="F24" s="9">
        <f>'Salford City'!$S$5</f>
        <v/>
      </c>
      <c r="G24" s="9">
        <f>'Salford City'!$S$6</f>
        <v/>
      </c>
      <c r="H24" s="9">
        <f>'Salford City'!$S$7</f>
        <v/>
      </c>
      <c r="I24" s="9">
        <f>'Salford City'!$S$8</f>
        <v/>
      </c>
      <c r="J24" s="9">
        <f>'Salford City'!$S$9</f>
        <v/>
      </c>
      <c r="K24" s="9">
        <f>'Salford City'!$S$10</f>
        <v/>
      </c>
      <c r="L24" s="9">
        <f>'Salford City'!$S$11</f>
        <v/>
      </c>
      <c r="M24" s="14">
        <f>'Salford City'!$E$28</f>
        <v/>
      </c>
    </row>
    <row r="25">
      <c r="A25" s="6" t="inlineStr">
        <is>
          <t>Northampton Town</t>
        </is>
      </c>
      <c r="B25" s="14">
        <f>'Northampton Town'!$E$25</f>
        <v/>
      </c>
      <c r="C25" s="9">
        <f>'Northampton Town'!$S$2</f>
        <v/>
      </c>
      <c r="D25" s="9">
        <f>'Northampton Town'!$S$3</f>
        <v/>
      </c>
      <c r="E25" s="9">
        <f>'Northampton Town'!$S$4</f>
        <v/>
      </c>
      <c r="F25" s="9">
        <f>'Northampton Town'!$S$5</f>
        <v/>
      </c>
      <c r="G25" s="9">
        <f>'Northampton Town'!$S$6</f>
        <v/>
      </c>
      <c r="H25" s="9">
        <f>'Northampton Town'!$S$7</f>
        <v/>
      </c>
      <c r="I25" s="9">
        <f>'Northampton Town'!$S$8</f>
        <v/>
      </c>
      <c r="J25" s="9">
        <f>'Northampton Town'!$S$9</f>
        <v/>
      </c>
      <c r="K25" s="6" t="n"/>
      <c r="L25" s="6" t="n"/>
      <c r="M25" s="14">
        <f>'Northampton Town'!$E$26</f>
        <v/>
      </c>
    </row>
  </sheetData>
  <conditionalFormatting sqref="B2:M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Chesterfield</t>
        </is>
      </c>
      <c r="B2" s="14">
        <f>'Chesterfield'!$E$35</f>
        <v/>
      </c>
      <c r="C2" s="9">
        <f>'Chesterfield'!$V$2</f>
        <v/>
      </c>
      <c r="D2" s="9">
        <f>'Chesterfield'!$V$3</f>
        <v/>
      </c>
      <c r="E2" s="9">
        <f>'Chesterfield'!$V$4</f>
        <v/>
      </c>
      <c r="F2" s="9">
        <f>'Chesterfield'!$V$5</f>
        <v/>
      </c>
      <c r="G2" s="9">
        <f>'Chesterfield'!$V$6</f>
        <v/>
      </c>
      <c r="H2" s="9">
        <f>'Chesterfield'!$V$7</f>
        <v/>
      </c>
      <c r="I2" s="9">
        <f>'Chesterfield'!$V$8</f>
        <v/>
      </c>
      <c r="J2" s="9">
        <f>'Chesterfield'!$V$9</f>
        <v/>
      </c>
      <c r="K2" s="9">
        <f>'Chesterfield'!$V$10</f>
        <v/>
      </c>
      <c r="L2" s="9">
        <f>'Chesterfield'!$V$11</f>
        <v/>
      </c>
    </row>
    <row r="3">
      <c r="A3" s="6" t="inlineStr">
        <is>
          <t>Shrewsbury Town</t>
        </is>
      </c>
      <c r="B3" s="14">
        <f>'Shrewsbury Town'!$E$35</f>
        <v/>
      </c>
      <c r="C3" s="9">
        <f>'Shrewsbury Town'!$V$2</f>
        <v/>
      </c>
      <c r="D3" s="9">
        <f>'Shrewsbury Town'!$V$3</f>
        <v/>
      </c>
      <c r="E3" s="9">
        <f>'Shrewsbury Town'!$V$4</f>
        <v/>
      </c>
      <c r="F3" s="9">
        <f>'Shrewsbury Town'!$V$5</f>
        <v/>
      </c>
      <c r="G3" s="9">
        <f>'Shrewsbury Town'!$V$6</f>
        <v/>
      </c>
      <c r="H3" s="9">
        <f>'Shrewsbury Town'!$V$7</f>
        <v/>
      </c>
      <c r="I3" s="9">
        <f>'Shrewsbury Town'!$V$8</f>
        <v/>
      </c>
      <c r="J3" s="9">
        <f>'Shrewsbury Town'!$V$9</f>
        <v/>
      </c>
      <c r="K3" s="9">
        <f>'Shrewsbury Town'!$V$10</f>
        <v/>
      </c>
      <c r="L3" s="9">
        <f>'Shrewsbury Town'!$V$11</f>
        <v/>
      </c>
    </row>
    <row r="4">
      <c r="A4" s="6" t="inlineStr">
        <is>
          <t>Newport County</t>
        </is>
      </c>
      <c r="B4" s="14">
        <f>'Newport County'!$E$35</f>
        <v/>
      </c>
      <c r="C4" s="9">
        <f>'Newport County'!$V$2</f>
        <v/>
      </c>
      <c r="D4" s="9">
        <f>'Newport County'!$V$3</f>
        <v/>
      </c>
      <c r="E4" s="9">
        <f>'Newport County'!$V$4</f>
        <v/>
      </c>
      <c r="F4" s="9">
        <f>'Newport County'!$V$5</f>
        <v/>
      </c>
      <c r="G4" s="9">
        <f>'Newport County'!$V$6</f>
        <v/>
      </c>
      <c r="H4" s="9">
        <f>'Newport County'!$V$7</f>
        <v/>
      </c>
      <c r="I4" s="9">
        <f>'Newport County'!$V$8</f>
        <v/>
      </c>
      <c r="J4" s="9">
        <f>'Newport County'!$V$9</f>
        <v/>
      </c>
      <c r="K4" s="9">
        <f>'Newport County'!$V$10</f>
        <v/>
      </c>
      <c r="L4" s="9">
        <f>'Newport County'!$V$11</f>
        <v/>
      </c>
    </row>
    <row r="5">
      <c r="A5" s="6" t="inlineStr">
        <is>
          <t>Accrington Stanley</t>
        </is>
      </c>
      <c r="B5" s="14">
        <f>'Accrington Stanley'!$E$35</f>
        <v/>
      </c>
      <c r="C5" s="9">
        <f>'Accrington Stanley'!$V$2</f>
        <v/>
      </c>
      <c r="D5" s="9">
        <f>'Accrington Stanley'!$V$3</f>
        <v/>
      </c>
      <c r="E5" s="9">
        <f>'Accrington Stanley'!$V$4</f>
        <v/>
      </c>
      <c r="F5" s="9">
        <f>'Accrington Stanley'!$V$5</f>
        <v/>
      </c>
      <c r="G5" s="9">
        <f>'Accrington Stanley'!$V$6</f>
        <v/>
      </c>
      <c r="H5" s="9">
        <f>'Accrington Stanley'!$V$7</f>
        <v/>
      </c>
      <c r="I5" s="9">
        <f>'Accrington Stanley'!$V$8</f>
        <v/>
      </c>
      <c r="J5" s="9">
        <f>'Accrington Stanley'!$V$9</f>
        <v/>
      </c>
      <c r="K5" s="9">
        <f>'Accrington Stanley'!$V$10</f>
        <v/>
      </c>
      <c r="L5" s="9">
        <f>'Accrington Stanley'!$V$11</f>
        <v/>
      </c>
    </row>
    <row r="6">
      <c r="A6" s="6" t="inlineStr">
        <is>
          <t>Exeter</t>
        </is>
      </c>
      <c r="B6" s="14">
        <f>'Exeter'!$E$35</f>
        <v/>
      </c>
      <c r="C6" s="9">
        <f>'Exeter'!$V$2</f>
        <v/>
      </c>
      <c r="D6" s="9">
        <f>'Exeter'!$V$3</f>
        <v/>
      </c>
      <c r="E6" s="9">
        <f>'Exeter'!$V$4</f>
        <v/>
      </c>
      <c r="F6" s="9">
        <f>'Exeter'!$V$5</f>
        <v/>
      </c>
      <c r="G6" s="9">
        <f>'Exeter'!$V$6</f>
        <v/>
      </c>
      <c r="H6" s="9">
        <f>'Exeter'!$V$7</f>
        <v/>
      </c>
      <c r="I6" s="9">
        <f>'Exeter'!$V$8</f>
        <v/>
      </c>
      <c r="J6" s="9">
        <f>'Exeter'!$V$9</f>
        <v/>
      </c>
      <c r="K6" s="9">
        <f>'Exeter'!$V$10</f>
        <v/>
      </c>
      <c r="L6" s="9">
        <f>'Exeter'!$V$11</f>
        <v/>
      </c>
    </row>
    <row r="7">
      <c r="A7" s="6" t="inlineStr">
        <is>
          <t>Crawley Town</t>
        </is>
      </c>
      <c r="B7" s="14">
        <f>'Crawley Town'!$E$33</f>
        <v/>
      </c>
      <c r="C7" s="9">
        <f>'Crawley Town'!$V$2</f>
        <v/>
      </c>
      <c r="D7" s="9">
        <f>'Crawley Town'!$V$3</f>
        <v/>
      </c>
      <c r="E7" s="9">
        <f>'Crawley Town'!$V$4</f>
        <v/>
      </c>
      <c r="F7" s="9">
        <f>'Crawley Town'!$V$5</f>
        <v/>
      </c>
      <c r="G7" s="9">
        <f>'Crawley Town'!$V$6</f>
        <v/>
      </c>
      <c r="H7" s="9">
        <f>'Crawley Town'!$V$7</f>
        <v/>
      </c>
      <c r="I7" s="9">
        <f>'Crawley Town'!$V$8</f>
        <v/>
      </c>
      <c r="J7" s="9">
        <f>'Crawley Town'!$V$9</f>
        <v/>
      </c>
      <c r="K7" s="6" t="n"/>
      <c r="L7" s="6" t="n"/>
    </row>
    <row r="8">
      <c r="A8" s="6" t="inlineStr">
        <is>
          <t>York</t>
        </is>
      </c>
      <c r="B8" s="14">
        <f>'York'!$E$34</f>
        <v/>
      </c>
      <c r="C8" s="9">
        <f>'York'!$V$2</f>
        <v/>
      </c>
      <c r="D8" s="9">
        <f>'York'!$V$3</f>
        <v/>
      </c>
      <c r="E8" s="9">
        <f>'York'!$V$4</f>
        <v/>
      </c>
      <c r="F8" s="9">
        <f>'York'!$V$5</f>
        <v/>
      </c>
      <c r="G8" s="9">
        <f>'York'!$V$6</f>
        <v/>
      </c>
      <c r="H8" s="9">
        <f>'York'!$V$7</f>
        <v/>
      </c>
      <c r="I8" s="9">
        <f>'York'!$V$8</f>
        <v/>
      </c>
      <c r="J8" s="9">
        <f>'York'!$V$9</f>
        <v/>
      </c>
      <c r="K8" s="9">
        <f>'York'!$V$10</f>
        <v/>
      </c>
      <c r="L8" s="6" t="n"/>
    </row>
    <row r="9">
      <c r="A9" s="6" t="inlineStr">
        <is>
          <t>Rotherham United</t>
        </is>
      </c>
      <c r="B9" s="14">
        <f>'Rotherham United'!$E$35</f>
        <v/>
      </c>
      <c r="C9" s="9">
        <f>'Rotherham United'!$V$2</f>
        <v/>
      </c>
      <c r="D9" s="9">
        <f>'Rotherham United'!$V$3</f>
        <v/>
      </c>
      <c r="E9" s="9">
        <f>'Rotherham United'!$V$4</f>
        <v/>
      </c>
      <c r="F9" s="9">
        <f>'Rotherham United'!$V$5</f>
        <v/>
      </c>
      <c r="G9" s="9">
        <f>'Rotherham United'!$V$6</f>
        <v/>
      </c>
      <c r="H9" s="9">
        <f>'Rotherham United'!$V$7</f>
        <v/>
      </c>
      <c r="I9" s="9">
        <f>'Rotherham United'!$V$8</f>
        <v/>
      </c>
      <c r="J9" s="9">
        <f>'Rotherham United'!$V$9</f>
        <v/>
      </c>
      <c r="K9" s="9">
        <f>'Rotherham United'!$V$10</f>
        <v/>
      </c>
      <c r="L9" s="9">
        <f>'Rotherham United'!$V$11</f>
        <v/>
      </c>
    </row>
    <row r="10">
      <c r="A10" s="6" t="inlineStr">
        <is>
          <t>Gillingham</t>
        </is>
      </c>
      <c r="B10" s="14">
        <f>'Gillingham'!$E$35</f>
        <v/>
      </c>
      <c r="C10" s="9">
        <f>'Gillingham'!$V$2</f>
        <v/>
      </c>
      <c r="D10" s="9">
        <f>'Gillingham'!$V$3</f>
        <v/>
      </c>
      <c r="E10" s="9">
        <f>'Gillingham'!$V$4</f>
        <v/>
      </c>
      <c r="F10" s="9">
        <f>'Gillingham'!$V$5</f>
        <v/>
      </c>
      <c r="G10" s="9">
        <f>'Gillingham'!$V$6</f>
        <v/>
      </c>
      <c r="H10" s="9">
        <f>'Gillingham'!$V$7</f>
        <v/>
      </c>
      <c r="I10" s="9">
        <f>'Gillingham'!$V$8</f>
        <v/>
      </c>
      <c r="J10" s="9">
        <f>'Gillingham'!$V$9</f>
        <v/>
      </c>
      <c r="K10" s="9">
        <f>'Gillingham'!$V$10</f>
        <v/>
      </c>
      <c r="L10" s="9">
        <f>'Gillingham'!$V$11</f>
        <v/>
      </c>
    </row>
    <row r="11">
      <c r="A11" s="6" t="inlineStr">
        <is>
          <t>Port Vale</t>
        </is>
      </c>
      <c r="B11" s="14">
        <f>'Port Vale'!$E$33</f>
        <v/>
      </c>
      <c r="C11" s="9">
        <f>'Port Vale'!$V$2</f>
        <v/>
      </c>
      <c r="D11" s="9">
        <f>'Port Vale'!$V$3</f>
        <v/>
      </c>
      <c r="E11" s="9">
        <f>'Port Vale'!$V$4</f>
        <v/>
      </c>
      <c r="F11" s="9">
        <f>'Port Vale'!$V$5</f>
        <v/>
      </c>
      <c r="G11" s="9">
        <f>'Port Vale'!$V$6</f>
        <v/>
      </c>
      <c r="H11" s="9">
        <f>'Port Vale'!$V$7</f>
        <v/>
      </c>
      <c r="I11" s="9">
        <f>'Port Vale'!$V$8</f>
        <v/>
      </c>
      <c r="J11" s="9">
        <f>'Port Vale'!$V$9</f>
        <v/>
      </c>
      <c r="K11" s="6" t="n"/>
      <c r="L11" s="6" t="n"/>
    </row>
    <row r="12">
      <c r="A12" s="6" t="inlineStr">
        <is>
          <t>Walsall</t>
        </is>
      </c>
      <c r="B12" s="14">
        <f>'Walsall'!$E$34</f>
        <v/>
      </c>
      <c r="C12" s="9">
        <f>'Walsall'!$V$2</f>
        <v/>
      </c>
      <c r="D12" s="9">
        <f>'Walsall'!$V$3</f>
        <v/>
      </c>
      <c r="E12" s="9">
        <f>'Walsall'!$V$4</f>
        <v/>
      </c>
      <c r="F12" s="9">
        <f>'Walsall'!$V$5</f>
        <v/>
      </c>
      <c r="G12" s="9">
        <f>'Walsall'!$V$6</f>
        <v/>
      </c>
      <c r="H12" s="9">
        <f>'Walsall'!$V$7</f>
        <v/>
      </c>
      <c r="I12" s="9">
        <f>'Walsall'!$V$8</f>
        <v/>
      </c>
      <c r="J12" s="9">
        <f>'Walsall'!$V$9</f>
        <v/>
      </c>
      <c r="K12" s="9">
        <f>'Walsall'!$V$10</f>
        <v/>
      </c>
      <c r="L12" s="6" t="n"/>
    </row>
    <row r="13">
      <c r="A13" s="6" t="inlineStr">
        <is>
          <t>Crewe Alexandra</t>
        </is>
      </c>
      <c r="B13" s="14">
        <f>'Crewe Alexandra'!$E$35</f>
        <v/>
      </c>
      <c r="C13" s="9">
        <f>'Crewe Alexandra'!$V$2</f>
        <v/>
      </c>
      <c r="D13" s="9">
        <f>'Crewe Alexandra'!$V$3</f>
        <v/>
      </c>
      <c r="E13" s="9">
        <f>'Crewe Alexandra'!$V$4</f>
        <v/>
      </c>
      <c r="F13" s="9">
        <f>'Crewe Alexandra'!$V$5</f>
        <v/>
      </c>
      <c r="G13" s="9">
        <f>'Crewe Alexandra'!$V$6</f>
        <v/>
      </c>
      <c r="H13" s="9">
        <f>'Crewe Alexandra'!$V$7</f>
        <v/>
      </c>
      <c r="I13" s="9">
        <f>'Crewe Alexandra'!$V$8</f>
        <v/>
      </c>
      <c r="J13" s="9">
        <f>'Crewe Alexandra'!$V$9</f>
        <v/>
      </c>
      <c r="K13" s="9">
        <f>'Crewe Alexandra'!$V$10</f>
        <v/>
      </c>
      <c r="L13" s="9">
        <f>'Crewe Alexandra'!$V$11</f>
        <v/>
      </c>
    </row>
    <row r="14">
      <c r="A14" s="6" t="inlineStr">
        <is>
          <t>Grimsby Town</t>
        </is>
      </c>
      <c r="B14" s="14">
        <f>'Grimsby Town'!$E$35</f>
        <v/>
      </c>
      <c r="C14" s="9">
        <f>'Grimsby Town'!$V$2</f>
        <v/>
      </c>
      <c r="D14" s="9">
        <f>'Grimsby Town'!$V$3</f>
        <v/>
      </c>
      <c r="E14" s="9">
        <f>'Grimsby Town'!$V$4</f>
        <v/>
      </c>
      <c r="F14" s="9">
        <f>'Grimsby Town'!$V$5</f>
        <v/>
      </c>
      <c r="G14" s="9">
        <f>'Grimsby Town'!$V$6</f>
        <v/>
      </c>
      <c r="H14" s="9">
        <f>'Grimsby Town'!$V$7</f>
        <v/>
      </c>
      <c r="I14" s="9">
        <f>'Grimsby Town'!$V$8</f>
        <v/>
      </c>
      <c r="J14" s="9">
        <f>'Grimsby Town'!$V$9</f>
        <v/>
      </c>
      <c r="K14" s="9">
        <f>'Grimsby Town'!$V$10</f>
        <v/>
      </c>
      <c r="L14" s="9">
        <f>'Grimsby Town'!$V$11</f>
        <v/>
      </c>
    </row>
    <row r="15">
      <c r="A15" s="6" t="inlineStr">
        <is>
          <t>Barnet</t>
        </is>
      </c>
      <c r="B15" s="14">
        <f>'Barnet'!$E$33</f>
        <v/>
      </c>
      <c r="C15" s="9">
        <f>'Barnet'!$V$2</f>
        <v/>
      </c>
      <c r="D15" s="9">
        <f>'Barnet'!$V$3</f>
        <v/>
      </c>
      <c r="E15" s="9">
        <f>'Barnet'!$V$4</f>
        <v/>
      </c>
      <c r="F15" s="9">
        <f>'Barnet'!$V$5</f>
        <v/>
      </c>
      <c r="G15" s="9">
        <f>'Barnet'!$V$6</f>
        <v/>
      </c>
      <c r="H15" s="9">
        <f>'Barnet'!$V$7</f>
        <v/>
      </c>
      <c r="I15" s="9">
        <f>'Barnet'!$V$8</f>
        <v/>
      </c>
      <c r="J15" s="9">
        <f>'Barnet'!$V$9</f>
        <v/>
      </c>
      <c r="K15" s="6" t="n"/>
      <c r="L15" s="6" t="n"/>
    </row>
    <row r="16">
      <c r="A16" s="6" t="inlineStr">
        <is>
          <t>Oldham Athletic</t>
        </is>
      </c>
      <c r="B16" s="14">
        <f>'Oldham Athletic'!$E$34</f>
        <v/>
      </c>
      <c r="C16" s="9">
        <f>'Oldham Athletic'!$V$2</f>
        <v/>
      </c>
      <c r="D16" s="9">
        <f>'Oldham Athletic'!$V$3</f>
        <v/>
      </c>
      <c r="E16" s="9">
        <f>'Oldham Athletic'!$V$4</f>
        <v/>
      </c>
      <c r="F16" s="9">
        <f>'Oldham Athletic'!$V$5</f>
        <v/>
      </c>
      <c r="G16" s="9">
        <f>'Oldham Athletic'!$V$6</f>
        <v/>
      </c>
      <c r="H16" s="9">
        <f>'Oldham Athletic'!$V$7</f>
        <v/>
      </c>
      <c r="I16" s="9">
        <f>'Oldham Athletic'!$V$8</f>
        <v/>
      </c>
      <c r="J16" s="9">
        <f>'Oldham Athletic'!$V$9</f>
        <v/>
      </c>
      <c r="K16" s="9">
        <f>'Oldham Athletic'!$V$10</f>
        <v/>
      </c>
      <c r="L16" s="6" t="n"/>
    </row>
    <row r="17">
      <c r="A17" s="6" t="inlineStr">
        <is>
          <t>Tranmere Rovers</t>
        </is>
      </c>
      <c r="B17" s="14">
        <f>'Tranmere Rovers'!$E$35</f>
        <v/>
      </c>
      <c r="C17" s="9">
        <f>'Tranmere Rovers'!$V$2</f>
        <v/>
      </c>
      <c r="D17" s="9">
        <f>'Tranmere Rovers'!$V$3</f>
        <v/>
      </c>
      <c r="E17" s="9">
        <f>'Tranmere Rovers'!$V$4</f>
        <v/>
      </c>
      <c r="F17" s="9">
        <f>'Tranmere Rovers'!$V$5</f>
        <v/>
      </c>
      <c r="G17" s="9">
        <f>'Tranmere Rovers'!$V$6</f>
        <v/>
      </c>
      <c r="H17" s="9">
        <f>'Tranmere Rovers'!$V$7</f>
        <v/>
      </c>
      <c r="I17" s="9">
        <f>'Tranmere Rovers'!$V$8</f>
        <v/>
      </c>
      <c r="J17" s="9">
        <f>'Tranmere Rovers'!$V$9</f>
        <v/>
      </c>
      <c r="K17" s="9">
        <f>'Tranmere Rovers'!$V$10</f>
        <v/>
      </c>
      <c r="L17" s="9">
        <f>'Tranmere Rovers'!$V$11</f>
        <v/>
      </c>
    </row>
    <row r="18">
      <c r="A18" s="6" t="inlineStr">
        <is>
          <t>Bristol Rvs</t>
        </is>
      </c>
      <c r="B18" s="14">
        <f>'Bristol Rvs'!$E$35</f>
        <v/>
      </c>
      <c r="C18" s="9">
        <f>'Bristol Rvs'!$V$2</f>
        <v/>
      </c>
      <c r="D18" s="9">
        <f>'Bristol Rvs'!$V$3</f>
        <v/>
      </c>
      <c r="E18" s="9">
        <f>'Bristol Rvs'!$V$4</f>
        <v/>
      </c>
      <c r="F18" s="9">
        <f>'Bristol Rvs'!$V$5</f>
        <v/>
      </c>
      <c r="G18" s="9">
        <f>'Bristol Rvs'!$V$6</f>
        <v/>
      </c>
      <c r="H18" s="9">
        <f>'Bristol Rvs'!$V$7</f>
        <v/>
      </c>
      <c r="I18" s="9">
        <f>'Bristol Rvs'!$V$8</f>
        <v/>
      </c>
      <c r="J18" s="9">
        <f>'Bristol Rvs'!$V$9</f>
        <v/>
      </c>
      <c r="K18" s="9">
        <f>'Bristol Rvs'!$V$10</f>
        <v/>
      </c>
      <c r="L18" s="9">
        <f>'Bristol Rvs'!$V$11</f>
        <v/>
      </c>
    </row>
    <row r="19">
      <c r="A19" s="6" t="inlineStr">
        <is>
          <t>Cheltenham Town</t>
        </is>
      </c>
      <c r="B19" s="14">
        <f>'Cheltenham Town'!$E$35</f>
        <v/>
      </c>
      <c r="C19" s="9">
        <f>'Cheltenham Town'!$V$2</f>
        <v/>
      </c>
      <c r="D19" s="9">
        <f>'Cheltenham Town'!$V$3</f>
        <v/>
      </c>
      <c r="E19" s="9">
        <f>'Cheltenham Town'!$V$4</f>
        <v/>
      </c>
      <c r="F19" s="9">
        <f>'Cheltenham Town'!$V$5</f>
        <v/>
      </c>
      <c r="G19" s="9">
        <f>'Cheltenham Town'!$V$6</f>
        <v/>
      </c>
      <c r="H19" s="9">
        <f>'Cheltenham Town'!$V$7</f>
        <v/>
      </c>
      <c r="I19" s="9">
        <f>'Cheltenham Town'!$V$8</f>
        <v/>
      </c>
      <c r="J19" s="9">
        <f>'Cheltenham Town'!$V$9</f>
        <v/>
      </c>
      <c r="K19" s="9">
        <f>'Cheltenham Town'!$V$10</f>
        <v/>
      </c>
      <c r="L19" s="9">
        <f>'Cheltenham Town'!$V$11</f>
        <v/>
      </c>
    </row>
    <row r="20">
      <c r="A20" s="6" t="inlineStr">
        <is>
          <t>Swindon Town</t>
        </is>
      </c>
      <c r="B20" s="14">
        <f>'Swindon Town'!$E$35</f>
        <v/>
      </c>
      <c r="C20" s="9">
        <f>'Swindon Town'!$V$2</f>
        <v/>
      </c>
      <c r="D20" s="9">
        <f>'Swindon Town'!$V$3</f>
        <v/>
      </c>
      <c r="E20" s="9">
        <f>'Swindon Town'!$V$4</f>
        <v/>
      </c>
      <c r="F20" s="9">
        <f>'Swindon Town'!$V$5</f>
        <v/>
      </c>
      <c r="G20" s="9">
        <f>'Swindon Town'!$V$6</f>
        <v/>
      </c>
      <c r="H20" s="9">
        <f>'Swindon Town'!$V$7</f>
        <v/>
      </c>
      <c r="I20" s="9">
        <f>'Swindon Town'!$V$8</f>
        <v/>
      </c>
      <c r="J20" s="9">
        <f>'Swindon Town'!$V$9</f>
        <v/>
      </c>
      <c r="K20" s="9">
        <f>'Swindon Town'!$V$10</f>
        <v/>
      </c>
      <c r="L20" s="9">
        <f>'Swindon Town'!$V$11</f>
        <v/>
      </c>
    </row>
    <row r="21">
      <c r="A21" s="6" t="inlineStr">
        <is>
          <t>Colchester United</t>
        </is>
      </c>
      <c r="B21" s="14">
        <f>'Colchester United'!$E$34</f>
        <v/>
      </c>
      <c r="C21" s="9">
        <f>'Colchester United'!$V$2</f>
        <v/>
      </c>
      <c r="D21" s="9">
        <f>'Colchester United'!$V$3</f>
        <v/>
      </c>
      <c r="E21" s="9">
        <f>'Colchester United'!$V$4</f>
        <v/>
      </c>
      <c r="F21" s="9">
        <f>'Colchester United'!$V$5</f>
        <v/>
      </c>
      <c r="G21" s="9">
        <f>'Colchester United'!$V$6</f>
        <v/>
      </c>
      <c r="H21" s="9">
        <f>'Colchester United'!$V$7</f>
        <v/>
      </c>
      <c r="I21" s="9">
        <f>'Colchester United'!$V$8</f>
        <v/>
      </c>
      <c r="J21" s="9">
        <f>'Colchester United'!$V$9</f>
        <v/>
      </c>
      <c r="K21" s="9">
        <f>'Colchester United'!$V$10</f>
        <v/>
      </c>
      <c r="L21" s="6" t="n"/>
    </row>
    <row r="22">
      <c r="A22" s="6" t="inlineStr">
        <is>
          <t>Salford City</t>
        </is>
      </c>
      <c r="B22" s="14">
        <f>'Salford City'!$E$35</f>
        <v/>
      </c>
      <c r="C22" s="9">
        <f>'Salford City'!$V$2</f>
        <v/>
      </c>
      <c r="D22" s="9">
        <f>'Salford City'!$V$3</f>
        <v/>
      </c>
      <c r="E22" s="9">
        <f>'Salford City'!$V$4</f>
        <v/>
      </c>
      <c r="F22" s="9">
        <f>'Salford City'!$V$5</f>
        <v/>
      </c>
      <c r="G22" s="9">
        <f>'Salford City'!$V$6</f>
        <v/>
      </c>
      <c r="H22" s="9">
        <f>'Salford City'!$V$7</f>
        <v/>
      </c>
      <c r="I22" s="9">
        <f>'Salford City'!$V$8</f>
        <v/>
      </c>
      <c r="J22" s="9">
        <f>'Salford City'!$V$9</f>
        <v/>
      </c>
      <c r="K22" s="9">
        <f>'Salford City'!$V$10</f>
        <v/>
      </c>
      <c r="L22" s="9">
        <f>'Salford City'!$V$11</f>
        <v/>
      </c>
    </row>
    <row r="23">
      <c r="A23" s="6" t="inlineStr">
        <is>
          <t>Fleetwood Town</t>
        </is>
      </c>
      <c r="B23" s="14">
        <f>'Fleetwood Town'!$E$35</f>
        <v/>
      </c>
      <c r="C23" s="9">
        <f>'Fleetwood Town'!$V$2</f>
        <v/>
      </c>
      <c r="D23" s="9">
        <f>'Fleetwood Town'!$V$3</f>
        <v/>
      </c>
      <c r="E23" s="9">
        <f>'Fleetwood Town'!$V$4</f>
        <v/>
      </c>
      <c r="F23" s="9">
        <f>'Fleetwood Town'!$V$5</f>
        <v/>
      </c>
      <c r="G23" s="9">
        <f>'Fleetwood Town'!$V$6</f>
        <v/>
      </c>
      <c r="H23" s="9">
        <f>'Fleetwood Town'!$V$7</f>
        <v/>
      </c>
      <c r="I23" s="9">
        <f>'Fleetwood Town'!$V$8</f>
        <v/>
      </c>
      <c r="J23" s="9">
        <f>'Fleetwood Town'!$V$9</f>
        <v/>
      </c>
      <c r="K23" s="9">
        <f>'Fleetwood Town'!$V$10</f>
        <v/>
      </c>
      <c r="L23" s="9">
        <f>'Fleetwood Town'!$V$11</f>
        <v/>
      </c>
    </row>
    <row r="24">
      <c r="A24" s="6" t="inlineStr">
        <is>
          <t>Northampton Town</t>
        </is>
      </c>
      <c r="B24" s="14">
        <f>'Northampton Town'!$E$33</f>
        <v/>
      </c>
      <c r="C24" s="9">
        <f>'Northampton Town'!$V$2</f>
        <v/>
      </c>
      <c r="D24" s="9">
        <f>'Northampton Town'!$V$3</f>
        <v/>
      </c>
      <c r="E24" s="9">
        <f>'Northampton Town'!$V$4</f>
        <v/>
      </c>
      <c r="F24" s="9">
        <f>'Northampton Town'!$V$5</f>
        <v/>
      </c>
      <c r="G24" s="9">
        <f>'Northampton Town'!$V$6</f>
        <v/>
      </c>
      <c r="H24" s="9">
        <f>'Northampton Town'!$V$7</f>
        <v/>
      </c>
      <c r="I24" s="9">
        <f>'Northampton Town'!$V$8</f>
        <v/>
      </c>
      <c r="J24" s="9">
        <f>'Northampton Town'!$V$9</f>
        <v/>
      </c>
      <c r="K24" s="6" t="n"/>
      <c r="L24" s="6" t="n"/>
    </row>
    <row r="25">
      <c r="A25" s="6" t="inlineStr">
        <is>
          <t>Rochdale</t>
        </is>
      </c>
      <c r="B25" s="14">
        <f>'Rochdale'!$E$35</f>
        <v/>
      </c>
      <c r="C25" s="9">
        <f>'Rochdale'!$V$2</f>
        <v/>
      </c>
      <c r="D25" s="9">
        <f>'Rochdale'!$V$3</f>
        <v/>
      </c>
      <c r="E25" s="9">
        <f>'Rochdale'!$V$4</f>
        <v/>
      </c>
      <c r="F25" s="9">
        <f>'Rochdale'!$V$5</f>
        <v/>
      </c>
      <c r="G25" s="9">
        <f>'Rochdale'!$V$6</f>
        <v/>
      </c>
      <c r="H25" s="9">
        <f>'Rochdale'!$V$7</f>
        <v/>
      </c>
      <c r="I25" s="9">
        <f>'Rochdale'!$V$8</f>
        <v/>
      </c>
      <c r="J25" s="9">
        <f>'Rochdale'!$V$9</f>
        <v/>
      </c>
      <c r="K25" s="9">
        <f>'Rochdale'!$V$10</f>
        <v/>
      </c>
      <c r="L25" s="9">
        <f>'Rochdale'!$V$11</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Colchester United</t>
        </is>
      </c>
      <c r="C2" s="6" t="inlineStr">
        <is>
          <t>Home</t>
        </is>
      </c>
      <c r="D2" s="6" t="n">
        <v>2</v>
      </c>
      <c r="E2" s="6" t="n">
        <v>2</v>
      </c>
      <c r="F2" s="9" t="n">
        <v>1.33</v>
      </c>
      <c r="G2" s="9" t="n">
        <v>1.19</v>
      </c>
      <c r="H2" s="9" t="n">
        <v>2.78</v>
      </c>
      <c r="I2" s="9" t="n">
        <v>0.74</v>
      </c>
      <c r="J2" s="9" t="n">
        <v>1.45</v>
      </c>
      <c r="K2" s="9" t="n">
        <v>-0.45</v>
      </c>
      <c r="L2" s="9" t="n">
        <v>1.45</v>
      </c>
      <c r="M2" s="9" t="n">
        <v>-0.45</v>
      </c>
      <c r="N2" s="9" t="n">
        <v>1.38</v>
      </c>
      <c r="O2" s="9" t="n">
        <v>-0.31</v>
      </c>
      <c r="P2" s="9" t="n">
        <v>1.38</v>
      </c>
      <c r="Q2" s="9" t="n">
        <v>-0.31</v>
      </c>
      <c r="R2" s="9">
        <f>(H2-I2)-(F2-G2)</f>
        <v/>
      </c>
      <c r="S2" s="9">
        <f>(H2+I2)-(F2+G2)</f>
        <v/>
      </c>
      <c r="T2" s="9" t="n">
        <v>2.52</v>
      </c>
      <c r="U2" s="9" t="n">
        <v>1.47</v>
      </c>
      <c r="V2" s="9" t="n">
        <v>1.05</v>
      </c>
      <c r="W2" s="9" t="n">
        <v>2.52</v>
      </c>
      <c r="X2" s="9" t="n">
        <v>1.47</v>
      </c>
    </row>
    <row r="3">
      <c r="A3" s="8" t="inlineStr">
        <is>
          <t>2026-08-22</t>
        </is>
      </c>
      <c r="B3" s="8" t="inlineStr">
        <is>
          <t>Exeter</t>
        </is>
      </c>
      <c r="C3" s="8" t="inlineStr">
        <is>
          <t>Away</t>
        </is>
      </c>
      <c r="D3" s="8" t="n">
        <v>0</v>
      </c>
      <c r="E3" s="8" t="n">
        <v>2</v>
      </c>
      <c r="F3" s="10" t="n">
        <v>1.06</v>
      </c>
      <c r="G3" s="10" t="n">
        <v>1.58</v>
      </c>
      <c r="H3" s="10" t="n">
        <v>0.68</v>
      </c>
      <c r="I3" s="10" t="n">
        <v>2.31</v>
      </c>
      <c r="J3" s="10" t="n">
        <v>-0.38</v>
      </c>
      <c r="K3" s="10" t="n">
        <v>0.73</v>
      </c>
      <c r="L3" s="10" t="n">
        <v>0.53</v>
      </c>
      <c r="M3" s="10" t="n">
        <v>0.14</v>
      </c>
      <c r="N3" s="10" t="n">
        <v>-0.03</v>
      </c>
      <c r="O3" s="10" t="n">
        <v>0.8100000000000001</v>
      </c>
      <c r="P3" s="10" t="n">
        <v>0.67</v>
      </c>
      <c r="Q3" s="10" t="n">
        <v>0.25</v>
      </c>
      <c r="R3" s="10">
        <f>(H3-I3)-(F3-G3)</f>
        <v/>
      </c>
      <c r="S3" s="10">
        <f>(H3+I3)-(F3+G3)</f>
        <v/>
      </c>
      <c r="T3" s="10" t="n">
        <v>0.44</v>
      </c>
      <c r="U3" s="10" t="n">
        <v>1.02</v>
      </c>
      <c r="V3" s="10" t="n">
        <v>-0.57</v>
      </c>
      <c r="W3" s="10" t="n">
        <v>2.96</v>
      </c>
      <c r="X3" s="10" t="n">
        <v>2.49</v>
      </c>
    </row>
    <row r="4">
      <c r="A4" s="6" t="inlineStr">
        <is>
          <t>2026-08-29</t>
        </is>
      </c>
      <c r="B4" s="6" t="inlineStr">
        <is>
          <t>Walsall</t>
        </is>
      </c>
      <c r="C4" s="6" t="inlineStr">
        <is>
          <t>Away</t>
        </is>
      </c>
      <c r="D4" s="6" t="n">
        <v>2</v>
      </c>
      <c r="E4" s="6" t="n">
        <v>3</v>
      </c>
      <c r="F4" s="9" t="n">
        <v>0.97</v>
      </c>
      <c r="G4" s="9" t="n">
        <v>1.58</v>
      </c>
      <c r="H4" s="9" t="n">
        <v>2.29</v>
      </c>
      <c r="I4" s="9" t="n">
        <v>2.22</v>
      </c>
      <c r="J4" s="9" t="n">
        <v>1.32</v>
      </c>
      <c r="K4" s="9" t="n">
        <v>0.64</v>
      </c>
      <c r="L4" s="9" t="n">
        <v>0.8</v>
      </c>
      <c r="M4" s="9" t="n">
        <v>0.31</v>
      </c>
      <c r="N4" s="9" t="n">
        <v>1.41</v>
      </c>
      <c r="O4" s="9" t="n">
        <v>0.62</v>
      </c>
      <c r="P4" s="9" t="n">
        <v>0.92</v>
      </c>
      <c r="Q4" s="9" t="n">
        <v>0.38</v>
      </c>
      <c r="R4" s="9">
        <f>(H4-I4)-(F4-G4)</f>
        <v/>
      </c>
      <c r="S4" s="9">
        <f>(H4+I4)-(F4+G4)</f>
        <v/>
      </c>
      <c r="T4" s="9" t="n">
        <v>1.44</v>
      </c>
      <c r="U4" s="9" t="n">
        <v>0.95</v>
      </c>
      <c r="V4" s="9" t="n">
        <v>0.49</v>
      </c>
      <c r="W4" s="9" t="n">
        <v>4.41</v>
      </c>
      <c r="X4" s="9" t="n">
        <v>3.43</v>
      </c>
    </row>
    <row r="5">
      <c r="A5" s="8" t="inlineStr">
        <is>
          <t>2026-09-01</t>
        </is>
      </c>
      <c r="B5" s="8" t="inlineStr">
        <is>
          <t>Grimsby Town</t>
        </is>
      </c>
      <c r="C5" s="8" t="inlineStr">
        <is>
          <t>Home</t>
        </is>
      </c>
      <c r="D5" s="8" t="n">
        <v>2</v>
      </c>
      <c r="E5" s="8" t="n">
        <v>2</v>
      </c>
      <c r="F5" s="10" t="n">
        <v>1.09</v>
      </c>
      <c r="G5" s="10" t="n">
        <v>1.62</v>
      </c>
      <c r="H5" s="10" t="n">
        <v>2.6</v>
      </c>
      <c r="I5" s="10" t="n">
        <v>2.19</v>
      </c>
      <c r="J5" s="10" t="n">
        <v>1.51</v>
      </c>
      <c r="K5" s="10" t="n">
        <v>0.57</v>
      </c>
      <c r="L5" s="10" t="n">
        <v>0.97</v>
      </c>
      <c r="M5" s="10" t="n">
        <v>0.37</v>
      </c>
      <c r="N5" s="10" t="n">
        <v>1.36</v>
      </c>
      <c r="O5" s="10" t="n">
        <v>0.35</v>
      </c>
      <c r="P5" s="10" t="n">
        <v>1.03</v>
      </c>
      <c r="Q5" s="10" t="n">
        <v>0.37</v>
      </c>
      <c r="R5" s="10">
        <f>(H5-I5)-(F5-G5)</f>
        <v/>
      </c>
      <c r="S5" s="10">
        <f>(H5+I5)-(F5+G5)</f>
        <v/>
      </c>
      <c r="T5" s="10" t="n">
        <v>1.62</v>
      </c>
      <c r="U5" s="10" t="n">
        <v>1.02</v>
      </c>
      <c r="V5" s="10" t="n">
        <v>0.61</v>
      </c>
      <c r="W5" s="10" t="n">
        <v>6.03</v>
      </c>
      <c r="X5" s="10" t="n">
        <v>4.45</v>
      </c>
    </row>
    <row r="6">
      <c r="A6" s="6" t="inlineStr">
        <is>
          <t>2026-09-05</t>
        </is>
      </c>
      <c r="B6" s="6" t="inlineStr">
        <is>
          <t>Crawley Town</t>
        </is>
      </c>
      <c r="C6" s="6" t="inlineStr">
        <is>
          <t>Home</t>
        </is>
      </c>
      <c r="D6" s="6" t="n">
        <v>3</v>
      </c>
      <c r="E6" s="6" t="n">
        <v>2</v>
      </c>
      <c r="F6" s="9" t="n">
        <v>1.66</v>
      </c>
      <c r="G6" s="9" t="n">
        <v>1.17</v>
      </c>
      <c r="H6" s="9" t="n">
        <v>2.07</v>
      </c>
      <c r="I6" s="9" t="n">
        <v>1.49</v>
      </c>
      <c r="J6" s="9" t="n">
        <v>0.41</v>
      </c>
      <c r="K6" s="9" t="n">
        <v>0.32</v>
      </c>
      <c r="L6" s="9" t="n">
        <v>0.86</v>
      </c>
      <c r="M6" s="9" t="n">
        <v>0.36</v>
      </c>
      <c r="N6" s="9" t="n">
        <v>0.2</v>
      </c>
      <c r="O6" s="9" t="n">
        <v>-0.03</v>
      </c>
      <c r="P6" s="9" t="n">
        <v>0.86</v>
      </c>
      <c r="Q6" s="9" t="n">
        <v>0.29</v>
      </c>
      <c r="R6" s="9">
        <f>(H6-I6)-(F6-G6)</f>
        <v/>
      </c>
      <c r="S6" s="9">
        <f>(H6+I6)-(F6+G6)</f>
        <v/>
      </c>
      <c r="T6" s="9" t="n">
        <v>1.74</v>
      </c>
      <c r="U6" s="9" t="n">
        <v>1.71</v>
      </c>
      <c r="V6" s="9" t="n">
        <v>0.04</v>
      </c>
      <c r="W6" s="9" t="n">
        <v>7.77</v>
      </c>
      <c r="X6" s="9" t="n">
        <v>6.16</v>
      </c>
    </row>
    <row r="7">
      <c r="A7" s="8" t="inlineStr">
        <is>
          <t>2026-09-12</t>
        </is>
      </c>
      <c r="B7" s="8" t="inlineStr">
        <is>
          <t>Barnet</t>
        </is>
      </c>
      <c r="C7" s="8" t="inlineStr">
        <is>
          <t>Away</t>
        </is>
      </c>
      <c r="D7" s="8" t="n">
        <v>1</v>
      </c>
      <c r="E7" s="8" t="n">
        <v>2</v>
      </c>
      <c r="F7" s="10" t="n">
        <v>1.04</v>
      </c>
      <c r="G7" s="10" t="n">
        <v>2.02</v>
      </c>
      <c r="H7" s="10" t="n">
        <v>0.6899999999999999</v>
      </c>
      <c r="I7" s="10" t="n">
        <v>2.41</v>
      </c>
      <c r="J7" s="10" t="n">
        <v>-0.35</v>
      </c>
      <c r="K7" s="10" t="n">
        <v>0.39</v>
      </c>
      <c r="L7" s="10" t="n">
        <v>0.66</v>
      </c>
      <c r="M7" s="10" t="n">
        <v>0.37</v>
      </c>
      <c r="N7" s="10" t="n">
        <v>-0.78</v>
      </c>
      <c r="O7" s="10" t="n">
        <v>0.13</v>
      </c>
      <c r="P7" s="10" t="n">
        <v>0.59</v>
      </c>
      <c r="Q7" s="10" t="n">
        <v>0.26</v>
      </c>
      <c r="R7" s="10">
        <f>(H7-I7)-(F7-G7)</f>
        <v/>
      </c>
      <c r="S7" s="10">
        <f>(H7+I7)-(F7+G7)</f>
        <v/>
      </c>
      <c r="T7" s="10" t="n">
        <v>0.42</v>
      </c>
      <c r="U7" s="10" t="n">
        <v>0.78</v>
      </c>
      <c r="V7" s="10" t="n">
        <v>-0.36</v>
      </c>
      <c r="W7" s="10" t="n">
        <v>8.19</v>
      </c>
      <c r="X7" s="10" t="n">
        <v>6.93</v>
      </c>
    </row>
    <row r="8">
      <c r="A8" s="6" t="inlineStr">
        <is>
          <t>2026-09-19</t>
        </is>
      </c>
      <c r="B8" s="6" t="inlineStr">
        <is>
          <t>Newport County</t>
        </is>
      </c>
      <c r="C8" s="6" t="inlineStr">
        <is>
          <t>Home</t>
        </is>
      </c>
      <c r="D8" s="6" t="n">
        <v>0</v>
      </c>
      <c r="E8" s="6" t="n">
        <v>0</v>
      </c>
      <c r="F8" s="9" t="n">
        <v>1.57</v>
      </c>
      <c r="G8" s="9" t="n">
        <v>1.14</v>
      </c>
      <c r="H8" s="9" t="n">
        <v>0.65</v>
      </c>
      <c r="I8" s="9" t="n">
        <v>0.59</v>
      </c>
      <c r="J8" s="9" t="n">
        <v>-0.92</v>
      </c>
      <c r="K8" s="9" t="n">
        <v>-0.55</v>
      </c>
      <c r="L8" s="9" t="n">
        <v>0.27</v>
      </c>
      <c r="M8" s="9" t="n">
        <v>0.35</v>
      </c>
      <c r="N8" s="9" t="n">
        <v>-0.62</v>
      </c>
      <c r="O8" s="9" t="n">
        <v>-0.59</v>
      </c>
      <c r="P8" s="9" t="n">
        <v>0.25</v>
      </c>
      <c r="Q8" s="9" t="n">
        <v>0.22</v>
      </c>
      <c r="R8" s="9">
        <f>(H8-I8)-(F8-G8)</f>
        <v/>
      </c>
      <c r="S8" s="9">
        <f>(H8+I8)-(F8+G8)</f>
        <v/>
      </c>
      <c r="T8" s="9" t="n">
        <v>1.35</v>
      </c>
      <c r="U8" s="9" t="n">
        <v>1.67</v>
      </c>
      <c r="V8" s="9" t="n">
        <v>-0.32</v>
      </c>
      <c r="W8" s="9" t="n">
        <v>9.539999999999999</v>
      </c>
      <c r="X8" s="9" t="n">
        <v>8.6</v>
      </c>
    </row>
    <row r="9">
      <c r="A9" s="8" t="inlineStr">
        <is>
          <t>2026-09-26</t>
        </is>
      </c>
      <c r="B9" s="8" t="inlineStr">
        <is>
          <t>Swindon Town</t>
        </is>
      </c>
      <c r="C9" s="8" t="inlineStr">
        <is>
          <t>Away</t>
        </is>
      </c>
      <c r="D9" s="8" t="n">
        <v>1</v>
      </c>
      <c r="E9" s="8" t="n">
        <v>1</v>
      </c>
      <c r="F9" s="10" t="n">
        <v>1.25</v>
      </c>
      <c r="G9" s="10" t="n">
        <v>1.54</v>
      </c>
      <c r="H9" s="10" t="n">
        <v>1.5</v>
      </c>
      <c r="I9" s="10" t="n">
        <v>1.83</v>
      </c>
      <c r="J9" s="10" t="n">
        <v>0.25</v>
      </c>
      <c r="K9" s="10" t="n">
        <v>0.29</v>
      </c>
      <c r="L9" s="10" t="n">
        <v>0.37</v>
      </c>
      <c r="M9" s="10" t="n">
        <v>0.28</v>
      </c>
      <c r="N9" s="10" t="n">
        <v>0.24</v>
      </c>
      <c r="O9" s="10" t="n">
        <v>0.54</v>
      </c>
      <c r="P9" s="10" t="n">
        <v>0.3</v>
      </c>
      <c r="Q9" s="10" t="n">
        <v>0.17</v>
      </c>
      <c r="R9" s="10">
        <f>(H9-I9)-(F9-G9)</f>
        <v/>
      </c>
      <c r="S9" s="10">
        <f>(H9+I9)-(F9+G9)</f>
        <v/>
      </c>
      <c r="T9" s="10" t="n">
        <v>1.18</v>
      </c>
      <c r="U9" s="10" t="n">
        <v>1.18</v>
      </c>
      <c r="V9" s="10" t="n">
        <v>0</v>
      </c>
      <c r="W9" s="10" t="n">
        <v>10.72</v>
      </c>
      <c r="X9" s="10" t="n">
        <v>9.779999999999999</v>
      </c>
    </row>
    <row r="10">
      <c r="A10" s="6" t="inlineStr">
        <is>
          <t>2026-10-03</t>
        </is>
      </c>
      <c r="B10" s="6" t="inlineStr">
        <is>
          <t>Cheltenham Town</t>
        </is>
      </c>
      <c r="C10" s="6" t="inlineStr">
        <is>
          <t>Home</t>
        </is>
      </c>
      <c r="D10" s="6" t="n">
        <v>2</v>
      </c>
      <c r="E10" s="6" t="n">
        <v>0</v>
      </c>
      <c r="F10" s="9" t="n">
        <v>1.54</v>
      </c>
      <c r="G10" s="9" t="n">
        <v>1.29</v>
      </c>
      <c r="H10" s="9" t="n">
        <v>2.59</v>
      </c>
      <c r="I10" s="9" t="n">
        <v>0.34</v>
      </c>
      <c r="J10" s="9" t="n">
        <v>1.05</v>
      </c>
      <c r="K10" s="9" t="n">
        <v>-0.95</v>
      </c>
      <c r="L10" s="9" t="n">
        <v>0.33</v>
      </c>
      <c r="M10" s="9" t="n">
        <v>0.01</v>
      </c>
      <c r="N10" s="9" t="n">
        <v>0.98</v>
      </c>
      <c r="O10" s="9" t="n">
        <v>-0.97</v>
      </c>
      <c r="P10" s="9" t="n">
        <v>0.23</v>
      </c>
      <c r="Q10" s="9" t="n">
        <v>-0.09</v>
      </c>
      <c r="R10" s="9">
        <f>(H10-I10)-(F10-G10)</f>
        <v/>
      </c>
      <c r="S10" s="9">
        <f>(H10+I10)-(F10+G10)</f>
        <v/>
      </c>
      <c r="T10" s="9" t="n">
        <v>2.68</v>
      </c>
      <c r="U10" s="9" t="n">
        <v>1.54</v>
      </c>
      <c r="V10" s="9" t="n">
        <v>1.14</v>
      </c>
      <c r="W10" s="9" t="n">
        <v>13.4</v>
      </c>
      <c r="X10" s="9" t="n">
        <v>11.32</v>
      </c>
    </row>
    <row r="11">
      <c r="A11" s="8" t="inlineStr">
        <is>
          <t>2026-10-10</t>
        </is>
      </c>
      <c r="B11" s="8" t="inlineStr">
        <is>
          <t>Oldham Athletic</t>
        </is>
      </c>
      <c r="C11" s="8" t="inlineStr">
        <is>
          <t>Away</t>
        </is>
      </c>
      <c r="D11" s="8" t="n">
        <v>0</v>
      </c>
      <c r="E11" s="8" t="n">
        <v>0</v>
      </c>
      <c r="F11" s="10" t="n">
        <v>0.96</v>
      </c>
      <c r="G11" s="10" t="n">
        <v>1.85</v>
      </c>
      <c r="H11" s="10" t="n">
        <v>0.61</v>
      </c>
      <c r="I11" s="10" t="n">
        <v>0.23</v>
      </c>
      <c r="J11" s="10" t="n">
        <v>-0.35</v>
      </c>
      <c r="K11" s="10" t="n">
        <v>-1.62</v>
      </c>
      <c r="L11" s="10" t="n">
        <v>0.02</v>
      </c>
      <c r="M11" s="10" t="n">
        <v>-0.35</v>
      </c>
      <c r="N11" s="10" t="n">
        <v>-0.38</v>
      </c>
      <c r="O11" s="10" t="n">
        <v>-1.74</v>
      </c>
      <c r="P11" s="10" t="n">
        <v>-0.06</v>
      </c>
      <c r="Q11" s="10" t="n">
        <v>-0.44</v>
      </c>
      <c r="R11" s="10">
        <f>(H11-I11)-(F11-G11)</f>
        <v/>
      </c>
      <c r="S11" s="10">
        <f>(H11+I11)-(F11+G11)</f>
        <v/>
      </c>
      <c r="T11" s="10" t="n">
        <v>1.65</v>
      </c>
      <c r="U11" s="10" t="n">
        <v>0.8</v>
      </c>
      <c r="V11" s="10" t="n">
        <v>0.85</v>
      </c>
      <c r="W11" s="10" t="n">
        <v>15.06</v>
      </c>
      <c r="X11" s="10" t="n">
        <v>12.12</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9</v>
      </c>
      <c r="D39" s="15" t="n">
        <v>6</v>
      </c>
      <c r="E39" s="19" t="n">
        <v>0.91</v>
      </c>
      <c r="F39" s="19" t="n">
        <v>0.9399999999999999</v>
      </c>
      <c r="G39" s="19" t="n">
        <v>0.49</v>
      </c>
      <c r="H39" s="19" t="n">
        <v>0.73</v>
      </c>
    </row>
    <row r="40">
      <c r="A40" s="15" t="inlineStr">
        <is>
          <t>Away</t>
        </is>
      </c>
      <c r="B40" s="15" t="n">
        <v>5</v>
      </c>
      <c r="C40" s="15" t="n">
        <v>4</v>
      </c>
      <c r="D40" s="15" t="n">
        <v>8</v>
      </c>
      <c r="E40" s="19" t="n">
        <v>0.01</v>
      </c>
      <c r="F40" s="19" t="n">
        <v>-0.04</v>
      </c>
      <c r="G40" s="19" t="n">
        <v>0.19</v>
      </c>
      <c r="H40" s="19" t="n">
        <v>0.35</v>
      </c>
    </row>
    <row r="41">
      <c r="A41" s="20" t="inlineStr">
        <is>
          <t>Total</t>
        </is>
      </c>
      <c r="B41" s="20" t="n">
        <v>10</v>
      </c>
      <c r="C41" s="20" t="n">
        <v>13</v>
      </c>
      <c r="D41" s="20" t="n">
        <v>14</v>
      </c>
      <c r="E41" s="21" t="n">
        <v>0.46</v>
      </c>
      <c r="F41" s="21" t="n">
        <v>0.39</v>
      </c>
      <c r="G41" s="21" t="n">
        <v>0.34</v>
      </c>
      <c r="H41" s="21" t="n">
        <v>0.45</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Salford City</t>
        </is>
      </c>
      <c r="C2" s="6" t="inlineStr">
        <is>
          <t>Home</t>
        </is>
      </c>
      <c r="D2" s="6" t="n">
        <v>3</v>
      </c>
      <c r="E2" s="6" t="n">
        <v>1</v>
      </c>
      <c r="F2" s="9" t="n">
        <v>1.42</v>
      </c>
      <c r="G2" s="9" t="n">
        <v>1.18</v>
      </c>
      <c r="H2" s="9" t="n">
        <v>1.62</v>
      </c>
      <c r="I2" s="9" t="n">
        <v>0.92</v>
      </c>
      <c r="J2" s="9" t="n">
        <v>0.2</v>
      </c>
      <c r="K2" s="9" t="n">
        <v>-0.26</v>
      </c>
      <c r="L2" s="9" t="n">
        <v>0.2</v>
      </c>
      <c r="M2" s="9" t="n">
        <v>-0.26</v>
      </c>
      <c r="N2" s="9" t="n">
        <v>0.25</v>
      </c>
      <c r="O2" s="9" t="n">
        <v>0.16</v>
      </c>
      <c r="P2" s="9" t="n">
        <v>0.25</v>
      </c>
      <c r="Q2" s="9" t="n">
        <v>0.16</v>
      </c>
      <c r="R2" s="9">
        <f>(H2-I2)-(F2-G2)</f>
        <v/>
      </c>
      <c r="S2" s="9">
        <f>(H2+I2)-(F2+G2)</f>
        <v/>
      </c>
      <c r="T2" s="9" t="n">
        <v>1.86</v>
      </c>
      <c r="U2" s="9" t="n">
        <v>1.54</v>
      </c>
      <c r="V2" s="9" t="n">
        <v>0.33</v>
      </c>
      <c r="W2" s="9" t="n">
        <v>1.86</v>
      </c>
      <c r="X2" s="9" t="n">
        <v>1.54</v>
      </c>
    </row>
    <row r="3">
      <c r="A3" s="8" t="inlineStr">
        <is>
          <t>2026-08-22</t>
        </is>
      </c>
      <c r="B3" s="8" t="inlineStr">
        <is>
          <t>Shrewsbury Town</t>
        </is>
      </c>
      <c r="C3" s="8" t="inlineStr">
        <is>
          <t>Away</t>
        </is>
      </c>
      <c r="D3" s="8" t="n">
        <v>3</v>
      </c>
      <c r="E3" s="8" t="n">
        <v>1</v>
      </c>
      <c r="F3" s="10" t="n">
        <v>1.6</v>
      </c>
      <c r="G3" s="10" t="n">
        <v>1.02</v>
      </c>
      <c r="H3" s="10" t="n">
        <v>1.07</v>
      </c>
      <c r="I3" s="10" t="n">
        <v>1.78</v>
      </c>
      <c r="J3" s="10" t="n">
        <v>-0.53</v>
      </c>
      <c r="K3" s="10" t="n">
        <v>0.76</v>
      </c>
      <c r="L3" s="10" t="n">
        <v>-0.17</v>
      </c>
      <c r="M3" s="10" t="n">
        <v>0.25</v>
      </c>
      <c r="N3" s="10" t="n">
        <v>-0.16</v>
      </c>
      <c r="O3" s="10" t="n">
        <v>0.67</v>
      </c>
      <c r="P3" s="10" t="n">
        <v>0.04</v>
      </c>
      <c r="Q3" s="10" t="n">
        <v>0.42</v>
      </c>
      <c r="R3" s="10">
        <f>(H3-I3)-(F3-G3)</f>
        <v/>
      </c>
      <c r="S3" s="10">
        <f>(H3+I3)-(F3+G3)</f>
        <v/>
      </c>
      <c r="T3" s="10" t="n">
        <v>0.91</v>
      </c>
      <c r="U3" s="10" t="n">
        <v>1.77</v>
      </c>
      <c r="V3" s="10" t="n">
        <v>-0.86</v>
      </c>
      <c r="W3" s="10" t="n">
        <v>2.78</v>
      </c>
      <c r="X3" s="10" t="n">
        <v>3.31</v>
      </c>
    </row>
    <row r="4">
      <c r="A4" s="6" t="inlineStr">
        <is>
          <t>2026-08-29</t>
        </is>
      </c>
      <c r="B4" s="6" t="inlineStr">
        <is>
          <t>Cheltenham Town</t>
        </is>
      </c>
      <c r="C4" s="6" t="inlineStr">
        <is>
          <t>Home</t>
        </is>
      </c>
      <c r="D4" s="6" t="n">
        <v>2</v>
      </c>
      <c r="E4" s="6" t="n">
        <v>2</v>
      </c>
      <c r="F4" s="9" t="n">
        <v>1.86</v>
      </c>
      <c r="G4" s="9" t="n">
        <v>0.92</v>
      </c>
      <c r="H4" s="9" t="n">
        <v>2.15</v>
      </c>
      <c r="I4" s="9" t="n">
        <v>1.78</v>
      </c>
      <c r="J4" s="9" t="n">
        <v>0.29</v>
      </c>
      <c r="K4" s="9" t="n">
        <v>0.86</v>
      </c>
      <c r="L4" s="9" t="n">
        <v>-0.01</v>
      </c>
      <c r="M4" s="9" t="n">
        <v>0.45</v>
      </c>
      <c r="N4" s="9" t="n">
        <v>0.14</v>
      </c>
      <c r="O4" s="9" t="n">
        <v>1.04</v>
      </c>
      <c r="P4" s="9" t="n">
        <v>0.07000000000000001</v>
      </c>
      <c r="Q4" s="9" t="n">
        <v>0.62</v>
      </c>
      <c r="R4" s="9">
        <f>(H4-I4)-(F4-G4)</f>
        <v/>
      </c>
      <c r="S4" s="9">
        <f>(H4+I4)-(F4+G4)</f>
        <v/>
      </c>
      <c r="T4" s="9" t="n">
        <v>1.61</v>
      </c>
      <c r="U4" s="9" t="n">
        <v>2</v>
      </c>
      <c r="V4" s="9" t="n">
        <v>-0.39</v>
      </c>
      <c r="W4" s="9" t="n">
        <v>4.39</v>
      </c>
      <c r="X4" s="9" t="n">
        <v>5.32</v>
      </c>
    </row>
    <row r="5">
      <c r="A5" s="8" t="inlineStr">
        <is>
          <t>2026-09-01</t>
        </is>
      </c>
      <c r="B5" s="8" t="inlineStr">
        <is>
          <t>Exeter</t>
        </is>
      </c>
      <c r="C5" s="8" t="inlineStr">
        <is>
          <t>Away</t>
        </is>
      </c>
      <c r="D5" s="8" t="n">
        <v>1</v>
      </c>
      <c r="E5" s="8" t="n">
        <v>1</v>
      </c>
      <c r="F5" s="10" t="n">
        <v>1.76</v>
      </c>
      <c r="G5" s="10" t="n">
        <v>1.18</v>
      </c>
      <c r="H5" s="10" t="n">
        <v>1.02</v>
      </c>
      <c r="I5" s="10" t="n">
        <v>1.05</v>
      </c>
      <c r="J5" s="10" t="n">
        <v>-0.74</v>
      </c>
      <c r="K5" s="10" t="n">
        <v>-0.13</v>
      </c>
      <c r="L5" s="10" t="n">
        <v>-0.19</v>
      </c>
      <c r="M5" s="10" t="n">
        <v>0.31</v>
      </c>
      <c r="N5" s="10" t="n">
        <v>-0.43</v>
      </c>
      <c r="O5" s="10" t="n">
        <v>-0.14</v>
      </c>
      <c r="P5" s="10" t="n">
        <v>-0.05</v>
      </c>
      <c r="Q5" s="10" t="n">
        <v>0.43</v>
      </c>
      <c r="R5" s="10">
        <f>(H5-I5)-(F5-G5)</f>
        <v/>
      </c>
      <c r="S5" s="10">
        <f>(H5+I5)-(F5+G5)</f>
        <v/>
      </c>
      <c r="T5" s="10" t="n">
        <v>1.33</v>
      </c>
      <c r="U5" s="10" t="n">
        <v>1.76</v>
      </c>
      <c r="V5" s="10" t="n">
        <v>-0.44</v>
      </c>
      <c r="W5" s="10" t="n">
        <v>5.71</v>
      </c>
      <c r="X5" s="10" t="n">
        <v>7.08</v>
      </c>
    </row>
    <row r="6">
      <c r="A6" s="6" t="inlineStr">
        <is>
          <t>2026-09-05</t>
        </is>
      </c>
      <c r="B6" s="6" t="inlineStr">
        <is>
          <t>Chesterfield</t>
        </is>
      </c>
      <c r="C6" s="6" t="inlineStr">
        <is>
          <t>Away</t>
        </is>
      </c>
      <c r="D6" s="6" t="n">
        <v>3</v>
      </c>
      <c r="E6" s="6" t="n">
        <v>3</v>
      </c>
      <c r="F6" s="9" t="n">
        <v>1.24</v>
      </c>
      <c r="G6" s="9" t="n">
        <v>1.59</v>
      </c>
      <c r="H6" s="9" t="n">
        <v>2.4</v>
      </c>
      <c r="I6" s="9" t="n">
        <v>2.41</v>
      </c>
      <c r="J6" s="9" t="n">
        <v>1.16</v>
      </c>
      <c r="K6" s="9" t="n">
        <v>0.82</v>
      </c>
      <c r="L6" s="9" t="n">
        <v>0.08</v>
      </c>
      <c r="M6" s="9" t="n">
        <v>0.41</v>
      </c>
      <c r="N6" s="9" t="n">
        <v>1.27</v>
      </c>
      <c r="O6" s="9" t="n">
        <v>0.24</v>
      </c>
      <c r="P6" s="9" t="n">
        <v>0.21</v>
      </c>
      <c r="Q6" s="9" t="n">
        <v>0.39</v>
      </c>
      <c r="R6" s="9">
        <f>(H6-I6)-(F6-G6)</f>
        <v/>
      </c>
      <c r="S6" s="9">
        <f>(H6+I6)-(F6+G6)</f>
        <v/>
      </c>
      <c r="T6" s="9" t="n">
        <v>1.4</v>
      </c>
      <c r="U6" s="9" t="n">
        <v>1.14</v>
      </c>
      <c r="V6" s="9" t="n">
        <v>0.26</v>
      </c>
      <c r="W6" s="9" t="n">
        <v>7.12</v>
      </c>
      <c r="X6" s="9" t="n">
        <v>8.220000000000001</v>
      </c>
    </row>
    <row r="7">
      <c r="A7" s="8" t="inlineStr">
        <is>
          <t>2026-09-12</t>
        </is>
      </c>
      <c r="B7" s="8" t="inlineStr">
        <is>
          <t>Accrington Stanley</t>
        </is>
      </c>
      <c r="C7" s="8" t="inlineStr">
        <is>
          <t>Home</t>
        </is>
      </c>
      <c r="D7" s="8" t="n">
        <v>2</v>
      </c>
      <c r="E7" s="8" t="n">
        <v>1</v>
      </c>
      <c r="F7" s="10" t="n">
        <v>2.02</v>
      </c>
      <c r="G7" s="10" t="n">
        <v>1.04</v>
      </c>
      <c r="H7" s="10" t="n">
        <v>2.41</v>
      </c>
      <c r="I7" s="10" t="n">
        <v>0.6899999999999999</v>
      </c>
      <c r="J7" s="10" t="n">
        <v>0.39</v>
      </c>
      <c r="K7" s="10" t="n">
        <v>-0.35</v>
      </c>
      <c r="L7" s="10" t="n">
        <v>0.13</v>
      </c>
      <c r="M7" s="10" t="n">
        <v>0.28</v>
      </c>
      <c r="N7" s="10" t="n">
        <v>0.5</v>
      </c>
      <c r="O7" s="10" t="n">
        <v>-0.83</v>
      </c>
      <c r="P7" s="10" t="n">
        <v>0.26</v>
      </c>
      <c r="Q7" s="10" t="n">
        <v>0.19</v>
      </c>
      <c r="R7" s="10">
        <f>(H7-I7)-(F7-G7)</f>
        <v/>
      </c>
      <c r="S7" s="10">
        <f>(H7+I7)-(F7+G7)</f>
        <v/>
      </c>
      <c r="T7" s="10" t="n">
        <v>2.42</v>
      </c>
      <c r="U7" s="10" t="n">
        <v>2.01</v>
      </c>
      <c r="V7" s="10" t="n">
        <v>0.41</v>
      </c>
      <c r="W7" s="10" t="n">
        <v>9.539999999999999</v>
      </c>
      <c r="X7" s="10" t="n">
        <v>10.24</v>
      </c>
    </row>
    <row r="8">
      <c r="A8" s="6" t="inlineStr">
        <is>
          <t>2026-09-19</t>
        </is>
      </c>
      <c r="B8" s="6" t="inlineStr">
        <is>
          <t>Fleetwood Town</t>
        </is>
      </c>
      <c r="C8" s="6" t="inlineStr">
        <is>
          <t>Home</t>
        </is>
      </c>
      <c r="D8" s="6" t="n">
        <v>3</v>
      </c>
      <c r="E8" s="6" t="n">
        <v>1</v>
      </c>
      <c r="F8" s="9" t="n">
        <v>1.88</v>
      </c>
      <c r="G8" s="9" t="n">
        <v>1.07</v>
      </c>
      <c r="H8" s="9" t="n">
        <v>2.55</v>
      </c>
      <c r="I8" s="9" t="n">
        <v>1.58</v>
      </c>
      <c r="J8" s="9" t="n">
        <v>0.67</v>
      </c>
      <c r="K8" s="9" t="n">
        <v>0.51</v>
      </c>
      <c r="L8" s="9" t="n">
        <v>0.21</v>
      </c>
      <c r="M8" s="9" t="n">
        <v>0.41</v>
      </c>
      <c r="N8" s="9" t="n">
        <v>0.28</v>
      </c>
      <c r="O8" s="9" t="n">
        <v>0.72</v>
      </c>
      <c r="P8" s="9" t="n">
        <v>0.27</v>
      </c>
      <c r="Q8" s="9" t="n">
        <v>0.28</v>
      </c>
      <c r="R8" s="9">
        <f>(H8-I8)-(F8-G8)</f>
        <v/>
      </c>
      <c r="S8" s="9">
        <f>(H8+I8)-(F8+G8)</f>
        <v/>
      </c>
      <c r="T8" s="9" t="n">
        <v>1.95</v>
      </c>
      <c r="U8" s="9" t="n">
        <v>1.91</v>
      </c>
      <c r="V8" s="9" t="n">
        <v>0.03</v>
      </c>
      <c r="W8" s="9" t="n">
        <v>11.48</v>
      </c>
      <c r="X8" s="9" t="n">
        <v>12.15</v>
      </c>
    </row>
    <row r="9">
      <c r="A9" s="8" t="inlineStr">
        <is>
          <t>2026-10-10</t>
        </is>
      </c>
      <c r="B9" s="8" t="inlineStr">
        <is>
          <t>Bristol Rvs</t>
        </is>
      </c>
      <c r="C9" s="8" t="inlineStr">
        <is>
          <t>Away</t>
        </is>
      </c>
      <c r="D9" s="8" t="n">
        <v>3</v>
      </c>
      <c r="E9" s="8" t="n">
        <v>1</v>
      </c>
      <c r="F9" s="10" t="n">
        <v>1.35</v>
      </c>
      <c r="G9" s="10" t="n">
        <v>1.57</v>
      </c>
      <c r="H9" s="10" t="n">
        <v>2.1</v>
      </c>
      <c r="I9" s="10" t="n">
        <v>2.03</v>
      </c>
      <c r="J9" s="10" t="n">
        <v>0.75</v>
      </c>
      <c r="K9" s="10" t="n">
        <v>0.46</v>
      </c>
      <c r="L9" s="10" t="n">
        <v>0.42</v>
      </c>
      <c r="M9" s="10" t="n">
        <v>0.36</v>
      </c>
      <c r="N9" s="10" t="n">
        <v>0.71</v>
      </c>
      <c r="O9" s="10" t="n">
        <v>0.39</v>
      </c>
      <c r="P9" s="10" t="n">
        <v>0.41</v>
      </c>
      <c r="Q9" s="10" t="n">
        <v>0.24</v>
      </c>
      <c r="R9" s="10">
        <f>(H9-I9)-(F9-G9)</f>
        <v/>
      </c>
      <c r="S9" s="10">
        <f>(H9+I9)-(F9+G9)</f>
        <v/>
      </c>
      <c r="T9" s="10" t="n">
        <v>1.44</v>
      </c>
      <c r="U9" s="10" t="n">
        <v>1.23</v>
      </c>
      <c r="V9" s="10" t="n">
        <v>0.2</v>
      </c>
      <c r="W9" s="10" t="n">
        <v>12.92</v>
      </c>
      <c r="X9" s="10" t="n">
        <v>13.38</v>
      </c>
    </row>
    <row r="11">
      <c r="A11" s="12"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2"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10</v>
      </c>
      <c r="D37" s="15" t="n">
        <v>5</v>
      </c>
      <c r="E37" s="19" t="n">
        <v>0.2</v>
      </c>
      <c r="F37" s="19" t="n">
        <v>0.31</v>
      </c>
      <c r="G37" s="19" t="n">
        <v>0.58</v>
      </c>
      <c r="H37" s="19" t="n">
        <v>0.59</v>
      </c>
    </row>
    <row r="38">
      <c r="A38" s="15" t="inlineStr">
        <is>
          <t>Away</t>
        </is>
      </c>
      <c r="B38" s="15" t="n">
        <v>4</v>
      </c>
      <c r="C38" s="15" t="n">
        <v>10</v>
      </c>
      <c r="D38" s="15" t="n">
        <v>6</v>
      </c>
      <c r="E38" s="19" t="n">
        <v>-0.32</v>
      </c>
      <c r="F38" s="19" t="n">
        <v>-0.16</v>
      </c>
      <c r="G38" s="19" t="n">
        <v>0.64</v>
      </c>
      <c r="H38" s="19" t="n">
        <v>0.71</v>
      </c>
    </row>
    <row r="39">
      <c r="A39" s="20" t="inlineStr">
        <is>
          <t>Total</t>
        </is>
      </c>
      <c r="B39" s="20" t="n">
        <v>8</v>
      </c>
      <c r="C39" s="20" t="n">
        <v>20</v>
      </c>
      <c r="D39" s="20" t="n">
        <v>11</v>
      </c>
      <c r="E39" s="21" t="n">
        <v>-0.06</v>
      </c>
      <c r="F39" s="21" t="n">
        <v>0.22</v>
      </c>
      <c r="G39" s="21" t="n">
        <v>0.61</v>
      </c>
      <c r="H39" s="21" t="n">
        <v>0.68</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York</t>
        </is>
      </c>
      <c r="C2" s="6" t="inlineStr">
        <is>
          <t>Away</t>
        </is>
      </c>
      <c r="D2" s="6" t="n">
        <v>2</v>
      </c>
      <c r="E2" s="6" t="n">
        <v>3</v>
      </c>
      <c r="F2" s="9" t="n">
        <v>1.09</v>
      </c>
      <c r="G2" s="9" t="n">
        <v>1.41</v>
      </c>
      <c r="H2" s="9" t="n">
        <v>1.83</v>
      </c>
      <c r="I2" s="9" t="n">
        <v>1.93</v>
      </c>
      <c r="J2" s="9" t="n">
        <v>0.74</v>
      </c>
      <c r="K2" s="9" t="n">
        <v>0.52</v>
      </c>
      <c r="L2" s="9" t="n">
        <v>0.74</v>
      </c>
      <c r="M2" s="9" t="n">
        <v>0.52</v>
      </c>
      <c r="N2" s="9" t="n">
        <v>0.86</v>
      </c>
      <c r="O2" s="9" t="n">
        <v>0.2</v>
      </c>
      <c r="P2" s="9" t="n">
        <v>0.86</v>
      </c>
      <c r="Q2" s="9" t="n">
        <v>0.2</v>
      </c>
      <c r="R2" s="9">
        <f>(H2-I2)-(F2-G2)</f>
        <v/>
      </c>
      <c r="S2" s="9">
        <f>(H2+I2)-(F2+G2)</f>
        <v/>
      </c>
      <c r="T2" s="9" t="n">
        <v>1.33</v>
      </c>
      <c r="U2" s="9" t="n">
        <v>1.14</v>
      </c>
      <c r="V2" s="9" t="n">
        <v>0.19</v>
      </c>
      <c r="W2" s="9" t="n">
        <v>1.33</v>
      </c>
      <c r="X2" s="9" t="n">
        <v>1.14</v>
      </c>
    </row>
    <row r="3">
      <c r="A3" s="8" t="inlineStr">
        <is>
          <t>2026-08-22</t>
        </is>
      </c>
      <c r="B3" s="8" t="inlineStr">
        <is>
          <t>Newport County</t>
        </is>
      </c>
      <c r="C3" s="8" t="inlineStr">
        <is>
          <t>Home</t>
        </is>
      </c>
      <c r="D3" s="8" t="n">
        <v>5</v>
      </c>
      <c r="E3" s="8" t="n">
        <v>3</v>
      </c>
      <c r="F3" s="10" t="n">
        <v>1.83</v>
      </c>
      <c r="G3" s="10" t="n">
        <v>0.9399999999999999</v>
      </c>
      <c r="H3" s="10" t="n">
        <v>3.99</v>
      </c>
      <c r="I3" s="10" t="n">
        <v>0.66</v>
      </c>
      <c r="J3" s="10" t="n">
        <v>2.16</v>
      </c>
      <c r="K3" s="10" t="n">
        <v>-0.28</v>
      </c>
      <c r="L3" s="10" t="n">
        <v>1.45</v>
      </c>
      <c r="M3" s="10" t="n">
        <v>0.12</v>
      </c>
      <c r="N3" s="10" t="n">
        <v>2.8</v>
      </c>
      <c r="O3" s="10" t="n">
        <v>-0.29</v>
      </c>
      <c r="P3" s="10" t="n">
        <v>1.83</v>
      </c>
      <c r="Q3" s="10" t="n">
        <v>-0.05</v>
      </c>
      <c r="R3" s="10">
        <f>(H3-I3)-(F3-G3)</f>
        <v/>
      </c>
      <c r="S3" s="10">
        <f>(H3+I3)-(F3+G3)</f>
        <v/>
      </c>
      <c r="T3" s="10" t="n">
        <v>2.8</v>
      </c>
      <c r="U3" s="10" t="n">
        <v>1.98</v>
      </c>
      <c r="V3" s="10" t="n">
        <v>0.83</v>
      </c>
      <c r="W3" s="10" t="n">
        <v>4.14</v>
      </c>
      <c r="X3" s="10" t="n">
        <v>3.12</v>
      </c>
    </row>
    <row r="4">
      <c r="A4" s="6" t="inlineStr">
        <is>
          <t>2026-08-29</t>
        </is>
      </c>
      <c r="B4" s="6" t="inlineStr">
        <is>
          <t>Crawley Town</t>
        </is>
      </c>
      <c r="C4" s="6" t="inlineStr">
        <is>
          <t>Away</t>
        </is>
      </c>
      <c r="D4" s="6" t="n">
        <v>2</v>
      </c>
      <c r="E4" s="6" t="n">
        <v>0</v>
      </c>
      <c r="F4" s="9" t="n">
        <v>1.52</v>
      </c>
      <c r="G4" s="9" t="n">
        <v>1.14</v>
      </c>
      <c r="H4" s="9" t="n">
        <v>1.98</v>
      </c>
      <c r="I4" s="9" t="n">
        <v>0.72</v>
      </c>
      <c r="J4" s="9" t="n">
        <v>0.46</v>
      </c>
      <c r="K4" s="9" t="n">
        <v>-0.41</v>
      </c>
      <c r="L4" s="9" t="n">
        <v>1.12</v>
      </c>
      <c r="M4" s="9" t="n">
        <v>-0.06</v>
      </c>
      <c r="N4" s="9" t="n">
        <v>0.26</v>
      </c>
      <c r="O4" s="9" t="n">
        <v>-0.87</v>
      </c>
      <c r="P4" s="9" t="n">
        <v>1.3</v>
      </c>
      <c r="Q4" s="9" t="n">
        <v>-0.32</v>
      </c>
      <c r="R4" s="9">
        <f>(H4-I4)-(F4-G4)</f>
        <v/>
      </c>
      <c r="S4" s="9">
        <f>(H4+I4)-(F4+G4)</f>
        <v/>
      </c>
      <c r="T4" s="9" t="n">
        <v>2.21</v>
      </c>
      <c r="U4" s="9" t="n">
        <v>1.64</v>
      </c>
      <c r="V4" s="9" t="n">
        <v>0.58</v>
      </c>
      <c r="W4" s="9" t="n">
        <v>6.35</v>
      </c>
      <c r="X4" s="9" t="n">
        <v>4.75</v>
      </c>
    </row>
    <row r="5">
      <c r="A5" s="8" t="inlineStr">
        <is>
          <t>2026-09-01</t>
        </is>
      </c>
      <c r="B5" s="8" t="inlineStr">
        <is>
          <t>Colchester United</t>
        </is>
      </c>
      <c r="C5" s="8" t="inlineStr">
        <is>
          <t>Home</t>
        </is>
      </c>
      <c r="D5" s="8" t="n">
        <v>2</v>
      </c>
      <c r="E5" s="8" t="n">
        <v>0</v>
      </c>
      <c r="F5" s="10" t="n">
        <v>1.74</v>
      </c>
      <c r="G5" s="10" t="n">
        <v>1.09</v>
      </c>
      <c r="H5" s="10" t="n">
        <v>2.99</v>
      </c>
      <c r="I5" s="10" t="n">
        <v>0.86</v>
      </c>
      <c r="J5" s="10" t="n">
        <v>1.25</v>
      </c>
      <c r="K5" s="10" t="n">
        <v>-0.23</v>
      </c>
      <c r="L5" s="10" t="n">
        <v>1.15</v>
      </c>
      <c r="M5" s="10" t="n">
        <v>-0.1</v>
      </c>
      <c r="N5" s="10" t="n">
        <v>1.15</v>
      </c>
      <c r="O5" s="10" t="n">
        <v>-0.06</v>
      </c>
      <c r="P5" s="10" t="n">
        <v>1.27</v>
      </c>
      <c r="Q5" s="10" t="n">
        <v>-0.25</v>
      </c>
      <c r="R5" s="10">
        <f>(H5-I5)-(F5-G5)</f>
        <v/>
      </c>
      <c r="S5" s="10">
        <f>(H5+I5)-(F5+G5)</f>
        <v/>
      </c>
      <c r="T5" s="10" t="n">
        <v>2.52</v>
      </c>
      <c r="U5" s="10" t="n">
        <v>1.82</v>
      </c>
      <c r="V5" s="10" t="n">
        <v>0.7</v>
      </c>
      <c r="W5" s="10" t="n">
        <v>8.869999999999999</v>
      </c>
      <c r="X5" s="10" t="n">
        <v>6.57</v>
      </c>
    </row>
    <row r="6">
      <c r="A6" s="6" t="inlineStr">
        <is>
          <t>2026-09-05</t>
        </is>
      </c>
      <c r="B6" s="6" t="inlineStr">
        <is>
          <t>Rotherham United</t>
        </is>
      </c>
      <c r="C6" s="6" t="inlineStr">
        <is>
          <t>Home</t>
        </is>
      </c>
      <c r="D6" s="6" t="n">
        <v>1</v>
      </c>
      <c r="E6" s="6" t="n">
        <v>0</v>
      </c>
      <c r="F6" s="9" t="n">
        <v>1.91</v>
      </c>
      <c r="G6" s="9" t="n">
        <v>1.13</v>
      </c>
      <c r="H6" s="9" t="n">
        <v>0.84</v>
      </c>
      <c r="I6" s="9" t="n">
        <v>0.63</v>
      </c>
      <c r="J6" s="9" t="n">
        <v>-1.07</v>
      </c>
      <c r="K6" s="9" t="n">
        <v>-0.5</v>
      </c>
      <c r="L6" s="9" t="n">
        <v>0.71</v>
      </c>
      <c r="M6" s="9" t="n">
        <v>-0.18</v>
      </c>
      <c r="N6" s="9" t="n">
        <v>-1.04</v>
      </c>
      <c r="O6" s="9" t="n">
        <v>-0.75</v>
      </c>
      <c r="P6" s="9" t="n">
        <v>0.8</v>
      </c>
      <c r="Q6" s="9" t="n">
        <v>-0.35</v>
      </c>
      <c r="R6" s="9">
        <f>(H6-I6)-(F6-G6)</f>
        <v/>
      </c>
      <c r="S6" s="9">
        <f>(H6+I6)-(F6+G6)</f>
        <v/>
      </c>
      <c r="T6" s="9" t="n">
        <v>1.5</v>
      </c>
      <c r="U6" s="9" t="n">
        <v>1.89</v>
      </c>
      <c r="V6" s="9" t="n">
        <v>-0.39</v>
      </c>
      <c r="W6" s="9" t="n">
        <v>10.38</v>
      </c>
      <c r="X6" s="9" t="n">
        <v>8.460000000000001</v>
      </c>
    </row>
    <row r="7">
      <c r="A7" s="8" t="inlineStr">
        <is>
          <t>2026-09-12</t>
        </is>
      </c>
      <c r="B7" s="8" t="inlineStr">
        <is>
          <t>Grimsby Town</t>
        </is>
      </c>
      <c r="C7" s="8" t="inlineStr">
        <is>
          <t>Away</t>
        </is>
      </c>
      <c r="D7" s="8" t="n">
        <v>0</v>
      </c>
      <c r="E7" s="8" t="n">
        <v>2</v>
      </c>
      <c r="F7" s="10" t="n">
        <v>1.34</v>
      </c>
      <c r="G7" s="10" t="n">
        <v>1.52</v>
      </c>
      <c r="H7" s="10" t="n">
        <v>0.11</v>
      </c>
      <c r="I7" s="10" t="n">
        <v>1.44</v>
      </c>
      <c r="J7" s="10" t="n">
        <v>-1.23</v>
      </c>
      <c r="K7" s="10" t="n">
        <v>-0.08</v>
      </c>
      <c r="L7" s="10" t="n">
        <v>0.38</v>
      </c>
      <c r="M7" s="10" t="n">
        <v>-0.16</v>
      </c>
      <c r="N7" s="10" t="n">
        <v>-1.69</v>
      </c>
      <c r="O7" s="10" t="n">
        <v>-0.38</v>
      </c>
      <c r="P7" s="10" t="n">
        <v>0.39</v>
      </c>
      <c r="Q7" s="10" t="n">
        <v>-0.36</v>
      </c>
      <c r="R7" s="10">
        <f>(H7-I7)-(F7-G7)</f>
        <v/>
      </c>
      <c r="S7" s="10">
        <f>(H7+I7)-(F7+G7)</f>
        <v/>
      </c>
      <c r="T7" s="10" t="n">
        <v>0.33</v>
      </c>
      <c r="U7" s="10" t="n">
        <v>1.25</v>
      </c>
      <c r="V7" s="10" t="n">
        <v>-0.93</v>
      </c>
      <c r="W7" s="10" t="n">
        <v>10.7</v>
      </c>
      <c r="X7" s="10" t="n">
        <v>9.710000000000001</v>
      </c>
    </row>
    <row r="8">
      <c r="A8" s="6" t="inlineStr">
        <is>
          <t>2026-09-19</t>
        </is>
      </c>
      <c r="B8" s="6" t="inlineStr">
        <is>
          <t>Gillingham</t>
        </is>
      </c>
      <c r="C8" s="6" t="inlineStr">
        <is>
          <t>Away</t>
        </is>
      </c>
      <c r="D8" s="6" t="n">
        <v>0</v>
      </c>
      <c r="E8" s="6" t="n">
        <v>3</v>
      </c>
      <c r="F8" s="9" t="n">
        <v>1.63</v>
      </c>
      <c r="G8" s="9" t="n">
        <v>1.1</v>
      </c>
      <c r="H8" s="9" t="n">
        <v>0.51</v>
      </c>
      <c r="I8" s="9" t="n">
        <v>2.36</v>
      </c>
      <c r="J8" s="9" t="n">
        <v>-1.12</v>
      </c>
      <c r="K8" s="9" t="n">
        <v>1.26</v>
      </c>
      <c r="L8" s="9" t="n">
        <v>0.07000000000000001</v>
      </c>
      <c r="M8" s="9" t="n">
        <v>-0.04</v>
      </c>
      <c r="N8" s="9" t="n">
        <v>-1.14</v>
      </c>
      <c r="O8" s="9" t="n">
        <v>1.32</v>
      </c>
      <c r="P8" s="9" t="n">
        <v>0.05</v>
      </c>
      <c r="Q8" s="9" t="n">
        <v>-0.17</v>
      </c>
      <c r="R8" s="9">
        <f>(H8-I8)-(F8-G8)</f>
        <v/>
      </c>
      <c r="S8" s="9">
        <f>(H8+I8)-(F8+G8)</f>
        <v/>
      </c>
      <c r="T8" s="9" t="n">
        <v>0.34</v>
      </c>
      <c r="U8" s="9" t="n">
        <v>1.74</v>
      </c>
      <c r="V8" s="9" t="n">
        <v>-1.4</v>
      </c>
      <c r="W8" s="9" t="n">
        <v>11.04</v>
      </c>
      <c r="X8" s="9" t="n">
        <v>11.45</v>
      </c>
    </row>
    <row r="9">
      <c r="A9" s="8" t="inlineStr">
        <is>
          <t>2026-09-26</t>
        </is>
      </c>
      <c r="B9" s="8" t="inlineStr">
        <is>
          <t>Exeter</t>
        </is>
      </c>
      <c r="C9" s="8" t="inlineStr">
        <is>
          <t>Home</t>
        </is>
      </c>
      <c r="D9" s="8" t="n">
        <v>1</v>
      </c>
      <c r="E9" s="8" t="n">
        <v>0</v>
      </c>
      <c r="F9" s="10" t="n">
        <v>1.78</v>
      </c>
      <c r="G9" s="10" t="n">
        <v>1</v>
      </c>
      <c r="H9" s="10" t="n">
        <v>2.02</v>
      </c>
      <c r="I9" s="10" t="n">
        <v>0.66</v>
      </c>
      <c r="J9" s="10" t="n">
        <v>0.24</v>
      </c>
      <c r="K9" s="10" t="n">
        <v>-0.34</v>
      </c>
      <c r="L9" s="10" t="n">
        <v>-0.24</v>
      </c>
      <c r="M9" s="10" t="n">
        <v>-0.05</v>
      </c>
      <c r="N9" s="10" t="n">
        <v>0.66</v>
      </c>
      <c r="O9" s="10" t="n">
        <v>-0.38</v>
      </c>
      <c r="P9" s="10" t="n">
        <v>-0.3</v>
      </c>
      <c r="Q9" s="10" t="n">
        <v>-0.18</v>
      </c>
      <c r="R9" s="10">
        <f>(H9-I9)-(F9-G9)</f>
        <v/>
      </c>
      <c r="S9" s="10">
        <f>(H9+I9)-(F9+G9)</f>
        <v/>
      </c>
      <c r="T9" s="10" t="n">
        <v>2.28</v>
      </c>
      <c r="U9" s="10" t="n">
        <v>1.9</v>
      </c>
      <c r="V9" s="10" t="n">
        <v>0.37</v>
      </c>
      <c r="W9" s="10" t="n">
        <v>13.31</v>
      </c>
      <c r="X9" s="10" t="n">
        <v>13.35</v>
      </c>
    </row>
    <row r="10">
      <c r="A10" s="6" t="inlineStr">
        <is>
          <t>2026-10-03</t>
        </is>
      </c>
      <c r="B10" s="6" t="inlineStr">
        <is>
          <t>Crewe Alexandra</t>
        </is>
      </c>
      <c r="C10" s="6" t="inlineStr">
        <is>
          <t>Away</t>
        </is>
      </c>
      <c r="D10" s="6" t="n">
        <v>1</v>
      </c>
      <c r="E10" s="6" t="n">
        <v>3</v>
      </c>
      <c r="F10" s="9" t="n">
        <v>1.53</v>
      </c>
      <c r="G10" s="9" t="n">
        <v>1.24</v>
      </c>
      <c r="H10" s="9" t="n">
        <v>0.79</v>
      </c>
      <c r="I10" s="9" t="n">
        <v>1.6</v>
      </c>
      <c r="J10" s="9" t="n">
        <v>-0.74</v>
      </c>
      <c r="K10" s="9" t="n">
        <v>0.36</v>
      </c>
      <c r="L10" s="9" t="n">
        <v>-0.45</v>
      </c>
      <c r="M10" s="9" t="n">
        <v>0.08</v>
      </c>
      <c r="N10" s="9" t="n">
        <v>-0.7</v>
      </c>
      <c r="O10" s="9" t="n">
        <v>0.6</v>
      </c>
      <c r="P10" s="9" t="n">
        <v>-0.46</v>
      </c>
      <c r="Q10" s="9" t="n">
        <v>0.06</v>
      </c>
      <c r="R10" s="9">
        <f>(H10-I10)-(F10-G10)</f>
        <v/>
      </c>
      <c r="S10" s="9">
        <f>(H10+I10)-(F10+G10)</f>
        <v/>
      </c>
      <c r="T10" s="9" t="n">
        <v>0.8</v>
      </c>
      <c r="U10" s="9" t="n">
        <v>1.57</v>
      </c>
      <c r="V10" s="9" t="n">
        <v>-0.77</v>
      </c>
      <c r="W10" s="9" t="n">
        <v>14.12</v>
      </c>
      <c r="X10" s="9" t="n">
        <v>14.93</v>
      </c>
    </row>
    <row r="11">
      <c r="A11" s="8" t="inlineStr">
        <is>
          <t>2026-10-10</t>
        </is>
      </c>
      <c r="B11" s="8" t="inlineStr">
        <is>
          <t>Barnet</t>
        </is>
      </c>
      <c r="C11" s="8" t="inlineStr">
        <is>
          <t>Home</t>
        </is>
      </c>
      <c r="D11" s="8" t="n">
        <v>1</v>
      </c>
      <c r="E11" s="8" t="n">
        <v>3</v>
      </c>
      <c r="F11" s="10" t="n">
        <v>1.57</v>
      </c>
      <c r="G11" s="10" t="n">
        <v>1.35</v>
      </c>
      <c r="H11" s="10" t="n">
        <v>2.03</v>
      </c>
      <c r="I11" s="10" t="n">
        <v>2.1</v>
      </c>
      <c r="J11" s="10" t="n">
        <v>0.46</v>
      </c>
      <c r="K11" s="10" t="n">
        <v>0.75</v>
      </c>
      <c r="L11" s="10" t="n">
        <v>-0.58</v>
      </c>
      <c r="M11" s="10" t="n">
        <v>0.24</v>
      </c>
      <c r="N11" s="10" t="n">
        <v>0.14</v>
      </c>
      <c r="O11" s="10" t="n">
        <v>0.54</v>
      </c>
      <c r="P11" s="10" t="n">
        <v>-0.63</v>
      </c>
      <c r="Q11" s="10" t="n">
        <v>0.16</v>
      </c>
      <c r="R11" s="10">
        <f>(H11-I11)-(F11-G11)</f>
        <v/>
      </c>
      <c r="S11" s="10">
        <f>(H11+I11)-(F11+G11)</f>
        <v/>
      </c>
      <c r="T11" s="10" t="n">
        <v>1.36</v>
      </c>
      <c r="U11" s="10" t="n">
        <v>1.52</v>
      </c>
      <c r="V11" s="10" t="n">
        <v>-0.16</v>
      </c>
      <c r="W11" s="10" t="n">
        <v>15.47</v>
      </c>
      <c r="X11" s="10" t="n">
        <v>16.45</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10</v>
      </c>
      <c r="D39" s="15" t="n">
        <v>6</v>
      </c>
      <c r="E39" s="19" t="n">
        <v>0.73</v>
      </c>
      <c r="F39" s="19" t="n">
        <v>0.58</v>
      </c>
      <c r="G39" s="19" t="n">
        <v>0.49</v>
      </c>
      <c r="H39" s="19" t="n">
        <v>1.02</v>
      </c>
    </row>
    <row r="40">
      <c r="A40" s="15" t="inlineStr">
        <is>
          <t>Away</t>
        </is>
      </c>
      <c r="B40" s="15" t="n">
        <v>5</v>
      </c>
      <c r="C40" s="15" t="n">
        <v>5</v>
      </c>
      <c r="D40" s="15" t="n">
        <v>11</v>
      </c>
      <c r="E40" s="19" t="n">
        <v>-0.71</v>
      </c>
      <c r="F40" s="19" t="n">
        <v>-1.1</v>
      </c>
      <c r="G40" s="19" t="n">
        <v>-0.05</v>
      </c>
      <c r="H40" s="19" t="n">
        <v>0.05</v>
      </c>
    </row>
    <row r="41">
      <c r="A41" s="20" t="inlineStr">
        <is>
          <t>Total</t>
        </is>
      </c>
      <c r="B41" s="20" t="n">
        <v>10</v>
      </c>
      <c r="C41" s="20" t="n">
        <v>15</v>
      </c>
      <c r="D41" s="20" t="n">
        <v>17</v>
      </c>
      <c r="E41" s="21" t="n">
        <v>0.01</v>
      </c>
      <c r="F41" s="21" t="n">
        <v>-0.03</v>
      </c>
      <c r="G41" s="21" t="n">
        <v>0.22</v>
      </c>
      <c r="H41" s="21" t="n">
        <v>0.1</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Rotherham United</t>
        </is>
      </c>
      <c r="C2" s="6" t="inlineStr">
        <is>
          <t>Home</t>
        </is>
      </c>
      <c r="D2" s="6" t="n">
        <v>2</v>
      </c>
      <c r="E2" s="6" t="n">
        <v>1</v>
      </c>
      <c r="F2" s="9" t="n">
        <v>1.3</v>
      </c>
      <c r="G2" s="9" t="n">
        <v>1.36</v>
      </c>
      <c r="H2" s="9" t="n">
        <v>0.6</v>
      </c>
      <c r="I2" s="9" t="n">
        <v>2.2</v>
      </c>
      <c r="J2" s="9" t="n">
        <v>-0.7</v>
      </c>
      <c r="K2" s="9" t="n">
        <v>0.84</v>
      </c>
      <c r="L2" s="9" t="n">
        <v>-0.7</v>
      </c>
      <c r="M2" s="9" t="n">
        <v>0.84</v>
      </c>
      <c r="N2" s="9" t="n">
        <v>-0.63</v>
      </c>
      <c r="O2" s="9" t="n">
        <v>0.74</v>
      </c>
      <c r="P2" s="9" t="n">
        <v>-0.63</v>
      </c>
      <c r="Q2" s="9" t="n">
        <v>0.74</v>
      </c>
      <c r="R2" s="9">
        <f>(H2-I2)-(F2-G2)</f>
        <v/>
      </c>
      <c r="S2" s="9">
        <f>(H2+I2)-(F2+G2)</f>
        <v/>
      </c>
      <c r="T2" s="9" t="n">
        <v>0.43</v>
      </c>
      <c r="U2" s="9" t="n">
        <v>1.33</v>
      </c>
      <c r="V2" s="9" t="n">
        <v>-0.9</v>
      </c>
      <c r="W2" s="9" t="n">
        <v>0.43</v>
      </c>
      <c r="X2" s="9" t="n">
        <v>1.33</v>
      </c>
    </row>
    <row r="3">
      <c r="A3" s="8" t="inlineStr">
        <is>
          <t>2026-08-22</t>
        </is>
      </c>
      <c r="B3" s="8" t="inlineStr">
        <is>
          <t>Swindon Town</t>
        </is>
      </c>
      <c r="C3" s="8" t="inlineStr">
        <is>
          <t>Away</t>
        </is>
      </c>
      <c r="D3" s="8" t="n">
        <v>1</v>
      </c>
      <c r="E3" s="8" t="n">
        <v>2</v>
      </c>
      <c r="F3" s="10" t="n">
        <v>1.04</v>
      </c>
      <c r="G3" s="10" t="n">
        <v>1.74</v>
      </c>
      <c r="H3" s="10" t="n">
        <v>1.1</v>
      </c>
      <c r="I3" s="10" t="n">
        <v>1.04</v>
      </c>
      <c r="J3" s="10" t="n">
        <v>0.06</v>
      </c>
      <c r="K3" s="10" t="n">
        <v>-0.7</v>
      </c>
      <c r="L3" s="10" t="n">
        <v>-0.32</v>
      </c>
      <c r="M3" s="10" t="n">
        <v>0.07000000000000001</v>
      </c>
      <c r="N3" s="10" t="n">
        <v>0.02</v>
      </c>
      <c r="O3" s="10" t="n">
        <v>-0.5600000000000001</v>
      </c>
      <c r="P3" s="10" t="n">
        <v>-0.3</v>
      </c>
      <c r="Q3" s="10" t="n">
        <v>0.09</v>
      </c>
      <c r="R3" s="10">
        <f>(H3-I3)-(F3-G3)</f>
        <v/>
      </c>
      <c r="S3" s="10">
        <f>(H3+I3)-(F3+G3)</f>
        <v/>
      </c>
      <c r="T3" s="10" t="n">
        <v>1.4</v>
      </c>
      <c r="U3" s="10" t="n">
        <v>0.92</v>
      </c>
      <c r="V3" s="10" t="n">
        <v>0.48</v>
      </c>
      <c r="W3" s="10" t="n">
        <v>1.83</v>
      </c>
      <c r="X3" s="10" t="n">
        <v>2.24</v>
      </c>
    </row>
    <row r="4">
      <c r="A4" s="6" t="inlineStr">
        <is>
          <t>2026-08-29</t>
        </is>
      </c>
      <c r="B4" s="6" t="inlineStr">
        <is>
          <t>Barnet</t>
        </is>
      </c>
      <c r="C4" s="6" t="inlineStr">
        <is>
          <t>Away</t>
        </is>
      </c>
      <c r="D4" s="6" t="n">
        <v>2</v>
      </c>
      <c r="E4" s="6" t="n">
        <v>2</v>
      </c>
      <c r="F4" s="9" t="n">
        <v>0.92</v>
      </c>
      <c r="G4" s="9" t="n">
        <v>1.86</v>
      </c>
      <c r="H4" s="9" t="n">
        <v>1.78</v>
      </c>
      <c r="I4" s="9" t="n">
        <v>2.15</v>
      </c>
      <c r="J4" s="9" t="n">
        <v>0.86</v>
      </c>
      <c r="K4" s="9" t="n">
        <v>0.29</v>
      </c>
      <c r="L4" s="9" t="n">
        <v>0.07000000000000001</v>
      </c>
      <c r="M4" s="9" t="n">
        <v>0.14</v>
      </c>
      <c r="N4" s="9" t="n">
        <v>0.6</v>
      </c>
      <c r="O4" s="9" t="n">
        <v>0.02</v>
      </c>
      <c r="P4" s="9" t="n">
        <v>-0</v>
      </c>
      <c r="Q4" s="9" t="n">
        <v>0.07000000000000001</v>
      </c>
      <c r="R4" s="9">
        <f>(H4-I4)-(F4-G4)</f>
        <v/>
      </c>
      <c r="S4" s="9">
        <f>(H4+I4)-(F4+G4)</f>
        <v/>
      </c>
      <c r="T4" s="9" t="n">
        <v>1.18</v>
      </c>
      <c r="U4" s="9" t="n">
        <v>0.77</v>
      </c>
      <c r="V4" s="9" t="n">
        <v>0.41</v>
      </c>
      <c r="W4" s="9" t="n">
        <v>3.01</v>
      </c>
      <c r="X4" s="9" t="n">
        <v>3.02</v>
      </c>
    </row>
    <row r="5">
      <c r="A5" s="8" t="inlineStr">
        <is>
          <t>2026-09-01</t>
        </is>
      </c>
      <c r="B5" s="8" t="inlineStr">
        <is>
          <t>York</t>
        </is>
      </c>
      <c r="C5" s="8" t="inlineStr">
        <is>
          <t>Home</t>
        </is>
      </c>
      <c r="D5" s="8" t="n">
        <v>3</v>
      </c>
      <c r="E5" s="8" t="n">
        <v>2</v>
      </c>
      <c r="F5" s="10" t="n">
        <v>1.1</v>
      </c>
      <c r="G5" s="10" t="n">
        <v>1.7</v>
      </c>
      <c r="H5" s="10" t="n">
        <v>1.36</v>
      </c>
      <c r="I5" s="10" t="n">
        <v>2.59</v>
      </c>
      <c r="J5" s="10" t="n">
        <v>0.26</v>
      </c>
      <c r="K5" s="10" t="n">
        <v>0.89</v>
      </c>
      <c r="L5" s="10" t="n">
        <v>0.12</v>
      </c>
      <c r="M5" s="10" t="n">
        <v>0.33</v>
      </c>
      <c r="N5" s="10" t="n">
        <v>0.32</v>
      </c>
      <c r="O5" s="10" t="n">
        <v>0.62</v>
      </c>
      <c r="P5" s="10" t="n">
        <v>0.08</v>
      </c>
      <c r="Q5" s="10" t="n">
        <v>0.2</v>
      </c>
      <c r="R5" s="10">
        <f>(H5-I5)-(F5-G5)</f>
        <v/>
      </c>
      <c r="S5" s="10">
        <f>(H5+I5)-(F5+G5)</f>
        <v/>
      </c>
      <c r="T5" s="10" t="n">
        <v>0.73</v>
      </c>
      <c r="U5" s="10" t="n">
        <v>0.98</v>
      </c>
      <c r="V5" s="10" t="n">
        <v>-0.25</v>
      </c>
      <c r="W5" s="10" t="n">
        <v>3.74</v>
      </c>
      <c r="X5" s="10" t="n">
        <v>4</v>
      </c>
    </row>
    <row r="6">
      <c r="A6" s="6" t="inlineStr">
        <is>
          <t>2026-09-05</t>
        </is>
      </c>
      <c r="B6" s="6" t="inlineStr">
        <is>
          <t>Grimsby Town</t>
        </is>
      </c>
      <c r="C6" s="6" t="inlineStr">
        <is>
          <t>Home</t>
        </is>
      </c>
      <c r="D6" s="6" t="n">
        <v>2</v>
      </c>
      <c r="E6" s="6" t="n">
        <v>2</v>
      </c>
      <c r="F6" s="9" t="n">
        <v>1.17</v>
      </c>
      <c r="G6" s="9" t="n">
        <v>1.68</v>
      </c>
      <c r="H6" s="9" t="n">
        <v>1.29</v>
      </c>
      <c r="I6" s="9" t="n">
        <v>1.59</v>
      </c>
      <c r="J6" s="9" t="n">
        <v>0.12</v>
      </c>
      <c r="K6" s="9" t="n">
        <v>-0.08</v>
      </c>
      <c r="L6" s="9" t="n">
        <v>0.12</v>
      </c>
      <c r="M6" s="9" t="n">
        <v>0.25</v>
      </c>
      <c r="N6" s="9" t="n">
        <v>-0.18</v>
      </c>
      <c r="O6" s="9" t="n">
        <v>-0.38</v>
      </c>
      <c r="P6" s="9" t="n">
        <v>0.03</v>
      </c>
      <c r="Q6" s="9" t="n">
        <v>0.09</v>
      </c>
      <c r="R6" s="9">
        <f>(H6-I6)-(F6-G6)</f>
        <v/>
      </c>
      <c r="S6" s="9">
        <f>(H6+I6)-(F6+G6)</f>
        <v/>
      </c>
      <c r="T6" s="9" t="n">
        <v>1.18</v>
      </c>
      <c r="U6" s="9" t="n">
        <v>1.04</v>
      </c>
      <c r="V6" s="9" t="n">
        <v>0.14</v>
      </c>
      <c r="W6" s="9" t="n">
        <v>4.92</v>
      </c>
      <c r="X6" s="9" t="n">
        <v>5.03</v>
      </c>
    </row>
    <row r="7">
      <c r="A7" s="8" t="inlineStr">
        <is>
          <t>2026-09-12</t>
        </is>
      </c>
      <c r="B7" s="8" t="inlineStr">
        <is>
          <t>Crawley Town</t>
        </is>
      </c>
      <c r="C7" s="8" t="inlineStr">
        <is>
          <t>Away</t>
        </is>
      </c>
      <c r="D7" s="8" t="n">
        <v>3</v>
      </c>
      <c r="E7" s="8" t="n">
        <v>1</v>
      </c>
      <c r="F7" s="10" t="n">
        <v>1.41</v>
      </c>
      <c r="G7" s="10" t="n">
        <v>1.53</v>
      </c>
      <c r="H7" s="10" t="n">
        <v>1.9</v>
      </c>
      <c r="I7" s="10" t="n">
        <v>1.44</v>
      </c>
      <c r="J7" s="10" t="n">
        <v>0.49</v>
      </c>
      <c r="K7" s="10" t="n">
        <v>-0.09</v>
      </c>
      <c r="L7" s="10" t="n">
        <v>0.18</v>
      </c>
      <c r="M7" s="10" t="n">
        <v>0.19</v>
      </c>
      <c r="N7" s="10" t="n">
        <v>0.29</v>
      </c>
      <c r="O7" s="10" t="n">
        <v>-0.49</v>
      </c>
      <c r="P7" s="10" t="n">
        <v>0.07000000000000001</v>
      </c>
      <c r="Q7" s="10" t="n">
        <v>-0.01</v>
      </c>
      <c r="R7" s="10">
        <f>(H7-I7)-(F7-G7)</f>
        <v/>
      </c>
      <c r="S7" s="10">
        <f>(H7+I7)-(F7+G7)</f>
        <v/>
      </c>
      <c r="T7" s="10" t="n">
        <v>1.68</v>
      </c>
      <c r="U7" s="10" t="n">
        <v>1.3</v>
      </c>
      <c r="V7" s="10" t="n">
        <v>0.38</v>
      </c>
      <c r="W7" s="10" t="n">
        <v>6.59</v>
      </c>
      <c r="X7" s="10" t="n">
        <v>6.33</v>
      </c>
    </row>
    <row r="8">
      <c r="A8" s="6" t="inlineStr">
        <is>
          <t>2026-09-19</t>
        </is>
      </c>
      <c r="B8" s="6" t="inlineStr">
        <is>
          <t>Colchester United</t>
        </is>
      </c>
      <c r="C8" s="6" t="inlineStr">
        <is>
          <t>Away</t>
        </is>
      </c>
      <c r="D8" s="6" t="n">
        <v>1</v>
      </c>
      <c r="E8" s="6" t="n">
        <v>1</v>
      </c>
      <c r="F8" s="9" t="n">
        <v>1.13</v>
      </c>
      <c r="G8" s="9" t="n">
        <v>1.7</v>
      </c>
      <c r="H8" s="9" t="n">
        <v>1.53</v>
      </c>
      <c r="I8" s="9" t="n">
        <v>0.87</v>
      </c>
      <c r="J8" s="9" t="n">
        <v>0.4</v>
      </c>
      <c r="K8" s="9" t="n">
        <v>-0.83</v>
      </c>
      <c r="L8" s="9" t="n">
        <v>0.36</v>
      </c>
      <c r="M8" s="9" t="n">
        <v>-0.09</v>
      </c>
      <c r="N8" s="9" t="n">
        <v>0.19</v>
      </c>
      <c r="O8" s="9" t="n">
        <v>-0.74</v>
      </c>
      <c r="P8" s="9" t="n">
        <v>0.21</v>
      </c>
      <c r="Q8" s="9" t="n">
        <v>-0.25</v>
      </c>
      <c r="R8" s="9">
        <f>(H8-I8)-(F8-G8)</f>
        <v/>
      </c>
      <c r="S8" s="9">
        <f>(H8+I8)-(F8+G8)</f>
        <v/>
      </c>
      <c r="T8" s="9" t="n">
        <v>1.84</v>
      </c>
      <c r="U8" s="9" t="n">
        <v>1</v>
      </c>
      <c r="V8" s="9" t="n">
        <v>0.84</v>
      </c>
      <c r="W8" s="9" t="n">
        <v>8.44</v>
      </c>
      <c r="X8" s="9" t="n">
        <v>7.34</v>
      </c>
    </row>
    <row r="9">
      <c r="A9" s="8" t="inlineStr">
        <is>
          <t>2026-09-26</t>
        </is>
      </c>
      <c r="B9" s="8" t="inlineStr">
        <is>
          <t>Chesterfield</t>
        </is>
      </c>
      <c r="C9" s="8" t="inlineStr">
        <is>
          <t>Home</t>
        </is>
      </c>
      <c r="D9" s="8" t="n">
        <v>2</v>
      </c>
      <c r="E9" s="8" t="n">
        <v>1</v>
      </c>
      <c r="F9" s="10" t="n">
        <v>1.32</v>
      </c>
      <c r="G9" s="10" t="n">
        <v>1.62</v>
      </c>
      <c r="H9" s="10" t="n">
        <v>0.91</v>
      </c>
      <c r="I9" s="10" t="n">
        <v>2.62</v>
      </c>
      <c r="J9" s="10" t="n">
        <v>-0.41</v>
      </c>
      <c r="K9" s="10" t="n">
        <v>1</v>
      </c>
      <c r="L9" s="10" t="n">
        <v>0.29</v>
      </c>
      <c r="M9" s="10" t="n">
        <v>0.2</v>
      </c>
      <c r="N9" s="10" t="n">
        <v>-0.47</v>
      </c>
      <c r="O9" s="10" t="n">
        <v>0.44</v>
      </c>
      <c r="P9" s="10" t="n">
        <v>0.12</v>
      </c>
      <c r="Q9" s="10" t="n">
        <v>-0.09</v>
      </c>
      <c r="R9" s="10">
        <f>(H9-I9)-(F9-G9)</f>
        <v/>
      </c>
      <c r="S9" s="10">
        <f>(H9+I9)-(F9+G9)</f>
        <v/>
      </c>
      <c r="T9" s="10" t="n">
        <v>0.47</v>
      </c>
      <c r="U9" s="10" t="n">
        <v>1.18</v>
      </c>
      <c r="V9" s="10" t="n">
        <v>-0.7</v>
      </c>
      <c r="W9" s="10" t="n">
        <v>8.91</v>
      </c>
      <c r="X9" s="10" t="n">
        <v>8.52</v>
      </c>
    </row>
    <row r="10">
      <c r="A10" s="6" t="inlineStr">
        <is>
          <t>2026-10-03</t>
        </is>
      </c>
      <c r="B10" s="6" t="inlineStr">
        <is>
          <t>Accrington Stanley</t>
        </is>
      </c>
      <c r="C10" s="6" t="inlineStr">
        <is>
          <t>Away</t>
        </is>
      </c>
      <c r="D10" s="6" t="n">
        <v>0</v>
      </c>
      <c r="E10" s="6" t="n">
        <v>2</v>
      </c>
      <c r="F10" s="9" t="n">
        <v>1.29</v>
      </c>
      <c r="G10" s="9" t="n">
        <v>1.54</v>
      </c>
      <c r="H10" s="9" t="n">
        <v>0.34</v>
      </c>
      <c r="I10" s="9" t="n">
        <v>2.59</v>
      </c>
      <c r="J10" s="9" t="n">
        <v>-0.95</v>
      </c>
      <c r="K10" s="9" t="n">
        <v>1.05</v>
      </c>
      <c r="L10" s="9" t="n">
        <v>-0.02</v>
      </c>
      <c r="M10" s="9" t="n">
        <v>0.32</v>
      </c>
      <c r="N10" s="9" t="n">
        <v>-0.98</v>
      </c>
      <c r="O10" s="9" t="n">
        <v>0.73</v>
      </c>
      <c r="P10" s="9" t="n">
        <v>-0.14</v>
      </c>
      <c r="Q10" s="9" t="n">
        <v>0.03</v>
      </c>
      <c r="R10" s="9">
        <f>(H10-I10)-(F10-G10)</f>
        <v/>
      </c>
      <c r="S10" s="9">
        <f>(H10+I10)-(F10+G10)</f>
        <v/>
      </c>
      <c r="T10" s="9" t="n">
        <v>0.21</v>
      </c>
      <c r="U10" s="9" t="n">
        <v>1.21</v>
      </c>
      <c r="V10" s="9" t="n">
        <v>-1</v>
      </c>
      <c r="W10" s="9" t="n">
        <v>9.119999999999999</v>
      </c>
      <c r="X10" s="9" t="n">
        <v>9.720000000000001</v>
      </c>
    </row>
    <row r="11">
      <c r="A11" s="8" t="inlineStr">
        <is>
          <t>2026-10-10</t>
        </is>
      </c>
      <c r="B11" s="8" t="inlineStr">
        <is>
          <t>Salford City</t>
        </is>
      </c>
      <c r="C11" s="8" t="inlineStr">
        <is>
          <t>Home</t>
        </is>
      </c>
      <c r="D11" s="8" t="n">
        <v>0</v>
      </c>
      <c r="E11" s="8" t="n">
        <v>2</v>
      </c>
      <c r="F11" s="10" t="n">
        <v>1.14</v>
      </c>
      <c r="G11" s="10" t="n">
        <v>1.77</v>
      </c>
      <c r="H11" s="10" t="n">
        <v>0.25</v>
      </c>
      <c r="I11" s="10" t="n">
        <v>1.11</v>
      </c>
      <c r="J11" s="10" t="n">
        <v>-0.89</v>
      </c>
      <c r="K11" s="10" t="n">
        <v>-0.66</v>
      </c>
      <c r="L11" s="10" t="n">
        <v>-0.21</v>
      </c>
      <c r="M11" s="10" t="n">
        <v>0.07000000000000001</v>
      </c>
      <c r="N11" s="10" t="n">
        <v>-0.96</v>
      </c>
      <c r="O11" s="10" t="n">
        <v>-0.28</v>
      </c>
      <c r="P11" s="10" t="n">
        <v>-0.35</v>
      </c>
      <c r="Q11" s="10" t="n">
        <v>-0.12</v>
      </c>
      <c r="R11" s="10">
        <f>(H11-I11)-(F11-G11)</f>
        <v/>
      </c>
      <c r="S11" s="10">
        <f>(H11+I11)-(F11+G11)</f>
        <v/>
      </c>
      <c r="T11" s="10" t="n">
        <v>0.58</v>
      </c>
      <c r="U11" s="10" t="n">
        <v>0.96</v>
      </c>
      <c r="V11" s="10" t="n">
        <v>-0.38</v>
      </c>
      <c r="W11" s="10" t="n">
        <v>9.699999999999999</v>
      </c>
      <c r="X11" s="10" t="n">
        <v>10.69</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9</v>
      </c>
      <c r="D39" s="15" t="n">
        <v>8</v>
      </c>
      <c r="E39" s="19" t="n">
        <v>-0.72</v>
      </c>
      <c r="F39" s="19" t="n">
        <v>-0.63</v>
      </c>
      <c r="G39" s="19" t="n">
        <v>0.07000000000000001</v>
      </c>
      <c r="H39" s="19" t="n">
        <v>0.14</v>
      </c>
    </row>
    <row r="40">
      <c r="A40" s="15" t="inlineStr">
        <is>
          <t>Away</t>
        </is>
      </c>
      <c r="B40" s="15" t="n">
        <v>5</v>
      </c>
      <c r="C40" s="15" t="n">
        <v>7</v>
      </c>
      <c r="D40" s="15" t="n">
        <v>8</v>
      </c>
      <c r="E40" s="19" t="n">
        <v>0.23</v>
      </c>
      <c r="F40" s="19" t="n">
        <v>0.57</v>
      </c>
      <c r="G40" s="19" t="n">
        <v>0.12</v>
      </c>
      <c r="H40" s="19" t="n">
        <v>0.1</v>
      </c>
    </row>
    <row r="41">
      <c r="A41" s="20" t="inlineStr">
        <is>
          <t>Total</t>
        </is>
      </c>
      <c r="B41" s="20" t="n">
        <v>10</v>
      </c>
      <c r="C41" s="20" t="n">
        <v>16</v>
      </c>
      <c r="D41" s="20" t="n">
        <v>16</v>
      </c>
      <c r="E41" s="21" t="n">
        <v>-0.25</v>
      </c>
      <c r="F41" s="21" t="n">
        <v>-0.01</v>
      </c>
      <c r="G41" s="21" t="n">
        <v>0.1</v>
      </c>
      <c r="H41" s="21" t="n">
        <v>0.12</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Fleetwood Town</t>
        </is>
      </c>
      <c r="C2" s="6" t="inlineStr">
        <is>
          <t>Home</t>
        </is>
      </c>
      <c r="D2" s="6" t="n">
        <v>0</v>
      </c>
      <c r="E2" s="6" t="n">
        <v>1</v>
      </c>
      <c r="F2" s="9" t="n">
        <v>1.63</v>
      </c>
      <c r="G2" s="9" t="n">
        <v>0.95</v>
      </c>
      <c r="H2" s="9" t="n">
        <v>2.17</v>
      </c>
      <c r="I2" s="9" t="n">
        <v>1.11</v>
      </c>
      <c r="J2" s="9" t="n">
        <v>0.54</v>
      </c>
      <c r="K2" s="9" t="n">
        <v>0.16</v>
      </c>
      <c r="L2" s="9" t="n">
        <v>0.54</v>
      </c>
      <c r="M2" s="9" t="n">
        <v>0.16</v>
      </c>
      <c r="N2" s="9" t="n">
        <v>0.13</v>
      </c>
      <c r="O2" s="9" t="n">
        <v>0.32</v>
      </c>
      <c r="P2" s="9" t="n">
        <v>0.13</v>
      </c>
      <c r="Q2" s="9" t="n">
        <v>0.32</v>
      </c>
      <c r="R2" s="9">
        <f>(H2-I2)-(F2-G2)</f>
        <v/>
      </c>
      <c r="S2" s="9">
        <f>(H2+I2)-(F2+G2)</f>
        <v/>
      </c>
      <c r="T2" s="9" t="n">
        <v>2.04</v>
      </c>
      <c r="U2" s="9" t="n">
        <v>1.85</v>
      </c>
      <c r="V2" s="9" t="n">
        <v>0.2</v>
      </c>
      <c r="W2" s="9" t="n">
        <v>2.04</v>
      </c>
      <c r="X2" s="9" t="n">
        <v>1.85</v>
      </c>
    </row>
    <row r="3">
      <c r="A3" s="8" t="inlineStr">
        <is>
          <t>2026-08-22</t>
        </is>
      </c>
      <c r="B3" s="8" t="inlineStr">
        <is>
          <t>Salford City</t>
        </is>
      </c>
      <c r="C3" s="8" t="inlineStr">
        <is>
          <t>Away</t>
        </is>
      </c>
      <c r="D3" s="8" t="n">
        <v>1</v>
      </c>
      <c r="E3" s="8" t="n">
        <v>0</v>
      </c>
      <c r="F3" s="10" t="n">
        <v>1.02</v>
      </c>
      <c r="G3" s="10" t="n">
        <v>1.49</v>
      </c>
      <c r="H3" s="10" t="n">
        <v>2.27</v>
      </c>
      <c r="I3" s="10" t="n">
        <v>0.51</v>
      </c>
      <c r="J3" s="10" t="n">
        <v>1.25</v>
      </c>
      <c r="K3" s="10" t="n">
        <v>-0.98</v>
      </c>
      <c r="L3" s="10" t="n">
        <v>0.89</v>
      </c>
      <c r="M3" s="10" t="n">
        <v>-0.41</v>
      </c>
      <c r="N3" s="10" t="n">
        <v>1.42</v>
      </c>
      <c r="O3" s="10" t="n">
        <v>-0.64</v>
      </c>
      <c r="P3" s="10" t="n">
        <v>0.77</v>
      </c>
      <c r="Q3" s="10" t="n">
        <v>-0.16</v>
      </c>
      <c r="R3" s="10">
        <f>(H3-I3)-(F3-G3)</f>
        <v/>
      </c>
      <c r="S3" s="10">
        <f>(H3+I3)-(F3+G3)</f>
        <v/>
      </c>
      <c r="T3" s="10" t="n">
        <v>2.48</v>
      </c>
      <c r="U3" s="10" t="n">
        <v>1.04</v>
      </c>
      <c r="V3" s="10" t="n">
        <v>1.45</v>
      </c>
      <c r="W3" s="10" t="n">
        <v>4.53</v>
      </c>
      <c r="X3" s="10" t="n">
        <v>2.88</v>
      </c>
    </row>
    <row r="4">
      <c r="A4" s="6" t="inlineStr">
        <is>
          <t>2026-08-29</t>
        </is>
      </c>
      <c r="B4" s="6" t="inlineStr">
        <is>
          <t>Rotherham United</t>
        </is>
      </c>
      <c r="C4" s="6" t="inlineStr">
        <is>
          <t>Away</t>
        </is>
      </c>
      <c r="D4" s="6" t="n">
        <v>1</v>
      </c>
      <c r="E4" s="6" t="n">
        <v>2</v>
      </c>
      <c r="F4" s="9" t="n">
        <v>1.43</v>
      </c>
      <c r="G4" s="9" t="n">
        <v>1.2</v>
      </c>
      <c r="H4" s="9" t="n">
        <v>1.1</v>
      </c>
      <c r="I4" s="9" t="n">
        <v>2.95</v>
      </c>
      <c r="J4" s="9" t="n">
        <v>-0.32</v>
      </c>
      <c r="K4" s="9" t="n">
        <v>1.75</v>
      </c>
      <c r="L4" s="9" t="n">
        <v>0.49</v>
      </c>
      <c r="M4" s="9" t="n">
        <v>0.31</v>
      </c>
      <c r="N4" s="9" t="n">
        <v>-0.22</v>
      </c>
      <c r="O4" s="9" t="n">
        <v>1.75</v>
      </c>
      <c r="P4" s="9" t="n">
        <v>0.44</v>
      </c>
      <c r="Q4" s="9" t="n">
        <v>0.48</v>
      </c>
      <c r="R4" s="9">
        <f>(H4-I4)-(F4-G4)</f>
        <v/>
      </c>
      <c r="S4" s="9">
        <f>(H4+I4)-(F4+G4)</f>
        <v/>
      </c>
      <c r="T4" s="9" t="n">
        <v>0.47</v>
      </c>
      <c r="U4" s="9" t="n">
        <v>1.52</v>
      </c>
      <c r="V4" s="9" t="n">
        <v>-1.05</v>
      </c>
      <c r="W4" s="9" t="n">
        <v>5</v>
      </c>
      <c r="X4" s="9" t="n">
        <v>4.41</v>
      </c>
    </row>
    <row r="5">
      <c r="A5" s="8" t="inlineStr">
        <is>
          <t>2026-09-01</t>
        </is>
      </c>
      <c r="B5" s="8" t="inlineStr">
        <is>
          <t>Gillingham</t>
        </is>
      </c>
      <c r="C5" s="8" t="inlineStr">
        <is>
          <t>Home</t>
        </is>
      </c>
      <c r="D5" s="8" t="n">
        <v>1</v>
      </c>
      <c r="E5" s="8" t="n">
        <v>1</v>
      </c>
      <c r="F5" s="10" t="n">
        <v>1.79</v>
      </c>
      <c r="G5" s="10" t="n">
        <v>0.83</v>
      </c>
      <c r="H5" s="10" t="n">
        <v>2.05</v>
      </c>
      <c r="I5" s="10" t="n">
        <v>0.5600000000000001</v>
      </c>
      <c r="J5" s="10" t="n">
        <v>0.26</v>
      </c>
      <c r="K5" s="10" t="n">
        <v>-0.27</v>
      </c>
      <c r="L5" s="10" t="n">
        <v>0.43</v>
      </c>
      <c r="M5" s="10" t="n">
        <v>0.16</v>
      </c>
      <c r="N5" s="10" t="n">
        <v>0.4</v>
      </c>
      <c r="O5" s="10" t="n">
        <v>-0.38</v>
      </c>
      <c r="P5" s="10" t="n">
        <v>0.43</v>
      </c>
      <c r="Q5" s="10" t="n">
        <v>0.26</v>
      </c>
      <c r="R5" s="10">
        <f>(H5-I5)-(F5-G5)</f>
        <v/>
      </c>
      <c r="S5" s="10">
        <f>(H5+I5)-(F5+G5)</f>
        <v/>
      </c>
      <c r="T5" s="10" t="n">
        <v>2.36</v>
      </c>
      <c r="U5" s="10" t="n">
        <v>2.03</v>
      </c>
      <c r="V5" s="10" t="n">
        <v>0.33</v>
      </c>
      <c r="W5" s="10" t="n">
        <v>7.36</v>
      </c>
      <c r="X5" s="10" t="n">
        <v>6.43</v>
      </c>
    </row>
    <row r="6">
      <c r="A6" s="6" t="inlineStr">
        <is>
          <t>2026-09-05</t>
        </is>
      </c>
      <c r="B6" s="6" t="inlineStr">
        <is>
          <t>Barnet</t>
        </is>
      </c>
      <c r="C6" s="6" t="inlineStr">
        <is>
          <t>Home</t>
        </is>
      </c>
      <c r="D6" s="6" t="n">
        <v>3</v>
      </c>
      <c r="E6" s="6" t="n">
        <v>3</v>
      </c>
      <c r="F6" s="9" t="n">
        <v>1.59</v>
      </c>
      <c r="G6" s="9" t="n">
        <v>1.24</v>
      </c>
      <c r="H6" s="9" t="n">
        <v>2.41</v>
      </c>
      <c r="I6" s="9" t="n">
        <v>2.4</v>
      </c>
      <c r="J6" s="9" t="n">
        <v>0.82</v>
      </c>
      <c r="K6" s="9" t="n">
        <v>1.16</v>
      </c>
      <c r="L6" s="9" t="n">
        <v>0.51</v>
      </c>
      <c r="M6" s="9" t="n">
        <v>0.36</v>
      </c>
      <c r="N6" s="9" t="n">
        <v>0.55</v>
      </c>
      <c r="O6" s="9" t="n">
        <v>1.01</v>
      </c>
      <c r="P6" s="9" t="n">
        <v>0.46</v>
      </c>
      <c r="Q6" s="9" t="n">
        <v>0.41</v>
      </c>
      <c r="R6" s="9">
        <f>(H6-I6)-(F6-G6)</f>
        <v/>
      </c>
      <c r="S6" s="9">
        <f>(H6+I6)-(F6+G6)</f>
        <v/>
      </c>
      <c r="T6" s="9" t="n">
        <v>1.41</v>
      </c>
      <c r="U6" s="9" t="n">
        <v>1.61</v>
      </c>
      <c r="V6" s="9" t="n">
        <v>-0.2</v>
      </c>
      <c r="W6" s="9" t="n">
        <v>8.77</v>
      </c>
      <c r="X6" s="9" t="n">
        <v>8.050000000000001</v>
      </c>
    </row>
    <row r="7">
      <c r="A7" s="8" t="inlineStr">
        <is>
          <t>2026-09-12</t>
        </is>
      </c>
      <c r="B7" s="8" t="inlineStr">
        <is>
          <t>Oldham Athletic</t>
        </is>
      </c>
      <c r="C7" s="8" t="inlineStr">
        <is>
          <t>Away</t>
        </is>
      </c>
      <c r="D7" s="8" t="n">
        <v>2</v>
      </c>
      <c r="E7" s="8" t="n">
        <v>1</v>
      </c>
      <c r="F7" s="10" t="n">
        <v>1.17</v>
      </c>
      <c r="G7" s="10" t="n">
        <v>1.49</v>
      </c>
      <c r="H7" s="10" t="n">
        <v>2.24</v>
      </c>
      <c r="I7" s="10" t="n">
        <v>1.08</v>
      </c>
      <c r="J7" s="10" t="n">
        <v>1.07</v>
      </c>
      <c r="K7" s="10" t="n">
        <v>-0.41</v>
      </c>
      <c r="L7" s="10" t="n">
        <v>0.6</v>
      </c>
      <c r="M7" s="10" t="n">
        <v>0.23</v>
      </c>
      <c r="N7" s="10" t="n">
        <v>1.23</v>
      </c>
      <c r="O7" s="10" t="n">
        <v>-0.38</v>
      </c>
      <c r="P7" s="10" t="n">
        <v>0.58</v>
      </c>
      <c r="Q7" s="10" t="n">
        <v>0.28</v>
      </c>
      <c r="R7" s="10">
        <f>(H7-I7)-(F7-G7)</f>
        <v/>
      </c>
      <c r="S7" s="10">
        <f>(H7+I7)-(F7+G7)</f>
        <v/>
      </c>
      <c r="T7" s="10" t="n">
        <v>2.1</v>
      </c>
      <c r="U7" s="10" t="n">
        <v>1.15</v>
      </c>
      <c r="V7" s="10" t="n">
        <v>0.95</v>
      </c>
      <c r="W7" s="10" t="n">
        <v>10.87</v>
      </c>
      <c r="X7" s="10" t="n">
        <v>9.19</v>
      </c>
    </row>
    <row r="8">
      <c r="A8" s="6" t="inlineStr">
        <is>
          <t>2026-09-19</t>
        </is>
      </c>
      <c r="B8" s="6" t="inlineStr">
        <is>
          <t>York</t>
        </is>
      </c>
      <c r="C8" s="6" t="inlineStr">
        <is>
          <t>Home</t>
        </is>
      </c>
      <c r="D8" s="6" t="n">
        <v>2</v>
      </c>
      <c r="E8" s="6" t="n">
        <v>0</v>
      </c>
      <c r="F8" s="9" t="n">
        <v>1.5</v>
      </c>
      <c r="G8" s="9" t="n">
        <v>1.41</v>
      </c>
      <c r="H8" s="9" t="n">
        <v>2.11</v>
      </c>
      <c r="I8" s="9" t="n">
        <v>0.4</v>
      </c>
      <c r="J8" s="9" t="n">
        <v>0.61</v>
      </c>
      <c r="K8" s="9" t="n">
        <v>-1.01</v>
      </c>
      <c r="L8" s="9" t="n">
        <v>0.61</v>
      </c>
      <c r="M8" s="9" t="n">
        <v>0.04</v>
      </c>
      <c r="N8" s="9" t="n">
        <v>0.72</v>
      </c>
      <c r="O8" s="9" t="n">
        <v>-1.52</v>
      </c>
      <c r="P8" s="9" t="n">
        <v>0.68</v>
      </c>
      <c r="Q8" s="9" t="n">
        <v>-0.03</v>
      </c>
      <c r="R8" s="9">
        <f>(H8-I8)-(F8-G8)</f>
        <v/>
      </c>
      <c r="S8" s="9">
        <f>(H8+I8)-(F8+G8)</f>
        <v/>
      </c>
      <c r="T8" s="9" t="n">
        <v>2.49</v>
      </c>
      <c r="U8" s="9" t="n">
        <v>1.44</v>
      </c>
      <c r="V8" s="9" t="n">
        <v>1.05</v>
      </c>
      <c r="W8" s="9" t="n">
        <v>13.37</v>
      </c>
      <c r="X8" s="9" t="n">
        <v>10.63</v>
      </c>
    </row>
    <row r="9">
      <c r="A9" s="8" t="inlineStr">
        <is>
          <t>2026-09-26</t>
        </is>
      </c>
      <c r="B9" s="8" t="inlineStr">
        <is>
          <t>Cheltenham Town</t>
        </is>
      </c>
      <c r="C9" s="8" t="inlineStr">
        <is>
          <t>Away</t>
        </is>
      </c>
      <c r="D9" s="8" t="n">
        <v>1</v>
      </c>
      <c r="E9" s="8" t="n">
        <v>2</v>
      </c>
      <c r="F9" s="10" t="n">
        <v>1.62</v>
      </c>
      <c r="G9" s="10" t="n">
        <v>1.32</v>
      </c>
      <c r="H9" s="10" t="n">
        <v>2.62</v>
      </c>
      <c r="I9" s="10" t="n">
        <v>0.91</v>
      </c>
      <c r="J9" s="10" t="n">
        <v>1</v>
      </c>
      <c r="K9" s="10" t="n">
        <v>-0.41</v>
      </c>
      <c r="L9" s="10" t="n">
        <v>0.57</v>
      </c>
      <c r="M9" s="10" t="n">
        <v>0.13</v>
      </c>
      <c r="N9" s="10" t="n">
        <v>0.92</v>
      </c>
      <c r="O9" s="10" t="n">
        <v>-0.37</v>
      </c>
      <c r="P9" s="10" t="n">
        <v>0.6</v>
      </c>
      <c r="Q9" s="10" t="n">
        <v>0.02</v>
      </c>
      <c r="R9" s="10">
        <f>(H9-I9)-(F9-G9)</f>
        <v/>
      </c>
      <c r="S9" s="10">
        <f>(H9+I9)-(F9+G9)</f>
        <v/>
      </c>
      <c r="T9" s="10" t="n">
        <v>2.37</v>
      </c>
      <c r="U9" s="10" t="n">
        <v>1.58</v>
      </c>
      <c r="V9" s="10" t="n">
        <v>0.79</v>
      </c>
      <c r="W9" s="10" t="n">
        <v>15.74</v>
      </c>
      <c r="X9" s="10" t="n">
        <v>12.21</v>
      </c>
    </row>
    <row r="10">
      <c r="A10" s="6" t="inlineStr">
        <is>
          <t>2026-10-03</t>
        </is>
      </c>
      <c r="B10" s="6" t="inlineStr">
        <is>
          <t>Tranmere Rovers</t>
        </is>
      </c>
      <c r="C10" s="6" t="inlineStr">
        <is>
          <t>Home</t>
        </is>
      </c>
      <c r="D10" s="6" t="n">
        <v>4</v>
      </c>
      <c r="E10" s="6" t="n">
        <v>2</v>
      </c>
      <c r="F10" s="9" t="n">
        <v>1.91</v>
      </c>
      <c r="G10" s="9" t="n">
        <v>1.03</v>
      </c>
      <c r="H10" s="9" t="n">
        <v>3.13</v>
      </c>
      <c r="I10" s="9" t="n">
        <v>0.52</v>
      </c>
      <c r="J10" s="9" t="n">
        <v>1.22</v>
      </c>
      <c r="K10" s="9" t="n">
        <v>-0.51</v>
      </c>
      <c r="L10" s="9" t="n">
        <v>0.83</v>
      </c>
      <c r="M10" s="9" t="n">
        <v>-0.24</v>
      </c>
      <c r="N10" s="9" t="n">
        <v>1.17</v>
      </c>
      <c r="O10" s="9" t="n">
        <v>-0.52</v>
      </c>
      <c r="P10" s="9" t="n">
        <v>0.83</v>
      </c>
      <c r="Q10" s="9" t="n">
        <v>-0.36</v>
      </c>
      <c r="R10" s="9">
        <f>(H10-I10)-(F10-G10)</f>
        <v/>
      </c>
      <c r="S10" s="9">
        <f>(H10+I10)-(F10+G10)</f>
        <v/>
      </c>
      <c r="T10" s="9" t="n">
        <v>2.72</v>
      </c>
      <c r="U10" s="9" t="n">
        <v>1.96</v>
      </c>
      <c r="V10" s="9" t="n">
        <v>0.76</v>
      </c>
      <c r="W10" s="9" t="n">
        <v>18.45</v>
      </c>
      <c r="X10" s="9" t="n">
        <v>14.17</v>
      </c>
    </row>
    <row r="11">
      <c r="A11" s="8" t="inlineStr">
        <is>
          <t>2026-10-10</t>
        </is>
      </c>
      <c r="B11" s="8" t="inlineStr">
        <is>
          <t>Crawley Town</t>
        </is>
      </c>
      <c r="C11" s="8" t="inlineStr">
        <is>
          <t>Away</t>
        </is>
      </c>
      <c r="D11" s="8" t="n">
        <v>2</v>
      </c>
      <c r="E11" s="8" t="n">
        <v>2</v>
      </c>
      <c r="F11" s="10" t="n">
        <v>2.01</v>
      </c>
      <c r="G11" s="10" t="n">
        <v>1.11</v>
      </c>
      <c r="H11" s="10" t="n">
        <v>1.58</v>
      </c>
      <c r="I11" s="10" t="n">
        <v>1.79</v>
      </c>
      <c r="J11" s="10" t="n">
        <v>-0.43</v>
      </c>
      <c r="K11" s="10" t="n">
        <v>0.68</v>
      </c>
      <c r="L11" s="10" t="n">
        <v>0.71</v>
      </c>
      <c r="M11" s="10" t="n">
        <v>-0.08</v>
      </c>
      <c r="N11" s="10" t="n">
        <v>-0.76</v>
      </c>
      <c r="O11" s="10" t="n">
        <v>0.38</v>
      </c>
      <c r="P11" s="10" t="n">
        <v>0.64</v>
      </c>
      <c r="Q11" s="10" t="n">
        <v>-0.23</v>
      </c>
      <c r="R11" s="10">
        <f>(H11-I11)-(F11-G11)</f>
        <v/>
      </c>
      <c r="S11" s="10">
        <f>(H11+I11)-(F11+G11)</f>
        <v/>
      </c>
      <c r="T11" s="10" t="n">
        <v>1.26</v>
      </c>
      <c r="U11" s="10" t="n">
        <v>1.96</v>
      </c>
      <c r="V11" s="10" t="n">
        <v>-0.7</v>
      </c>
      <c r="W11" s="10" t="n">
        <v>19.71</v>
      </c>
      <c r="X11" s="10" t="n">
        <v>16.13</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10</v>
      </c>
      <c r="D39" s="15" t="n">
        <v>7</v>
      </c>
      <c r="E39" s="19" t="n">
        <v>0.79</v>
      </c>
      <c r="F39" s="19" t="n">
        <v>0.54</v>
      </c>
      <c r="G39" s="19" t="n">
        <v>0.59</v>
      </c>
      <c r="H39" s="19" t="n">
        <v>0.6899999999999999</v>
      </c>
    </row>
    <row r="40">
      <c r="A40" s="15" t="inlineStr">
        <is>
          <t>Away</t>
        </is>
      </c>
      <c r="B40" s="15" t="n">
        <v>5</v>
      </c>
      <c r="C40" s="15" t="n">
        <v>7</v>
      </c>
      <c r="D40" s="15" t="n">
        <v>7</v>
      </c>
      <c r="E40" s="19" t="n">
        <v>0.39</v>
      </c>
      <c r="F40" s="19" t="n">
        <v>1.41</v>
      </c>
      <c r="G40" s="19" t="n">
        <v>0.64</v>
      </c>
      <c r="H40" s="19" t="n">
        <v>0.59</v>
      </c>
    </row>
    <row r="41">
      <c r="A41" s="20" t="inlineStr">
        <is>
          <t>Total</t>
        </is>
      </c>
      <c r="B41" s="20" t="n">
        <v>10</v>
      </c>
      <c r="C41" s="20" t="n">
        <v>17</v>
      </c>
      <c r="D41" s="20" t="n">
        <v>14</v>
      </c>
      <c r="E41" s="21" t="n">
        <v>0.59</v>
      </c>
      <c r="F41" s="21" t="n">
        <v>0.97</v>
      </c>
      <c r="G41" s="21" t="n">
        <v>0.61</v>
      </c>
      <c r="H41" s="21" t="n">
        <v>0.62</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Accrington Stanley</t>
        </is>
      </c>
      <c r="C2" s="6" t="inlineStr">
        <is>
          <t>Away</t>
        </is>
      </c>
      <c r="D2" s="6" t="n">
        <v>2</v>
      </c>
      <c r="E2" s="6" t="n">
        <v>2</v>
      </c>
      <c r="F2" s="9" t="n">
        <v>1.19</v>
      </c>
      <c r="G2" s="9" t="n">
        <v>1.33</v>
      </c>
      <c r="H2" s="9" t="n">
        <v>0.74</v>
      </c>
      <c r="I2" s="9" t="n">
        <v>2.78</v>
      </c>
      <c r="J2" s="9" t="n">
        <v>-0.45</v>
      </c>
      <c r="K2" s="9" t="n">
        <v>1.45</v>
      </c>
      <c r="L2" s="9" t="n">
        <v>-0.45</v>
      </c>
      <c r="M2" s="9" t="n">
        <v>1.45</v>
      </c>
      <c r="N2" s="9" t="n">
        <v>-0.43</v>
      </c>
      <c r="O2" s="9" t="n">
        <v>1.17</v>
      </c>
      <c r="P2" s="9" t="n">
        <v>-0.43</v>
      </c>
      <c r="Q2" s="9" t="n">
        <v>1.17</v>
      </c>
      <c r="R2" s="9">
        <f>(H2-I2)-(F2-G2)</f>
        <v/>
      </c>
      <c r="S2" s="9">
        <f>(H2+I2)-(F2+G2)</f>
        <v/>
      </c>
      <c r="T2" s="9" t="n">
        <v>0.35</v>
      </c>
      <c r="U2" s="9" t="n">
        <v>1.26</v>
      </c>
      <c r="V2" s="9" t="n">
        <v>-0.92</v>
      </c>
      <c r="W2" s="9" t="n">
        <v>0.35</v>
      </c>
      <c r="X2" s="9" t="n">
        <v>1.26</v>
      </c>
    </row>
    <row r="3">
      <c r="A3" s="8" t="inlineStr">
        <is>
          <t>2026-08-22</t>
        </is>
      </c>
      <c r="B3" s="8" t="inlineStr">
        <is>
          <t>Oldham Athletic</t>
        </is>
      </c>
      <c r="C3" s="8" t="inlineStr">
        <is>
          <t>Home</t>
        </is>
      </c>
      <c r="D3" s="8" t="n">
        <v>2</v>
      </c>
      <c r="E3" s="8" t="n">
        <v>1</v>
      </c>
      <c r="F3" s="10" t="n">
        <v>1.38</v>
      </c>
      <c r="G3" s="10" t="n">
        <v>1.3</v>
      </c>
      <c r="H3" s="10" t="n">
        <v>2.37</v>
      </c>
      <c r="I3" s="10" t="n">
        <v>0.27</v>
      </c>
      <c r="J3" s="10" t="n">
        <v>0.99</v>
      </c>
      <c r="K3" s="10" t="n">
        <v>-1.03</v>
      </c>
      <c r="L3" s="10" t="n">
        <v>0.27</v>
      </c>
      <c r="M3" s="10" t="n">
        <v>0.21</v>
      </c>
      <c r="N3" s="10" t="n">
        <v>1.13</v>
      </c>
      <c r="O3" s="10" t="n">
        <v>-1.08</v>
      </c>
      <c r="P3" s="10" t="n">
        <v>0.35</v>
      </c>
      <c r="Q3" s="10" t="n">
        <v>0.05</v>
      </c>
      <c r="R3" s="10">
        <f>(H3-I3)-(F3-G3)</f>
        <v/>
      </c>
      <c r="S3" s="10">
        <f>(H3+I3)-(F3+G3)</f>
        <v/>
      </c>
      <c r="T3" s="10" t="n">
        <v>2.66</v>
      </c>
      <c r="U3" s="10" t="n">
        <v>1.43</v>
      </c>
      <c r="V3" s="10" t="n">
        <v>1.24</v>
      </c>
      <c r="W3" s="10" t="n">
        <v>3.01</v>
      </c>
      <c r="X3" s="10" t="n">
        <v>2.69</v>
      </c>
    </row>
    <row r="4">
      <c r="A4" s="6" t="inlineStr">
        <is>
          <t>2026-08-29</t>
        </is>
      </c>
      <c r="B4" s="6" t="inlineStr">
        <is>
          <t>Rochdale</t>
        </is>
      </c>
      <c r="C4" s="6" t="inlineStr">
        <is>
          <t>Home</t>
        </is>
      </c>
      <c r="D4" s="6" t="n">
        <v>1</v>
      </c>
      <c r="E4" s="6" t="n">
        <v>0</v>
      </c>
      <c r="F4" s="9" t="n">
        <v>1.43</v>
      </c>
      <c r="G4" s="9" t="n">
        <v>1.19</v>
      </c>
      <c r="H4" s="9" t="n">
        <v>1.12</v>
      </c>
      <c r="I4" s="9" t="n">
        <v>0.78</v>
      </c>
      <c r="J4" s="9" t="n">
        <v>-0.31</v>
      </c>
      <c r="K4" s="9" t="n">
        <v>-0.41</v>
      </c>
      <c r="L4" s="9" t="n">
        <v>0.08</v>
      </c>
      <c r="M4" s="9" t="n">
        <v>0</v>
      </c>
      <c r="N4" s="9" t="n">
        <v>-0.61</v>
      </c>
      <c r="O4" s="9" t="n">
        <v>0.1</v>
      </c>
      <c r="P4" s="9" t="n">
        <v>0.03</v>
      </c>
      <c r="Q4" s="9" t="n">
        <v>0.07000000000000001</v>
      </c>
      <c r="R4" s="9">
        <f>(H4-I4)-(F4-G4)</f>
        <v/>
      </c>
      <c r="S4" s="9">
        <f>(H4+I4)-(F4+G4)</f>
        <v/>
      </c>
      <c r="T4" s="9" t="n">
        <v>1.61</v>
      </c>
      <c r="U4" s="9" t="n">
        <v>1.54</v>
      </c>
      <c r="V4" s="9" t="n">
        <v>0.08</v>
      </c>
      <c r="W4" s="9" t="n">
        <v>4.62</v>
      </c>
      <c r="X4" s="9" t="n">
        <v>4.23</v>
      </c>
    </row>
    <row r="5">
      <c r="A5" s="8" t="inlineStr">
        <is>
          <t>2026-09-01</t>
        </is>
      </c>
      <c r="B5" s="8" t="inlineStr">
        <is>
          <t>Bristol Rvs</t>
        </is>
      </c>
      <c r="C5" s="8" t="inlineStr">
        <is>
          <t>Away</t>
        </is>
      </c>
      <c r="D5" s="8" t="n">
        <v>0</v>
      </c>
      <c r="E5" s="8" t="n">
        <v>2</v>
      </c>
      <c r="F5" s="10" t="n">
        <v>1.09</v>
      </c>
      <c r="G5" s="10" t="n">
        <v>1.74</v>
      </c>
      <c r="H5" s="10" t="n">
        <v>0.86</v>
      </c>
      <c r="I5" s="10" t="n">
        <v>2.99</v>
      </c>
      <c r="J5" s="10" t="n">
        <v>-0.23</v>
      </c>
      <c r="K5" s="10" t="n">
        <v>1.25</v>
      </c>
      <c r="L5" s="10" t="n">
        <v>0</v>
      </c>
      <c r="M5" s="10" t="n">
        <v>0.31</v>
      </c>
      <c r="N5" s="10" t="n">
        <v>-0.37</v>
      </c>
      <c r="O5" s="10" t="n">
        <v>1.26</v>
      </c>
      <c r="P5" s="10" t="n">
        <v>-0.07000000000000001</v>
      </c>
      <c r="Q5" s="10" t="n">
        <v>0.36</v>
      </c>
      <c r="R5" s="10">
        <f>(H5-I5)-(F5-G5)</f>
        <v/>
      </c>
      <c r="S5" s="10">
        <f>(H5+I5)-(F5+G5)</f>
        <v/>
      </c>
      <c r="T5" s="10" t="n">
        <v>0.35</v>
      </c>
      <c r="U5" s="10" t="n">
        <v>0.95</v>
      </c>
      <c r="V5" s="10" t="n">
        <v>-0.59</v>
      </c>
      <c r="W5" s="10" t="n">
        <v>4.98</v>
      </c>
      <c r="X5" s="10" t="n">
        <v>5.17</v>
      </c>
    </row>
    <row r="6">
      <c r="A6" s="6" t="inlineStr">
        <is>
          <t>2026-09-05</t>
        </is>
      </c>
      <c r="B6" s="6" t="inlineStr">
        <is>
          <t>Swindon Town</t>
        </is>
      </c>
      <c r="C6" s="6" t="inlineStr">
        <is>
          <t>Away</t>
        </is>
      </c>
      <c r="D6" s="6" t="n">
        <v>1</v>
      </c>
      <c r="E6" s="6" t="n">
        <v>3</v>
      </c>
      <c r="F6" s="9" t="n">
        <v>1.34</v>
      </c>
      <c r="G6" s="9" t="n">
        <v>1.4</v>
      </c>
      <c r="H6" s="9" t="n">
        <v>1.49</v>
      </c>
      <c r="I6" s="9" t="n">
        <v>2.06</v>
      </c>
      <c r="J6" s="9" t="n">
        <v>0.15</v>
      </c>
      <c r="K6" s="9" t="n">
        <v>0.66</v>
      </c>
      <c r="L6" s="9" t="n">
        <v>0.03</v>
      </c>
      <c r="M6" s="9" t="n">
        <v>0.38</v>
      </c>
      <c r="N6" s="9" t="n">
        <v>0.13</v>
      </c>
      <c r="O6" s="9" t="n">
        <v>0.95</v>
      </c>
      <c r="P6" s="9" t="n">
        <v>-0.03</v>
      </c>
      <c r="Q6" s="9" t="n">
        <v>0.48</v>
      </c>
      <c r="R6" s="9">
        <f>(H6-I6)-(F6-G6)</f>
        <v/>
      </c>
      <c r="S6" s="9">
        <f>(H6+I6)-(F6+G6)</f>
        <v/>
      </c>
      <c r="T6" s="9" t="n">
        <v>1.05</v>
      </c>
      <c r="U6" s="9" t="n">
        <v>1.33</v>
      </c>
      <c r="V6" s="9" t="n">
        <v>-0.28</v>
      </c>
      <c r="W6" s="9" t="n">
        <v>6.03</v>
      </c>
      <c r="X6" s="9" t="n">
        <v>6.5</v>
      </c>
    </row>
    <row r="7">
      <c r="A7" s="8" t="inlineStr">
        <is>
          <t>2026-09-12</t>
        </is>
      </c>
      <c r="B7" s="8" t="inlineStr">
        <is>
          <t>Crewe Alexandra</t>
        </is>
      </c>
      <c r="C7" s="8" t="inlineStr">
        <is>
          <t>Home</t>
        </is>
      </c>
      <c r="D7" s="8" t="n">
        <v>1</v>
      </c>
      <c r="E7" s="8" t="n">
        <v>1</v>
      </c>
      <c r="F7" s="10" t="n">
        <v>1.58</v>
      </c>
      <c r="G7" s="10" t="n">
        <v>1.2</v>
      </c>
      <c r="H7" s="10" t="n">
        <v>1.3</v>
      </c>
      <c r="I7" s="10" t="n">
        <v>0.64</v>
      </c>
      <c r="J7" s="10" t="n">
        <v>-0.28</v>
      </c>
      <c r="K7" s="10" t="n">
        <v>-0.5600000000000001</v>
      </c>
      <c r="L7" s="10" t="n">
        <v>-0.02</v>
      </c>
      <c r="M7" s="10" t="n">
        <v>0.22</v>
      </c>
      <c r="N7" s="10" t="n">
        <v>-0.18</v>
      </c>
      <c r="O7" s="10" t="n">
        <v>-0.42</v>
      </c>
      <c r="P7" s="10" t="n">
        <v>-0.05</v>
      </c>
      <c r="Q7" s="10" t="n">
        <v>0.33</v>
      </c>
      <c r="R7" s="10">
        <f>(H7-I7)-(F7-G7)</f>
        <v/>
      </c>
      <c r="S7" s="10">
        <f>(H7+I7)-(F7+G7)</f>
        <v/>
      </c>
      <c r="T7" s="10" t="n">
        <v>1.87</v>
      </c>
      <c r="U7" s="10" t="n">
        <v>1.63</v>
      </c>
      <c r="V7" s="10" t="n">
        <v>0.24</v>
      </c>
      <c r="W7" s="10" t="n">
        <v>7.89</v>
      </c>
      <c r="X7" s="10" t="n">
        <v>8.130000000000001</v>
      </c>
    </row>
    <row r="8">
      <c r="A8" s="6" t="inlineStr">
        <is>
          <t>2026-09-19</t>
        </is>
      </c>
      <c r="B8" s="6" t="inlineStr">
        <is>
          <t>Cheltenham Town</t>
        </is>
      </c>
      <c r="C8" s="6" t="inlineStr">
        <is>
          <t>Home</t>
        </is>
      </c>
      <c r="D8" s="6" t="n">
        <v>1</v>
      </c>
      <c r="E8" s="6" t="n">
        <v>1</v>
      </c>
      <c r="F8" s="9" t="n">
        <v>1.7</v>
      </c>
      <c r="G8" s="9" t="n">
        <v>1.13</v>
      </c>
      <c r="H8" s="9" t="n">
        <v>0.87</v>
      </c>
      <c r="I8" s="9" t="n">
        <v>1.53</v>
      </c>
      <c r="J8" s="9" t="n">
        <v>-0.83</v>
      </c>
      <c r="K8" s="9" t="n">
        <v>0.4</v>
      </c>
      <c r="L8" s="9" t="n">
        <v>-0.09</v>
      </c>
      <c r="M8" s="9" t="n">
        <v>0.05</v>
      </c>
      <c r="N8" s="9" t="n">
        <v>-1.11</v>
      </c>
      <c r="O8" s="9" t="n">
        <v>0.53</v>
      </c>
      <c r="P8" s="9" t="n">
        <v>-0.17</v>
      </c>
      <c r="Q8" s="9" t="n">
        <v>0.22</v>
      </c>
      <c r="R8" s="9">
        <f>(H8-I8)-(F8-G8)</f>
        <v/>
      </c>
      <c r="S8" s="9">
        <f>(H8+I8)-(F8+G8)</f>
        <v/>
      </c>
      <c r="T8" s="9" t="n">
        <v>0.9</v>
      </c>
      <c r="U8" s="9" t="n">
        <v>1.76</v>
      </c>
      <c r="V8" s="9" t="n">
        <v>-0.86</v>
      </c>
      <c r="W8" s="9" t="n">
        <v>8.789999999999999</v>
      </c>
      <c r="X8" s="9" t="n">
        <v>9.890000000000001</v>
      </c>
    </row>
    <row r="9">
      <c r="A9" s="8" t="inlineStr">
        <is>
          <t>2026-09-26</t>
        </is>
      </c>
      <c r="B9" s="8" t="inlineStr">
        <is>
          <t>Shrewsbury Town</t>
        </is>
      </c>
      <c r="C9" s="8" t="inlineStr">
        <is>
          <t>Away</t>
        </is>
      </c>
      <c r="D9" s="8" t="n">
        <v>2</v>
      </c>
      <c r="E9" s="8" t="n">
        <v>2</v>
      </c>
      <c r="F9" s="10" t="n">
        <v>1.26</v>
      </c>
      <c r="G9" s="10" t="n">
        <v>1.32</v>
      </c>
      <c r="H9" s="10" t="n">
        <v>1.46</v>
      </c>
      <c r="I9" s="10" t="n">
        <v>1.38</v>
      </c>
      <c r="J9" s="10" t="n">
        <v>0.2</v>
      </c>
      <c r="K9" s="10" t="n">
        <v>0.06</v>
      </c>
      <c r="L9" s="10" t="n">
        <v>-0.22</v>
      </c>
      <c r="M9" s="10" t="n">
        <v>0.23</v>
      </c>
      <c r="N9" s="10" t="n">
        <v>0.65</v>
      </c>
      <c r="O9" s="10" t="n">
        <v>-0.1</v>
      </c>
      <c r="P9" s="10" t="n">
        <v>-0.25</v>
      </c>
      <c r="Q9" s="10" t="n">
        <v>0.38</v>
      </c>
      <c r="R9" s="10">
        <f>(H9-I9)-(F9-G9)</f>
        <v/>
      </c>
      <c r="S9" s="10">
        <f>(H9+I9)-(F9+G9)</f>
        <v/>
      </c>
      <c r="T9" s="10" t="n">
        <v>1.43</v>
      </c>
      <c r="U9" s="10" t="n">
        <v>1.32</v>
      </c>
      <c r="V9" s="10" t="n">
        <v>0.1</v>
      </c>
      <c r="W9" s="10" t="n">
        <v>10.22</v>
      </c>
      <c r="X9" s="10" t="n">
        <v>11.22</v>
      </c>
    </row>
    <row r="10">
      <c r="A10" s="6" t="inlineStr">
        <is>
          <t>2026-10-10</t>
        </is>
      </c>
      <c r="B10" s="6" t="inlineStr">
        <is>
          <t>Newport County</t>
        </is>
      </c>
      <c r="C10" s="6" t="inlineStr">
        <is>
          <t>Away</t>
        </is>
      </c>
      <c r="D10" s="6" t="n">
        <v>0</v>
      </c>
      <c r="E10" s="6" t="n">
        <v>1</v>
      </c>
      <c r="F10" s="9" t="n">
        <v>1.41</v>
      </c>
      <c r="G10" s="9" t="n">
        <v>1.37</v>
      </c>
      <c r="H10" s="9" t="n">
        <v>0.61</v>
      </c>
      <c r="I10" s="9" t="n">
        <v>1.6</v>
      </c>
      <c r="J10" s="9" t="n">
        <v>-0.8</v>
      </c>
      <c r="K10" s="9" t="n">
        <v>0.23</v>
      </c>
      <c r="L10" s="9" t="n">
        <v>-0.3</v>
      </c>
      <c r="M10" s="9" t="n">
        <v>0.34</v>
      </c>
      <c r="N10" s="9" t="n">
        <v>-0.49</v>
      </c>
      <c r="O10" s="9" t="n">
        <v>0.27</v>
      </c>
      <c r="P10" s="9" t="n">
        <v>-0.23</v>
      </c>
      <c r="Q10" s="9" t="n">
        <v>0.41</v>
      </c>
      <c r="R10" s="9">
        <f>(H10-I10)-(F10-G10)</f>
        <v/>
      </c>
      <c r="S10" s="9">
        <f>(H10+I10)-(F10+G10)</f>
        <v/>
      </c>
      <c r="T10" s="9" t="n">
        <v>0.66</v>
      </c>
      <c r="U10" s="9" t="n">
        <v>1.4</v>
      </c>
      <c r="V10" s="9" t="n">
        <v>-0.74</v>
      </c>
      <c r="W10" s="9" t="n">
        <v>10.89</v>
      </c>
      <c r="X10" s="9" t="n">
        <v>12.62</v>
      </c>
    </row>
    <row r="12">
      <c r="A12" s="12"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2"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4</v>
      </c>
      <c r="C38" s="15" t="n">
        <v>5</v>
      </c>
      <c r="D38" s="15" t="n">
        <v>3</v>
      </c>
      <c r="E38" s="19" t="n">
        <v>0.29</v>
      </c>
      <c r="F38" s="19" t="n">
        <v>0.19</v>
      </c>
      <c r="G38" s="19" t="n">
        <v>-0.51</v>
      </c>
      <c r="H38" s="19" t="n">
        <v>-0.57</v>
      </c>
    </row>
    <row r="39">
      <c r="A39" s="15" t="inlineStr">
        <is>
          <t>Away</t>
        </is>
      </c>
      <c r="B39" s="15" t="n">
        <v>5</v>
      </c>
      <c r="C39" s="15" t="n">
        <v>5</v>
      </c>
      <c r="D39" s="15" t="n">
        <v>10</v>
      </c>
      <c r="E39" s="19" t="n">
        <v>-0.96</v>
      </c>
      <c r="F39" s="19" t="n">
        <v>-1.03</v>
      </c>
      <c r="G39" s="19" t="n">
        <v>0.5</v>
      </c>
      <c r="H39" s="19" t="n">
        <v>0.8100000000000001</v>
      </c>
    </row>
    <row r="40">
      <c r="A40" s="20" t="inlineStr">
        <is>
          <t>Total</t>
        </is>
      </c>
      <c r="B40" s="20" t="n">
        <v>9</v>
      </c>
      <c r="C40" s="20" t="n">
        <v>10</v>
      </c>
      <c r="D40" s="20" t="n">
        <v>13</v>
      </c>
      <c r="E40" s="21" t="n">
        <v>-0.4</v>
      </c>
      <c r="F40" s="21" t="n">
        <v>-0.51</v>
      </c>
      <c r="G40" s="21" t="n">
        <v>0.05</v>
      </c>
      <c r="H40" s="21" t="n">
        <v>-0.05</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Crewe Alexandra</t>
        </is>
      </c>
      <c r="C2" s="6" t="inlineStr">
        <is>
          <t>Home</t>
        </is>
      </c>
      <c r="D2" s="6" t="n">
        <v>0</v>
      </c>
      <c r="E2" s="6" t="n">
        <v>1</v>
      </c>
      <c r="F2" s="9" t="n">
        <v>1.33</v>
      </c>
      <c r="G2" s="9" t="n">
        <v>1.29</v>
      </c>
      <c r="H2" s="9" t="n">
        <v>0.93</v>
      </c>
      <c r="I2" s="9" t="n">
        <v>2.2</v>
      </c>
      <c r="J2" s="9" t="n">
        <v>-0.4</v>
      </c>
      <c r="K2" s="9" t="n">
        <v>0.91</v>
      </c>
      <c r="L2" s="9" t="n">
        <v>-0.4</v>
      </c>
      <c r="M2" s="9" t="n">
        <v>0.91</v>
      </c>
      <c r="N2" s="9" t="n">
        <v>-0.32</v>
      </c>
      <c r="O2" s="9" t="n">
        <v>1.21</v>
      </c>
      <c r="P2" s="9" t="n">
        <v>-0.32</v>
      </c>
      <c r="Q2" s="9" t="n">
        <v>1.21</v>
      </c>
      <c r="R2" s="9">
        <f>(H2-I2)-(F2-G2)</f>
        <v/>
      </c>
      <c r="S2" s="9">
        <f>(H2+I2)-(F2+G2)</f>
        <v/>
      </c>
      <c r="T2" s="9" t="n">
        <v>0.63</v>
      </c>
      <c r="U2" s="9" t="n">
        <v>1.4</v>
      </c>
      <c r="V2" s="9" t="n">
        <v>-0.77</v>
      </c>
      <c r="W2" s="9" t="n">
        <v>0.63</v>
      </c>
      <c r="X2" s="9" t="n">
        <v>1.4</v>
      </c>
    </row>
    <row r="3">
      <c r="A3" s="8" t="inlineStr">
        <is>
          <t>2026-08-22</t>
        </is>
      </c>
      <c r="B3" s="8" t="inlineStr">
        <is>
          <t>Rochdale</t>
        </is>
      </c>
      <c r="C3" s="8" t="inlineStr">
        <is>
          <t>Away</t>
        </is>
      </c>
      <c r="D3" s="8" t="n">
        <v>2</v>
      </c>
      <c r="E3" s="8" t="n">
        <v>1</v>
      </c>
      <c r="F3" s="10" t="n">
        <v>1.07</v>
      </c>
      <c r="G3" s="10" t="n">
        <v>1.65</v>
      </c>
      <c r="H3" s="10" t="n">
        <v>2.16</v>
      </c>
      <c r="I3" s="10" t="n">
        <v>0.53</v>
      </c>
      <c r="J3" s="10" t="n">
        <v>1.09</v>
      </c>
      <c r="K3" s="10" t="n">
        <v>-1.11</v>
      </c>
      <c r="L3" s="10" t="n">
        <v>0.34</v>
      </c>
      <c r="M3" s="10" t="n">
        <v>-0.1</v>
      </c>
      <c r="N3" s="10" t="n">
        <v>0.95</v>
      </c>
      <c r="O3" s="10" t="n">
        <v>-0.68</v>
      </c>
      <c r="P3" s="10" t="n">
        <v>0.31</v>
      </c>
      <c r="Q3" s="10" t="n">
        <v>0.27</v>
      </c>
      <c r="R3" s="10">
        <f>(H3-I3)-(F3-G3)</f>
        <v/>
      </c>
      <c r="S3" s="10">
        <f>(H3+I3)-(F3+G3)</f>
        <v/>
      </c>
      <c r="T3" s="10" t="n">
        <v>2.43</v>
      </c>
      <c r="U3" s="10" t="n">
        <v>0.99</v>
      </c>
      <c r="V3" s="10" t="n">
        <v>1.44</v>
      </c>
      <c r="W3" s="10" t="n">
        <v>3.06</v>
      </c>
      <c r="X3" s="10" t="n">
        <v>2.39</v>
      </c>
    </row>
    <row r="4">
      <c r="A4" s="6" t="inlineStr">
        <is>
          <t>2026-08-29</t>
        </is>
      </c>
      <c r="B4" s="6" t="inlineStr">
        <is>
          <t>Bristol Rvs</t>
        </is>
      </c>
      <c r="C4" s="6" t="inlineStr">
        <is>
          <t>Home</t>
        </is>
      </c>
      <c r="D4" s="6" t="n">
        <v>0</v>
      </c>
      <c r="E4" s="6" t="n">
        <v>2</v>
      </c>
      <c r="F4" s="9" t="n">
        <v>1.14</v>
      </c>
      <c r="G4" s="9" t="n">
        <v>1.52</v>
      </c>
      <c r="H4" s="9" t="n">
        <v>0.72</v>
      </c>
      <c r="I4" s="9" t="n">
        <v>1.98</v>
      </c>
      <c r="J4" s="9" t="n">
        <v>-0.41</v>
      </c>
      <c r="K4" s="9" t="n">
        <v>0.46</v>
      </c>
      <c r="L4" s="9" t="n">
        <v>0.09</v>
      </c>
      <c r="M4" s="9" t="n">
        <v>0.09</v>
      </c>
      <c r="N4" s="9" t="n">
        <v>-0.58</v>
      </c>
      <c r="O4" s="9" t="n">
        <v>0.39</v>
      </c>
      <c r="P4" s="9" t="n">
        <v>0.02</v>
      </c>
      <c r="Q4" s="9" t="n">
        <v>0.31</v>
      </c>
      <c r="R4" s="9">
        <f>(H4-I4)-(F4-G4)</f>
        <v/>
      </c>
      <c r="S4" s="9">
        <f>(H4+I4)-(F4+G4)</f>
        <v/>
      </c>
      <c r="T4" s="9" t="n">
        <v>0.58</v>
      </c>
      <c r="U4" s="9" t="n">
        <v>1.11</v>
      </c>
      <c r="V4" s="9" t="n">
        <v>-0.52</v>
      </c>
      <c r="W4" s="9" t="n">
        <v>3.64</v>
      </c>
      <c r="X4" s="9" t="n">
        <v>3.49</v>
      </c>
    </row>
    <row r="5">
      <c r="A5" s="8" t="inlineStr">
        <is>
          <t>2026-09-01</t>
        </is>
      </c>
      <c r="B5" s="8" t="inlineStr">
        <is>
          <t>Northampton Town</t>
        </is>
      </c>
      <c r="C5" s="8" t="inlineStr">
        <is>
          <t>Away</t>
        </is>
      </c>
      <c r="D5" s="8" t="n">
        <v>1</v>
      </c>
      <c r="E5" s="8" t="n">
        <v>1</v>
      </c>
      <c r="F5" s="10" t="n">
        <v>0.99</v>
      </c>
      <c r="G5" s="10" t="n">
        <v>1.76</v>
      </c>
      <c r="H5" s="10" t="n">
        <v>2.62</v>
      </c>
      <c r="I5" s="10" t="n">
        <v>0.55</v>
      </c>
      <c r="J5" s="10" t="n">
        <v>1.63</v>
      </c>
      <c r="K5" s="10" t="n">
        <v>-1.21</v>
      </c>
      <c r="L5" s="10" t="n">
        <v>0.47</v>
      </c>
      <c r="M5" s="10" t="n">
        <v>-0.24</v>
      </c>
      <c r="N5" s="10" t="n">
        <v>2.01</v>
      </c>
      <c r="O5" s="10" t="n">
        <v>-0.61</v>
      </c>
      <c r="P5" s="10" t="n">
        <v>0.52</v>
      </c>
      <c r="Q5" s="10" t="n">
        <v>0.08</v>
      </c>
      <c r="R5" s="10">
        <f>(H5-I5)-(F5-G5)</f>
        <v/>
      </c>
      <c r="S5" s="10">
        <f>(H5+I5)-(F5+G5)</f>
        <v/>
      </c>
      <c r="T5" s="10" t="n">
        <v>2.58</v>
      </c>
      <c r="U5" s="10" t="n">
        <v>0.87</v>
      </c>
      <c r="V5" s="10" t="n">
        <v>1.71</v>
      </c>
      <c r="W5" s="10" t="n">
        <v>6.22</v>
      </c>
      <c r="X5" s="10" t="n">
        <v>4.36</v>
      </c>
    </row>
    <row r="6">
      <c r="A6" s="6" t="inlineStr">
        <is>
          <t>2026-09-05</t>
        </is>
      </c>
      <c r="B6" s="6" t="inlineStr">
        <is>
          <t>Accrington Stanley</t>
        </is>
      </c>
      <c r="C6" s="6" t="inlineStr">
        <is>
          <t>Away</t>
        </is>
      </c>
      <c r="D6" s="6" t="n">
        <v>2</v>
      </c>
      <c r="E6" s="6" t="n">
        <v>3</v>
      </c>
      <c r="F6" s="9" t="n">
        <v>1.17</v>
      </c>
      <c r="G6" s="9" t="n">
        <v>1.66</v>
      </c>
      <c r="H6" s="9" t="n">
        <v>1.49</v>
      </c>
      <c r="I6" s="9" t="n">
        <v>2.07</v>
      </c>
      <c r="J6" s="9" t="n">
        <v>0.32</v>
      </c>
      <c r="K6" s="9" t="n">
        <v>0.41</v>
      </c>
      <c r="L6" s="9" t="n">
        <v>0.44</v>
      </c>
      <c r="M6" s="9" t="n">
        <v>-0.11</v>
      </c>
      <c r="N6" s="9" t="n">
        <v>0.42</v>
      </c>
      <c r="O6" s="9" t="n">
        <v>0.01</v>
      </c>
      <c r="P6" s="9" t="n">
        <v>0.5</v>
      </c>
      <c r="Q6" s="9" t="n">
        <v>0.06</v>
      </c>
      <c r="R6" s="9">
        <f>(H6-I6)-(F6-G6)</f>
        <v/>
      </c>
      <c r="S6" s="9">
        <f>(H6+I6)-(F6+G6)</f>
        <v/>
      </c>
      <c r="T6" s="9" t="n">
        <v>1.04</v>
      </c>
      <c r="U6" s="9" t="n">
        <v>1.05</v>
      </c>
      <c r="V6" s="9" t="n">
        <v>-0.01</v>
      </c>
      <c r="W6" s="9" t="n">
        <v>7.26</v>
      </c>
      <c r="X6" s="9" t="n">
        <v>5.41</v>
      </c>
    </row>
    <row r="7">
      <c r="A7" s="8" t="inlineStr">
        <is>
          <t>2026-09-12</t>
        </is>
      </c>
      <c r="B7" s="8" t="inlineStr">
        <is>
          <t>Cheltenham Town</t>
        </is>
      </c>
      <c r="C7" s="8" t="inlineStr">
        <is>
          <t>Home</t>
        </is>
      </c>
      <c r="D7" s="8" t="n">
        <v>1</v>
      </c>
      <c r="E7" s="8" t="n">
        <v>3</v>
      </c>
      <c r="F7" s="10" t="n">
        <v>1.53</v>
      </c>
      <c r="G7" s="10" t="n">
        <v>1.41</v>
      </c>
      <c r="H7" s="10" t="n">
        <v>1.44</v>
      </c>
      <c r="I7" s="10" t="n">
        <v>1.9</v>
      </c>
      <c r="J7" s="10" t="n">
        <v>-0.09</v>
      </c>
      <c r="K7" s="10" t="n">
        <v>0.49</v>
      </c>
      <c r="L7" s="10" t="n">
        <v>0.36</v>
      </c>
      <c r="M7" s="10" t="n">
        <v>-0.01</v>
      </c>
      <c r="N7" s="10" t="n">
        <v>-0.29</v>
      </c>
      <c r="O7" s="10" t="n">
        <v>0.63</v>
      </c>
      <c r="P7" s="10" t="n">
        <v>0.37</v>
      </c>
      <c r="Q7" s="10" t="n">
        <v>0.16</v>
      </c>
      <c r="R7" s="10">
        <f>(H7-I7)-(F7-G7)</f>
        <v/>
      </c>
      <c r="S7" s="10">
        <f>(H7+I7)-(F7+G7)</f>
        <v/>
      </c>
      <c r="T7" s="10" t="n">
        <v>1.1</v>
      </c>
      <c r="U7" s="10" t="n">
        <v>1.45</v>
      </c>
      <c r="V7" s="10" t="n">
        <v>-0.35</v>
      </c>
      <c r="W7" s="10" t="n">
        <v>8.359999999999999</v>
      </c>
      <c r="X7" s="10" t="n">
        <v>6.87</v>
      </c>
    </row>
    <row r="8">
      <c r="A8" s="6" t="inlineStr">
        <is>
          <t>2026-09-19</t>
        </is>
      </c>
      <c r="B8" s="6" t="inlineStr">
        <is>
          <t>Grimsby Town</t>
        </is>
      </c>
      <c r="C8" s="6" t="inlineStr">
        <is>
          <t>Away</t>
        </is>
      </c>
      <c r="D8" s="6" t="n">
        <v>0</v>
      </c>
      <c r="E8" s="6" t="n">
        <v>2</v>
      </c>
      <c r="F8" s="9" t="n">
        <v>1.01</v>
      </c>
      <c r="G8" s="9" t="n">
        <v>2.22</v>
      </c>
      <c r="H8" s="9" t="n">
        <v>0.9399999999999999</v>
      </c>
      <c r="I8" s="9" t="n">
        <v>4.59</v>
      </c>
      <c r="J8" s="9" t="n">
        <v>-0.07000000000000001</v>
      </c>
      <c r="K8" s="9" t="n">
        <v>2.37</v>
      </c>
      <c r="L8" s="9" t="n">
        <v>0.41</v>
      </c>
      <c r="M8" s="9" t="n">
        <v>0.23</v>
      </c>
      <c r="N8" s="9" t="n">
        <v>-0.4</v>
      </c>
      <c r="O8" s="9" t="n">
        <v>2.35</v>
      </c>
      <c r="P8" s="9" t="n">
        <v>0.35</v>
      </c>
      <c r="Q8" s="9" t="n">
        <v>0.35</v>
      </c>
      <c r="R8" s="9">
        <f>(H8-I8)-(F8-G8)</f>
        <v/>
      </c>
      <c r="S8" s="9">
        <f>(H8+I8)-(F8+G8)</f>
        <v/>
      </c>
      <c r="T8" s="9" t="n">
        <v>0.14</v>
      </c>
      <c r="U8" s="9" t="n">
        <v>0.67</v>
      </c>
      <c r="V8" s="9" t="n">
        <v>-0.54</v>
      </c>
      <c r="W8" s="9" t="n">
        <v>8.5</v>
      </c>
      <c r="X8" s="9" t="n">
        <v>7.54</v>
      </c>
    </row>
    <row r="9">
      <c r="A9" s="8" t="inlineStr">
        <is>
          <t>2026-10-10</t>
        </is>
      </c>
      <c r="B9" s="8" t="inlineStr">
        <is>
          <t>Chesterfield</t>
        </is>
      </c>
      <c r="C9" s="8" t="inlineStr">
        <is>
          <t>Home</t>
        </is>
      </c>
      <c r="D9" s="8" t="n">
        <v>2</v>
      </c>
      <c r="E9" s="8" t="n">
        <v>2</v>
      </c>
      <c r="F9" s="10" t="n">
        <v>1.11</v>
      </c>
      <c r="G9" s="10" t="n">
        <v>2.01</v>
      </c>
      <c r="H9" s="10" t="n">
        <v>1.79</v>
      </c>
      <c r="I9" s="10" t="n">
        <v>1.58</v>
      </c>
      <c r="J9" s="10" t="n">
        <v>0.68</v>
      </c>
      <c r="K9" s="10" t="n">
        <v>-0.43</v>
      </c>
      <c r="L9" s="10" t="n">
        <v>0.34</v>
      </c>
      <c r="M9" s="10" t="n">
        <v>0.35</v>
      </c>
      <c r="N9" s="10" t="n">
        <v>0.74</v>
      </c>
      <c r="O9" s="10" t="n">
        <v>-1.14</v>
      </c>
      <c r="P9" s="10" t="n">
        <v>0.32</v>
      </c>
      <c r="Q9" s="10" t="n">
        <v>0.27</v>
      </c>
      <c r="R9" s="10">
        <f>(H9-I9)-(F9-G9)</f>
        <v/>
      </c>
      <c r="S9" s="10">
        <f>(H9+I9)-(F9+G9)</f>
        <v/>
      </c>
      <c r="T9" s="10" t="n">
        <v>1.52</v>
      </c>
      <c r="U9" s="10" t="n">
        <v>0.83</v>
      </c>
      <c r="V9" s="10" t="n">
        <v>0.6899999999999999</v>
      </c>
      <c r="W9" s="10" t="n">
        <v>10.02</v>
      </c>
      <c r="X9" s="10" t="n">
        <v>8.369999999999999</v>
      </c>
    </row>
    <row r="11">
      <c r="A11" s="12"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2"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3</v>
      </c>
      <c r="D37" s="15" t="n">
        <v>8</v>
      </c>
      <c r="E37" s="19" t="n">
        <v>-0.41</v>
      </c>
      <c r="F37" s="19" t="n">
        <v>-0.72</v>
      </c>
      <c r="G37" s="19" t="n">
        <v>0.3</v>
      </c>
      <c r="H37" s="19" t="n">
        <v>0.33</v>
      </c>
    </row>
    <row r="38">
      <c r="A38" s="15" t="inlineStr">
        <is>
          <t>Away</t>
        </is>
      </c>
      <c r="B38" s="15" t="n">
        <v>4</v>
      </c>
      <c r="C38" s="15" t="n">
        <v>5</v>
      </c>
      <c r="D38" s="15" t="n">
        <v>7</v>
      </c>
      <c r="E38" s="19" t="n">
        <v>0.63</v>
      </c>
      <c r="F38" s="19" t="n">
        <v>1.06</v>
      </c>
      <c r="G38" s="19" t="n">
        <v>0.86</v>
      </c>
      <c r="H38" s="19" t="n">
        <v>0.57</v>
      </c>
    </row>
    <row r="39">
      <c r="A39" s="20" t="inlineStr">
        <is>
          <t>Total</t>
        </is>
      </c>
      <c r="B39" s="20" t="n">
        <v>8</v>
      </c>
      <c r="C39" s="20" t="n">
        <v>8</v>
      </c>
      <c r="D39" s="20" t="n">
        <v>15</v>
      </c>
      <c r="E39" s="21" t="n">
        <v>0.11</v>
      </c>
      <c r="F39" s="21" t="n">
        <v>-0.33</v>
      </c>
      <c r="G39" s="21" t="n">
        <v>0.58</v>
      </c>
      <c r="H39" s="21" t="n">
        <v>0.41</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Crawley Town</t>
        </is>
      </c>
      <c r="C2" s="6" t="inlineStr">
        <is>
          <t>Away</t>
        </is>
      </c>
      <c r="D2" s="6" t="n">
        <v>1</v>
      </c>
      <c r="E2" s="6" t="n">
        <v>0</v>
      </c>
      <c r="F2" s="9" t="n">
        <v>1.29</v>
      </c>
      <c r="G2" s="9" t="n">
        <v>1.33</v>
      </c>
      <c r="H2" s="9" t="n">
        <v>2.2</v>
      </c>
      <c r="I2" s="9" t="n">
        <v>0.93</v>
      </c>
      <c r="J2" s="9" t="n">
        <v>0.91</v>
      </c>
      <c r="K2" s="9" t="n">
        <v>-0.4</v>
      </c>
      <c r="L2" s="9" t="n">
        <v>0.91</v>
      </c>
      <c r="M2" s="9" t="n">
        <v>-0.4</v>
      </c>
      <c r="N2" s="9" t="n">
        <v>0.77</v>
      </c>
      <c r="O2" s="9" t="n">
        <v>-0.85</v>
      </c>
      <c r="P2" s="9" t="n">
        <v>0.77</v>
      </c>
      <c r="Q2" s="9" t="n">
        <v>-0.85</v>
      </c>
      <c r="R2" s="9">
        <f>(H2-I2)-(F2-G2)</f>
        <v/>
      </c>
      <c r="S2" s="9">
        <f>(H2+I2)-(F2+G2)</f>
        <v/>
      </c>
      <c r="T2" s="9" t="n">
        <v>2.18</v>
      </c>
      <c r="U2" s="9" t="n">
        <v>1.34</v>
      </c>
      <c r="V2" s="9" t="n">
        <v>0.84</v>
      </c>
      <c r="W2" s="9" t="n">
        <v>2.18</v>
      </c>
      <c r="X2" s="9" t="n">
        <v>1.34</v>
      </c>
    </row>
    <row r="3">
      <c r="A3" s="8" t="inlineStr">
        <is>
          <t>2026-08-22</t>
        </is>
      </c>
      <c r="B3" s="8" t="inlineStr">
        <is>
          <t>Northampton Town</t>
        </is>
      </c>
      <c r="C3" s="8" t="inlineStr">
        <is>
          <t>Home</t>
        </is>
      </c>
      <c r="D3" s="8" t="n">
        <v>1</v>
      </c>
      <c r="E3" s="8" t="n">
        <v>0</v>
      </c>
      <c r="F3" s="10" t="n">
        <v>1.46</v>
      </c>
      <c r="G3" s="10" t="n">
        <v>1.13</v>
      </c>
      <c r="H3" s="10" t="n">
        <v>0.48</v>
      </c>
      <c r="I3" s="10" t="n">
        <v>0.77</v>
      </c>
      <c r="J3" s="10" t="n">
        <v>-0.98</v>
      </c>
      <c r="K3" s="10" t="n">
        <v>-0.36</v>
      </c>
      <c r="L3" s="10" t="n">
        <v>-0.04</v>
      </c>
      <c r="M3" s="10" t="n">
        <v>-0.38</v>
      </c>
      <c r="N3" s="10" t="n">
        <v>-0.97</v>
      </c>
      <c r="O3" s="10" t="n">
        <v>0.35</v>
      </c>
      <c r="P3" s="10" t="n">
        <v>-0.1</v>
      </c>
      <c r="Q3" s="10" t="n">
        <v>-0.25</v>
      </c>
      <c r="R3" s="10">
        <f>(H3-I3)-(F3-G3)</f>
        <v/>
      </c>
      <c r="S3" s="10">
        <f>(H3+I3)-(F3+G3)</f>
        <v/>
      </c>
      <c r="T3" s="10" t="n">
        <v>1.03</v>
      </c>
      <c r="U3" s="10" t="n">
        <v>1.6</v>
      </c>
      <c r="V3" s="10" t="n">
        <v>-0.57</v>
      </c>
      <c r="W3" s="10" t="n">
        <v>3.21</v>
      </c>
      <c r="X3" s="10" t="n">
        <v>2.94</v>
      </c>
    </row>
    <row r="4">
      <c r="A4" s="6" t="inlineStr">
        <is>
          <t>2026-08-29</t>
        </is>
      </c>
      <c r="B4" s="6" t="inlineStr">
        <is>
          <t>Port Vale</t>
        </is>
      </c>
      <c r="C4" s="6" t="inlineStr">
        <is>
          <t>Away</t>
        </is>
      </c>
      <c r="D4" s="6" t="n">
        <v>0</v>
      </c>
      <c r="E4" s="6" t="n">
        <v>0</v>
      </c>
      <c r="F4" s="9" t="n">
        <v>1.19</v>
      </c>
      <c r="G4" s="9" t="n">
        <v>1.49</v>
      </c>
      <c r="H4" s="9" t="n">
        <v>1.18</v>
      </c>
      <c r="I4" s="9" t="n">
        <v>1.06</v>
      </c>
      <c r="J4" s="9" t="n">
        <v>-0.01</v>
      </c>
      <c r="K4" s="9" t="n">
        <v>-0.43</v>
      </c>
      <c r="L4" s="9" t="n">
        <v>-0.03</v>
      </c>
      <c r="M4" s="9" t="n">
        <v>-0.4</v>
      </c>
      <c r="N4" s="9" t="n">
        <v>0.27</v>
      </c>
      <c r="O4" s="9" t="n">
        <v>-0.45</v>
      </c>
      <c r="P4" s="9" t="n">
        <v>0.02</v>
      </c>
      <c r="Q4" s="9" t="n">
        <v>-0.32</v>
      </c>
      <c r="R4" s="9">
        <f>(H4-I4)-(F4-G4)</f>
        <v/>
      </c>
      <c r="S4" s="9">
        <f>(H4+I4)-(F4+G4)</f>
        <v/>
      </c>
      <c r="T4" s="9" t="n">
        <v>1.45</v>
      </c>
      <c r="U4" s="9" t="n">
        <v>1.16</v>
      </c>
      <c r="V4" s="9" t="n">
        <v>0.29</v>
      </c>
      <c r="W4" s="9" t="n">
        <v>4.65</v>
      </c>
      <c r="X4" s="9" t="n">
        <v>4.1</v>
      </c>
    </row>
    <row r="5">
      <c r="A5" s="8" t="inlineStr">
        <is>
          <t>2026-09-01</t>
        </is>
      </c>
      <c r="B5" s="8" t="inlineStr">
        <is>
          <t>Walsall</t>
        </is>
      </c>
      <c r="C5" s="8" t="inlineStr">
        <is>
          <t>Home</t>
        </is>
      </c>
      <c r="D5" s="8" t="n">
        <v>2</v>
      </c>
      <c r="E5" s="8" t="n">
        <v>2</v>
      </c>
      <c r="F5" s="10" t="n">
        <v>1.52</v>
      </c>
      <c r="G5" s="10" t="n">
        <v>1.27</v>
      </c>
      <c r="H5" s="10" t="n">
        <v>1.49</v>
      </c>
      <c r="I5" s="10" t="n">
        <v>1.82</v>
      </c>
      <c r="J5" s="10" t="n">
        <v>-0.03</v>
      </c>
      <c r="K5" s="10" t="n">
        <v>0.55</v>
      </c>
      <c r="L5" s="10" t="n">
        <v>-0.03</v>
      </c>
      <c r="M5" s="10" t="n">
        <v>-0.16</v>
      </c>
      <c r="N5" s="10" t="n">
        <v>-0.11</v>
      </c>
      <c r="O5" s="10" t="n">
        <v>0.52</v>
      </c>
      <c r="P5" s="10" t="n">
        <v>-0.01</v>
      </c>
      <c r="Q5" s="10" t="n">
        <v>-0.11</v>
      </c>
      <c r="R5" s="10">
        <f>(H5-I5)-(F5-G5)</f>
        <v/>
      </c>
      <c r="S5" s="10">
        <f>(H5+I5)-(F5+G5)</f>
        <v/>
      </c>
      <c r="T5" s="10" t="n">
        <v>1.18</v>
      </c>
      <c r="U5" s="10" t="n">
        <v>1.54</v>
      </c>
      <c r="V5" s="10" t="n">
        <v>-0.36</v>
      </c>
      <c r="W5" s="10" t="n">
        <v>5.83</v>
      </c>
      <c r="X5" s="10" t="n">
        <v>5.64</v>
      </c>
    </row>
    <row r="6">
      <c r="A6" s="6" t="inlineStr">
        <is>
          <t>2026-09-05</t>
        </is>
      </c>
      <c r="B6" s="6" t="inlineStr">
        <is>
          <t>York</t>
        </is>
      </c>
      <c r="C6" s="6" t="inlineStr">
        <is>
          <t>Home</t>
        </is>
      </c>
      <c r="D6" s="6" t="n">
        <v>1</v>
      </c>
      <c r="E6" s="6" t="n">
        <v>1</v>
      </c>
      <c r="F6" s="9" t="n">
        <v>1.28</v>
      </c>
      <c r="G6" s="9" t="n">
        <v>1.44</v>
      </c>
      <c r="H6" s="9" t="n">
        <v>1.14</v>
      </c>
      <c r="I6" s="9" t="n">
        <v>2.51</v>
      </c>
      <c r="J6" s="9" t="n">
        <v>-0.14</v>
      </c>
      <c r="K6" s="9" t="n">
        <v>1.07</v>
      </c>
      <c r="L6" s="9" t="n">
        <v>-0.05</v>
      </c>
      <c r="M6" s="9" t="n">
        <v>0.08</v>
      </c>
      <c r="N6" s="9" t="n">
        <v>-0.13</v>
      </c>
      <c r="O6" s="9" t="n">
        <v>0.83</v>
      </c>
      <c r="P6" s="9" t="n">
        <v>-0.03</v>
      </c>
      <c r="Q6" s="9" t="n">
        <v>0.08</v>
      </c>
      <c r="R6" s="9">
        <f>(H6-I6)-(F6-G6)</f>
        <v/>
      </c>
      <c r="S6" s="9">
        <f>(H6+I6)-(F6+G6)</f>
        <v/>
      </c>
      <c r="T6" s="9" t="n">
        <v>0.64</v>
      </c>
      <c r="U6" s="9" t="n">
        <v>1.27</v>
      </c>
      <c r="V6" s="9" t="n">
        <v>-0.63</v>
      </c>
      <c r="W6" s="9" t="n">
        <v>6.47</v>
      </c>
      <c r="X6" s="9" t="n">
        <v>6.91</v>
      </c>
    </row>
    <row r="7">
      <c r="A7" s="8" t="inlineStr">
        <is>
          <t>2026-09-12</t>
        </is>
      </c>
      <c r="B7" s="8" t="inlineStr">
        <is>
          <t>Colchester United</t>
        </is>
      </c>
      <c r="C7" s="8" t="inlineStr">
        <is>
          <t>Away</t>
        </is>
      </c>
      <c r="D7" s="8" t="n">
        <v>1</v>
      </c>
      <c r="E7" s="8" t="n">
        <v>1</v>
      </c>
      <c r="F7" s="10" t="n">
        <v>1.2</v>
      </c>
      <c r="G7" s="10" t="n">
        <v>1.58</v>
      </c>
      <c r="H7" s="10" t="n">
        <v>0.64</v>
      </c>
      <c r="I7" s="10" t="n">
        <v>1.3</v>
      </c>
      <c r="J7" s="10" t="n">
        <v>-0.5600000000000001</v>
      </c>
      <c r="K7" s="10" t="n">
        <v>-0.28</v>
      </c>
      <c r="L7" s="10" t="n">
        <v>-0.14</v>
      </c>
      <c r="M7" s="10" t="n">
        <v>0.02</v>
      </c>
      <c r="N7" s="10" t="n">
        <v>-0.89</v>
      </c>
      <c r="O7" s="10" t="n">
        <v>-0.12</v>
      </c>
      <c r="P7" s="10" t="n">
        <v>-0.18</v>
      </c>
      <c r="Q7" s="10" t="n">
        <v>0.05</v>
      </c>
      <c r="R7" s="10">
        <f>(H7-I7)-(F7-G7)</f>
        <v/>
      </c>
      <c r="S7" s="10">
        <f>(H7+I7)-(F7+G7)</f>
        <v/>
      </c>
      <c r="T7" s="10" t="n">
        <v>0.84</v>
      </c>
      <c r="U7" s="10" t="n">
        <v>1.12</v>
      </c>
      <c r="V7" s="10" t="n">
        <v>-0.28</v>
      </c>
      <c r="W7" s="10" t="n">
        <v>7.31</v>
      </c>
      <c r="X7" s="10" t="n">
        <v>8.029999999999999</v>
      </c>
    </row>
    <row r="8">
      <c r="A8" s="6" t="inlineStr">
        <is>
          <t>2026-09-19</t>
        </is>
      </c>
      <c r="B8" s="6" t="inlineStr">
        <is>
          <t>Shrewsbury Town</t>
        </is>
      </c>
      <c r="C8" s="6" t="inlineStr">
        <is>
          <t>Home</t>
        </is>
      </c>
      <c r="D8" s="6" t="n">
        <v>1</v>
      </c>
      <c r="E8" s="6" t="n">
        <v>1</v>
      </c>
      <c r="F8" s="9" t="n">
        <v>1.56</v>
      </c>
      <c r="G8" s="9" t="n">
        <v>1.05</v>
      </c>
      <c r="H8" s="9" t="n">
        <v>0.95</v>
      </c>
      <c r="I8" s="9" t="n">
        <v>2.25</v>
      </c>
      <c r="J8" s="9" t="n">
        <v>-0.61</v>
      </c>
      <c r="K8" s="9" t="n">
        <v>1.2</v>
      </c>
      <c r="L8" s="9" t="n">
        <v>-0.39</v>
      </c>
      <c r="M8" s="9" t="n">
        <v>0.29</v>
      </c>
      <c r="N8" s="9" t="n">
        <v>-0.25</v>
      </c>
      <c r="O8" s="9" t="n">
        <v>1.17</v>
      </c>
      <c r="P8" s="9" t="n">
        <v>-0.35</v>
      </c>
      <c r="Q8" s="9" t="n">
        <v>0.38</v>
      </c>
      <c r="R8" s="9">
        <f>(H8-I8)-(F8-G8)</f>
        <v/>
      </c>
      <c r="S8" s="9">
        <f>(H8+I8)-(F8+G8)</f>
        <v/>
      </c>
      <c r="T8" s="9" t="n">
        <v>0.62</v>
      </c>
      <c r="U8" s="9" t="n">
        <v>1.73</v>
      </c>
      <c r="V8" s="9" t="n">
        <v>-1.11</v>
      </c>
      <c r="W8" s="9" t="n">
        <v>7.93</v>
      </c>
      <c r="X8" s="9" t="n">
        <v>9.76</v>
      </c>
    </row>
    <row r="9">
      <c r="A9" s="8" t="inlineStr">
        <is>
          <t>2026-09-26</t>
        </is>
      </c>
      <c r="B9" s="8" t="inlineStr">
        <is>
          <t>Rotherham United</t>
        </is>
      </c>
      <c r="C9" s="8" t="inlineStr">
        <is>
          <t>Away</t>
        </is>
      </c>
      <c r="D9" s="8" t="n">
        <v>1</v>
      </c>
      <c r="E9" s="8" t="n">
        <v>1</v>
      </c>
      <c r="F9" s="10" t="n">
        <v>1.28</v>
      </c>
      <c r="G9" s="10" t="n">
        <v>1.62</v>
      </c>
      <c r="H9" s="10" t="n">
        <v>0.35</v>
      </c>
      <c r="I9" s="10" t="n">
        <v>0.64</v>
      </c>
      <c r="J9" s="10" t="n">
        <v>-0.93</v>
      </c>
      <c r="K9" s="10" t="n">
        <v>-0.98</v>
      </c>
      <c r="L9" s="10" t="n">
        <v>-0.38</v>
      </c>
      <c r="M9" s="10" t="n">
        <v>0.19</v>
      </c>
      <c r="N9" s="10" t="n">
        <v>-0.89</v>
      </c>
      <c r="O9" s="10" t="n">
        <v>-1.29</v>
      </c>
      <c r="P9" s="10" t="n">
        <v>-0.33</v>
      </c>
      <c r="Q9" s="10" t="n">
        <v>0.11</v>
      </c>
      <c r="R9" s="10">
        <f>(H9-I9)-(F9-G9)</f>
        <v/>
      </c>
      <c r="S9" s="10">
        <f>(H9+I9)-(F9+G9)</f>
        <v/>
      </c>
      <c r="T9" s="10" t="n">
        <v>0.98</v>
      </c>
      <c r="U9" s="10" t="n">
        <v>1.15</v>
      </c>
      <c r="V9" s="10" t="n">
        <v>-0.17</v>
      </c>
      <c r="W9" s="10" t="n">
        <v>8.91</v>
      </c>
      <c r="X9" s="10" t="n">
        <v>10.91</v>
      </c>
    </row>
    <row r="10">
      <c r="A10" s="6" t="inlineStr">
        <is>
          <t>2026-10-03</t>
        </is>
      </c>
      <c r="B10" s="6" t="inlineStr">
        <is>
          <t>Bristol Rvs</t>
        </is>
      </c>
      <c r="C10" s="6" t="inlineStr">
        <is>
          <t>Home</t>
        </is>
      </c>
      <c r="D10" s="6" t="n">
        <v>3</v>
      </c>
      <c r="E10" s="6" t="n">
        <v>1</v>
      </c>
      <c r="F10" s="9" t="n">
        <v>1.24</v>
      </c>
      <c r="G10" s="9" t="n">
        <v>1.53</v>
      </c>
      <c r="H10" s="9" t="n">
        <v>1.6</v>
      </c>
      <c r="I10" s="9" t="n">
        <v>0.79</v>
      </c>
      <c r="J10" s="9" t="n">
        <v>0.36</v>
      </c>
      <c r="K10" s="9" t="n">
        <v>-0.74</v>
      </c>
      <c r="L10" s="9" t="n">
        <v>-0.32</v>
      </c>
      <c r="M10" s="9" t="n">
        <v>0.14</v>
      </c>
      <c r="N10" s="9" t="n">
        <v>0.28</v>
      </c>
      <c r="O10" s="9" t="n">
        <v>-0.95</v>
      </c>
      <c r="P10" s="9" t="n">
        <v>-0.33</v>
      </c>
      <c r="Q10" s="9" t="n">
        <v>0.03</v>
      </c>
      <c r="R10" s="9">
        <f>(H10-I10)-(F10-G10)</f>
        <v/>
      </c>
      <c r="S10" s="9">
        <f>(H10+I10)-(F10+G10)</f>
        <v/>
      </c>
      <c r="T10" s="9" t="n">
        <v>1.95</v>
      </c>
      <c r="U10" s="9" t="n">
        <v>1.18</v>
      </c>
      <c r="V10" s="9" t="n">
        <v>0.77</v>
      </c>
      <c r="W10" s="9" t="n">
        <v>10.86</v>
      </c>
      <c r="X10" s="9" t="n">
        <v>12.08</v>
      </c>
    </row>
    <row r="11">
      <c r="A11" s="8" t="inlineStr">
        <is>
          <t>2026-10-10</t>
        </is>
      </c>
      <c r="B11" s="8" t="inlineStr">
        <is>
          <t>Swindon Town</t>
        </is>
      </c>
      <c r="C11" s="8" t="inlineStr">
        <is>
          <t>Away</t>
        </is>
      </c>
      <c r="D11" s="8" t="n">
        <v>1</v>
      </c>
      <c r="E11" s="8" t="n">
        <v>0</v>
      </c>
      <c r="F11" s="10" t="n">
        <v>1.45</v>
      </c>
      <c r="G11" s="10" t="n">
        <v>1.42</v>
      </c>
      <c r="H11" s="10" t="n">
        <v>1.61</v>
      </c>
      <c r="I11" s="10" t="n">
        <v>0.64</v>
      </c>
      <c r="J11" s="10" t="n">
        <v>0.16</v>
      </c>
      <c r="K11" s="10" t="n">
        <v>-0.78</v>
      </c>
      <c r="L11" s="10" t="n">
        <v>-0.29</v>
      </c>
      <c r="M11" s="10" t="n">
        <v>-0.08</v>
      </c>
      <c r="N11" s="10" t="n">
        <v>0.14</v>
      </c>
      <c r="O11" s="10" t="n">
        <v>-0.65</v>
      </c>
      <c r="P11" s="10" t="n">
        <v>-0.29</v>
      </c>
      <c r="Q11" s="10" t="n">
        <v>-0.17</v>
      </c>
      <c r="R11" s="10">
        <f>(H11-I11)-(F11-G11)</f>
        <v/>
      </c>
      <c r="S11" s="10">
        <f>(H11+I11)-(F11+G11)</f>
        <v/>
      </c>
      <c r="T11" s="10" t="n">
        <v>2.07</v>
      </c>
      <c r="U11" s="10" t="n">
        <v>1.4</v>
      </c>
      <c r="V11" s="10" t="n">
        <v>0.68</v>
      </c>
      <c r="W11" s="10" t="n">
        <v>12.93</v>
      </c>
      <c r="X11" s="10" t="n">
        <v>13.48</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8</v>
      </c>
      <c r="D39" s="15" t="n">
        <v>5</v>
      </c>
      <c r="E39" s="19" t="n">
        <v>-0.63</v>
      </c>
      <c r="F39" s="19" t="n">
        <v>-0.62</v>
      </c>
      <c r="G39" s="19" t="n">
        <v>0.06</v>
      </c>
      <c r="H39" s="19" t="n">
        <v>0.52</v>
      </c>
    </row>
    <row r="40">
      <c r="A40" s="15" t="inlineStr">
        <is>
          <t>Away</t>
        </is>
      </c>
      <c r="B40" s="15" t="n">
        <v>5</v>
      </c>
      <c r="C40" s="15" t="n">
        <v>4</v>
      </c>
      <c r="D40" s="15" t="n">
        <v>2</v>
      </c>
      <c r="E40" s="19" t="n">
        <v>0.49</v>
      </c>
      <c r="F40" s="19" t="n">
        <v>0.43</v>
      </c>
      <c r="G40" s="19" t="n">
        <v>-0.66</v>
      </c>
      <c r="H40" s="19" t="n">
        <v>-0.61</v>
      </c>
    </row>
    <row r="41">
      <c r="A41" s="20" t="inlineStr">
        <is>
          <t>Total</t>
        </is>
      </c>
      <c r="B41" s="20" t="n">
        <v>10</v>
      </c>
      <c r="C41" s="20" t="n">
        <v>12</v>
      </c>
      <c r="D41" s="20" t="n">
        <v>7</v>
      </c>
      <c r="E41" s="21" t="n">
        <v>-0.07000000000000001</v>
      </c>
      <c r="F41" s="21" t="n">
        <v>-0.11</v>
      </c>
      <c r="G41" s="21" t="n">
        <v>-0.3</v>
      </c>
      <c r="H41" s="21" t="n">
        <v>-0.42</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Grimsby Town</t>
        </is>
      </c>
      <c r="C2" s="6" t="inlineStr">
        <is>
          <t>Away</t>
        </is>
      </c>
      <c r="D2" s="6" t="n">
        <v>0</v>
      </c>
      <c r="E2" s="6" t="n">
        <v>1</v>
      </c>
      <c r="F2" s="9" t="n">
        <v>1.02</v>
      </c>
      <c r="G2" s="9" t="n">
        <v>1.7</v>
      </c>
      <c r="H2" s="9" t="n">
        <v>0.75</v>
      </c>
      <c r="I2" s="9" t="n">
        <v>1.43</v>
      </c>
      <c r="J2" s="9" t="n">
        <v>-0.27</v>
      </c>
      <c r="K2" s="9" t="n">
        <v>-0.27</v>
      </c>
      <c r="L2" s="9" t="n">
        <v>-0.27</v>
      </c>
      <c r="M2" s="9" t="n">
        <v>-0.27</v>
      </c>
      <c r="N2" s="9" t="n">
        <v>-0.62</v>
      </c>
      <c r="O2" s="9" t="n">
        <v>-0.59</v>
      </c>
      <c r="P2" s="9" t="n">
        <v>-0.62</v>
      </c>
      <c r="Q2" s="9" t="n">
        <v>-0.59</v>
      </c>
      <c r="R2" s="9">
        <f>(H2-I2)-(F2-G2)</f>
        <v/>
      </c>
      <c r="S2" s="9">
        <f>(H2+I2)-(F2+G2)</f>
        <v/>
      </c>
      <c r="T2" s="9" t="n">
        <v>0.86</v>
      </c>
      <c r="U2" s="9" t="n">
        <v>0.92</v>
      </c>
      <c r="V2" s="9" t="n">
        <v>-0.06</v>
      </c>
      <c r="W2" s="9" t="n">
        <v>0.86</v>
      </c>
      <c r="X2" s="9" t="n">
        <v>0.92</v>
      </c>
    </row>
    <row r="3">
      <c r="A3" s="8" t="inlineStr">
        <is>
          <t>2026-08-22</t>
        </is>
      </c>
      <c r="B3" s="8" t="inlineStr">
        <is>
          <t>Accrington Stanley</t>
        </is>
      </c>
      <c r="C3" s="8" t="inlineStr">
        <is>
          <t>Home</t>
        </is>
      </c>
      <c r="D3" s="8" t="n">
        <v>2</v>
      </c>
      <c r="E3" s="8" t="n">
        <v>0</v>
      </c>
      <c r="F3" s="10" t="n">
        <v>1.58</v>
      </c>
      <c r="G3" s="10" t="n">
        <v>1.06</v>
      </c>
      <c r="H3" s="10" t="n">
        <v>2.31</v>
      </c>
      <c r="I3" s="10" t="n">
        <v>0.68</v>
      </c>
      <c r="J3" s="10" t="n">
        <v>0.73</v>
      </c>
      <c r="K3" s="10" t="n">
        <v>-0.38</v>
      </c>
      <c r="L3" s="10" t="n">
        <v>0.23</v>
      </c>
      <c r="M3" s="10" t="n">
        <v>-0.33</v>
      </c>
      <c r="N3" s="10" t="n">
        <v>0.88</v>
      </c>
      <c r="O3" s="10" t="n">
        <v>-0.87</v>
      </c>
      <c r="P3" s="10" t="n">
        <v>0.13</v>
      </c>
      <c r="Q3" s="10" t="n">
        <v>-0.73</v>
      </c>
      <c r="R3" s="10">
        <f>(H3-I3)-(F3-G3)</f>
        <v/>
      </c>
      <c r="S3" s="10">
        <f>(H3+I3)-(F3+G3)</f>
        <v/>
      </c>
      <c r="T3" s="10" t="n">
        <v>2.39</v>
      </c>
      <c r="U3" s="10" t="n">
        <v>1.73</v>
      </c>
      <c r="V3" s="10" t="n">
        <v>0.66</v>
      </c>
      <c r="W3" s="10" t="n">
        <v>3.25</v>
      </c>
      <c r="X3" s="10" t="n">
        <v>2.65</v>
      </c>
    </row>
    <row r="4">
      <c r="A4" s="6" t="inlineStr">
        <is>
          <t>2026-08-29</t>
        </is>
      </c>
      <c r="B4" s="6" t="inlineStr">
        <is>
          <t>York</t>
        </is>
      </c>
      <c r="C4" s="6" t="inlineStr">
        <is>
          <t>Away</t>
        </is>
      </c>
      <c r="D4" s="6" t="n">
        <v>1</v>
      </c>
      <c r="E4" s="6" t="n">
        <v>2</v>
      </c>
      <c r="F4" s="9" t="n">
        <v>0.96</v>
      </c>
      <c r="G4" s="9" t="n">
        <v>1.8</v>
      </c>
      <c r="H4" s="9" t="n">
        <v>0.89</v>
      </c>
      <c r="I4" s="9" t="n">
        <v>1.18</v>
      </c>
      <c r="J4" s="9" t="n">
        <v>-0.07000000000000001</v>
      </c>
      <c r="K4" s="9" t="n">
        <v>-0.62</v>
      </c>
      <c r="L4" s="9" t="n">
        <v>0.13</v>
      </c>
      <c r="M4" s="9" t="n">
        <v>-0.43</v>
      </c>
      <c r="N4" s="9" t="n">
        <v>-0.04</v>
      </c>
      <c r="O4" s="9" t="n">
        <v>-1.08</v>
      </c>
      <c r="P4" s="9" t="n">
        <v>0.07000000000000001</v>
      </c>
      <c r="Q4" s="9" t="n">
        <v>-0.85</v>
      </c>
      <c r="R4" s="9">
        <f>(H4-I4)-(F4-G4)</f>
        <v/>
      </c>
      <c r="S4" s="9">
        <f>(H4+I4)-(F4+G4)</f>
        <v/>
      </c>
      <c r="T4" s="9" t="n">
        <v>1.13</v>
      </c>
      <c r="U4" s="9" t="n">
        <v>0.82</v>
      </c>
      <c r="V4" s="9" t="n">
        <v>0.3</v>
      </c>
      <c r="W4" s="9" t="n">
        <v>4.38</v>
      </c>
      <c r="X4" s="9" t="n">
        <v>3.47</v>
      </c>
    </row>
    <row r="5">
      <c r="A5" s="8" t="inlineStr">
        <is>
          <t>2026-09-01</t>
        </is>
      </c>
      <c r="B5" s="8" t="inlineStr">
        <is>
          <t>Barnet</t>
        </is>
      </c>
      <c r="C5" s="8" t="inlineStr">
        <is>
          <t>Home</t>
        </is>
      </c>
      <c r="D5" s="8" t="n">
        <v>1</v>
      </c>
      <c r="E5" s="8" t="n">
        <v>1</v>
      </c>
      <c r="F5" s="10" t="n">
        <v>1.18</v>
      </c>
      <c r="G5" s="10" t="n">
        <v>1.76</v>
      </c>
      <c r="H5" s="10" t="n">
        <v>1.05</v>
      </c>
      <c r="I5" s="10" t="n">
        <v>1.02</v>
      </c>
      <c r="J5" s="10" t="n">
        <v>-0.13</v>
      </c>
      <c r="K5" s="10" t="n">
        <v>-0.74</v>
      </c>
      <c r="L5" s="10" t="n">
        <v>0.07000000000000001</v>
      </c>
      <c r="M5" s="10" t="n">
        <v>-0.5</v>
      </c>
      <c r="N5" s="10" t="n">
        <v>-0.53</v>
      </c>
      <c r="O5" s="10" t="n">
        <v>-1.16</v>
      </c>
      <c r="P5" s="10" t="n">
        <v>-0.08</v>
      </c>
      <c r="Q5" s="10" t="n">
        <v>-0.92</v>
      </c>
      <c r="R5" s="10">
        <f>(H5-I5)-(F5-G5)</f>
        <v/>
      </c>
      <c r="S5" s="10">
        <f>(H5+I5)-(F5+G5)</f>
        <v/>
      </c>
      <c r="T5" s="10" t="n">
        <v>1.37</v>
      </c>
      <c r="U5" s="10" t="n">
        <v>1</v>
      </c>
      <c r="V5" s="10" t="n">
        <v>0.37</v>
      </c>
      <c r="W5" s="10" t="n">
        <v>5.75</v>
      </c>
      <c r="X5" s="10" t="n">
        <v>4.47</v>
      </c>
    </row>
    <row r="6">
      <c r="A6" s="6" t="inlineStr">
        <is>
          <t>2026-09-05</t>
        </is>
      </c>
      <c r="B6" s="6" t="inlineStr">
        <is>
          <t>Walsall</t>
        </is>
      </c>
      <c r="C6" s="6" t="inlineStr">
        <is>
          <t>Home</t>
        </is>
      </c>
      <c r="D6" s="6" t="n">
        <v>0</v>
      </c>
      <c r="E6" s="6" t="n">
        <v>0</v>
      </c>
      <c r="F6" s="9" t="n">
        <v>1.41</v>
      </c>
      <c r="G6" s="9" t="n">
        <v>1.35</v>
      </c>
      <c r="H6" s="9" t="n">
        <v>1.52</v>
      </c>
      <c r="I6" s="9" t="n">
        <v>0.4</v>
      </c>
      <c r="J6" s="9" t="n">
        <v>0.11</v>
      </c>
      <c r="K6" s="9" t="n">
        <v>-0.95</v>
      </c>
      <c r="L6" s="9" t="n">
        <v>0.07000000000000001</v>
      </c>
      <c r="M6" s="9" t="n">
        <v>-0.59</v>
      </c>
      <c r="N6" s="9" t="n">
        <v>0.04</v>
      </c>
      <c r="O6" s="9" t="n">
        <v>-1.16</v>
      </c>
      <c r="P6" s="9" t="n">
        <v>-0.05</v>
      </c>
      <c r="Q6" s="9" t="n">
        <v>-0.97</v>
      </c>
      <c r="R6" s="9">
        <f>(H6-I6)-(F6-G6)</f>
        <v/>
      </c>
      <c r="S6" s="9">
        <f>(H6+I6)-(F6+G6)</f>
        <v/>
      </c>
      <c r="T6" s="9" t="n">
        <v>2.21</v>
      </c>
      <c r="U6" s="9" t="n">
        <v>1.42</v>
      </c>
      <c r="V6" s="9" t="n">
        <v>0.8</v>
      </c>
      <c r="W6" s="9" t="n">
        <v>7.96</v>
      </c>
      <c r="X6" s="9" t="n">
        <v>5.89</v>
      </c>
    </row>
    <row r="7">
      <c r="A7" s="8" t="inlineStr">
        <is>
          <t>2026-09-12</t>
        </is>
      </c>
      <c r="B7" s="8" t="inlineStr">
        <is>
          <t>Port Vale</t>
        </is>
      </c>
      <c r="C7" s="8" t="inlineStr">
        <is>
          <t>Away</t>
        </is>
      </c>
      <c r="D7" s="8" t="n">
        <v>0</v>
      </c>
      <c r="E7" s="8" t="n">
        <v>1</v>
      </c>
      <c r="F7" s="10" t="n">
        <v>1.06</v>
      </c>
      <c r="G7" s="10" t="n">
        <v>1.52</v>
      </c>
      <c r="H7" s="10" t="n">
        <v>0.55</v>
      </c>
      <c r="I7" s="10" t="n">
        <v>1.95</v>
      </c>
      <c r="J7" s="10" t="n">
        <v>-0.51</v>
      </c>
      <c r="K7" s="10" t="n">
        <v>0.43</v>
      </c>
      <c r="L7" s="10" t="n">
        <v>-0.02</v>
      </c>
      <c r="M7" s="10" t="n">
        <v>-0.42</v>
      </c>
      <c r="N7" s="10" t="n">
        <v>-0.31</v>
      </c>
      <c r="O7" s="10" t="n">
        <v>0.53</v>
      </c>
      <c r="P7" s="10" t="n">
        <v>-0.1</v>
      </c>
      <c r="Q7" s="10" t="n">
        <v>-0.72</v>
      </c>
      <c r="R7" s="10">
        <f>(H7-I7)-(F7-G7)</f>
        <v/>
      </c>
      <c r="S7" s="10">
        <f>(H7+I7)-(F7+G7)</f>
        <v/>
      </c>
      <c r="T7" s="10" t="n">
        <v>0.48</v>
      </c>
      <c r="U7" s="10" t="n">
        <v>1.05</v>
      </c>
      <c r="V7" s="10" t="n">
        <v>-0.5600000000000001</v>
      </c>
      <c r="W7" s="10" t="n">
        <v>8.449999999999999</v>
      </c>
      <c r="X7" s="10" t="n">
        <v>6.94</v>
      </c>
    </row>
    <row r="8">
      <c r="A8" s="6" t="inlineStr">
        <is>
          <t>2026-09-19</t>
        </is>
      </c>
      <c r="B8" s="6" t="inlineStr">
        <is>
          <t>Tranmere Rovers</t>
        </is>
      </c>
      <c r="C8" s="6" t="inlineStr">
        <is>
          <t>Home</t>
        </is>
      </c>
      <c r="D8" s="6" t="n">
        <v>0</v>
      </c>
      <c r="E8" s="6" t="n">
        <v>0</v>
      </c>
      <c r="F8" s="9" t="n">
        <v>1.45</v>
      </c>
      <c r="G8" s="9" t="n">
        <v>1.16</v>
      </c>
      <c r="H8" s="9" t="n">
        <v>0.73</v>
      </c>
      <c r="I8" s="9" t="n">
        <v>0.88</v>
      </c>
      <c r="J8" s="9" t="n">
        <v>-0.72</v>
      </c>
      <c r="K8" s="9" t="n">
        <v>-0.28</v>
      </c>
      <c r="L8" s="9" t="n">
        <v>-0.1</v>
      </c>
      <c r="M8" s="9" t="n">
        <v>-0.43</v>
      </c>
      <c r="N8" s="9" t="n">
        <v>-0.98</v>
      </c>
      <c r="O8" s="9" t="n">
        <v>-0.27</v>
      </c>
      <c r="P8" s="9" t="n">
        <v>-0.16</v>
      </c>
      <c r="Q8" s="9" t="n">
        <v>-0.67</v>
      </c>
      <c r="R8" s="9">
        <f>(H8-I8)-(F8-G8)</f>
        <v/>
      </c>
      <c r="S8" s="9">
        <f>(H8+I8)-(F8+G8)</f>
        <v/>
      </c>
      <c r="T8" s="9" t="n">
        <v>1.2</v>
      </c>
      <c r="U8" s="9" t="n">
        <v>1.57</v>
      </c>
      <c r="V8" s="9" t="n">
        <v>-0.38</v>
      </c>
      <c r="W8" s="9" t="n">
        <v>9.640000000000001</v>
      </c>
      <c r="X8" s="9" t="n">
        <v>8.51</v>
      </c>
    </row>
    <row r="9">
      <c r="A9" s="8" t="inlineStr">
        <is>
          <t>2026-09-26</t>
        </is>
      </c>
      <c r="B9" s="8" t="inlineStr">
        <is>
          <t>Bristol Rvs</t>
        </is>
      </c>
      <c r="C9" s="8" t="inlineStr">
        <is>
          <t>Away</t>
        </is>
      </c>
      <c r="D9" s="8" t="n">
        <v>0</v>
      </c>
      <c r="E9" s="8" t="n">
        <v>1</v>
      </c>
      <c r="F9" s="10" t="n">
        <v>1</v>
      </c>
      <c r="G9" s="10" t="n">
        <v>1.78</v>
      </c>
      <c r="H9" s="10" t="n">
        <v>0.66</v>
      </c>
      <c r="I9" s="10" t="n">
        <v>2.02</v>
      </c>
      <c r="J9" s="10" t="n">
        <v>-0.34</v>
      </c>
      <c r="K9" s="10" t="n">
        <v>0.24</v>
      </c>
      <c r="L9" s="10" t="n">
        <v>-0.28</v>
      </c>
      <c r="M9" s="10" t="n">
        <v>-0.32</v>
      </c>
      <c r="N9" s="10" t="n">
        <v>-0.49</v>
      </c>
      <c r="O9" s="10" t="n">
        <v>0.14</v>
      </c>
      <c r="P9" s="10" t="n">
        <v>-0.39</v>
      </c>
      <c r="Q9" s="10" t="n">
        <v>-0.5</v>
      </c>
      <c r="R9" s="10">
        <f>(H9-I9)-(F9-G9)</f>
        <v/>
      </c>
      <c r="S9" s="10">
        <f>(H9+I9)-(F9+G9)</f>
        <v/>
      </c>
      <c r="T9" s="10" t="n">
        <v>0.53</v>
      </c>
      <c r="U9" s="10" t="n">
        <v>0.86</v>
      </c>
      <c r="V9" s="10" t="n">
        <v>-0.34</v>
      </c>
      <c r="W9" s="10" t="n">
        <v>10.17</v>
      </c>
      <c r="X9" s="10" t="n">
        <v>9.369999999999999</v>
      </c>
    </row>
    <row r="10">
      <c r="A10" s="6" t="inlineStr">
        <is>
          <t>2026-10-03</t>
        </is>
      </c>
      <c r="B10" s="6" t="inlineStr">
        <is>
          <t>Rotherham United</t>
        </is>
      </c>
      <c r="C10" s="6" t="inlineStr">
        <is>
          <t>Home</t>
        </is>
      </c>
      <c r="D10" s="6" t="n">
        <v>1</v>
      </c>
      <c r="E10" s="6" t="n">
        <v>0</v>
      </c>
      <c r="F10" s="9" t="n">
        <v>1.33</v>
      </c>
      <c r="G10" s="9" t="n">
        <v>1.32</v>
      </c>
      <c r="H10" s="9" t="n">
        <v>2.18</v>
      </c>
      <c r="I10" s="9" t="n">
        <v>0.47</v>
      </c>
      <c r="J10" s="9" t="n">
        <v>0.85</v>
      </c>
      <c r="K10" s="9" t="n">
        <v>-0.85</v>
      </c>
      <c r="L10" s="9" t="n">
        <v>-0.12</v>
      </c>
      <c r="M10" s="9" t="n">
        <v>-0.36</v>
      </c>
      <c r="N10" s="9" t="n">
        <v>1.09</v>
      </c>
      <c r="O10" s="9" t="n">
        <v>-1.14</v>
      </c>
      <c r="P10" s="9" t="n">
        <v>-0.2</v>
      </c>
      <c r="Q10" s="9" t="n">
        <v>-0.51</v>
      </c>
      <c r="R10" s="9">
        <f>(H10-I10)-(F10-G10)</f>
        <v/>
      </c>
      <c r="S10" s="9">
        <f>(H10+I10)-(F10+G10)</f>
        <v/>
      </c>
      <c r="T10" s="9" t="n">
        <v>2.47</v>
      </c>
      <c r="U10" s="9" t="n">
        <v>1.37</v>
      </c>
      <c r="V10" s="9" t="n">
        <v>1.1</v>
      </c>
      <c r="W10" s="9" t="n">
        <v>12.64</v>
      </c>
      <c r="X10" s="9" t="n">
        <v>10.75</v>
      </c>
    </row>
    <row r="11">
      <c r="A11" s="8" t="inlineStr">
        <is>
          <t>2026-10-10</t>
        </is>
      </c>
      <c r="B11" s="8" t="inlineStr">
        <is>
          <t>Shrewsbury Town</t>
        </is>
      </c>
      <c r="C11" s="8" t="inlineStr">
        <is>
          <t>Away</t>
        </is>
      </c>
      <c r="D11" s="8" t="n">
        <v>1</v>
      </c>
      <c r="E11" s="8" t="n">
        <v>0</v>
      </c>
      <c r="F11" s="10" t="n">
        <v>1.08</v>
      </c>
      <c r="G11" s="10" t="n">
        <v>1.36</v>
      </c>
      <c r="H11" s="10" t="n">
        <v>1.43</v>
      </c>
      <c r="I11" s="10" t="n">
        <v>1.25</v>
      </c>
      <c r="J11" s="10" t="n">
        <v>0.35</v>
      </c>
      <c r="K11" s="10" t="n">
        <v>-0.11</v>
      </c>
      <c r="L11" s="10" t="n">
        <v>-0.04</v>
      </c>
      <c r="M11" s="10" t="n">
        <v>-0.26</v>
      </c>
      <c r="N11" s="10" t="n">
        <v>0.82</v>
      </c>
      <c r="O11" s="10" t="n">
        <v>-0.3</v>
      </c>
      <c r="P11" s="10" t="n">
        <v>0.03</v>
      </c>
      <c r="Q11" s="10" t="n">
        <v>-0.37</v>
      </c>
      <c r="R11" s="10">
        <f>(H11-I11)-(F11-G11)</f>
        <v/>
      </c>
      <c r="S11" s="10">
        <f>(H11+I11)-(F11+G11)</f>
        <v/>
      </c>
      <c r="T11" s="10" t="n">
        <v>1.5</v>
      </c>
      <c r="U11" s="10" t="n">
        <v>1.16</v>
      </c>
      <c r="V11" s="10" t="n">
        <v>0.33</v>
      </c>
      <c r="W11" s="10" t="n">
        <v>14.14</v>
      </c>
      <c r="X11" s="10" t="n">
        <v>11.91</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4</v>
      </c>
      <c r="D39" s="15" t="n">
        <v>1</v>
      </c>
      <c r="E39" s="19" t="n">
        <v>0.8100000000000001</v>
      </c>
      <c r="F39" s="19" t="n">
        <v>1.06</v>
      </c>
      <c r="G39" s="19" t="n">
        <v>-0.47</v>
      </c>
      <c r="H39" s="19" t="n">
        <v>-0.84</v>
      </c>
    </row>
    <row r="40">
      <c r="A40" s="15" t="inlineStr">
        <is>
          <t>Away</t>
        </is>
      </c>
      <c r="B40" s="15" t="n">
        <v>5</v>
      </c>
      <c r="C40" s="15" t="n">
        <v>2</v>
      </c>
      <c r="D40" s="15" t="n">
        <v>5</v>
      </c>
      <c r="E40" s="19" t="n">
        <v>-0.1</v>
      </c>
      <c r="F40" s="19" t="n">
        <v>0</v>
      </c>
      <c r="G40" s="19" t="n">
        <v>-0.24</v>
      </c>
      <c r="H40" s="19" t="n">
        <v>-0.1</v>
      </c>
    </row>
    <row r="41">
      <c r="A41" s="20" t="inlineStr">
        <is>
          <t>Total</t>
        </is>
      </c>
      <c r="B41" s="20" t="n">
        <v>10</v>
      </c>
      <c r="C41" s="20" t="n">
        <v>6</v>
      </c>
      <c r="D41" s="20" t="n">
        <v>6</v>
      </c>
      <c r="E41" s="21" t="n">
        <v>0.35</v>
      </c>
      <c r="F41" s="21" t="n">
        <v>0.51</v>
      </c>
      <c r="G41" s="21" t="n">
        <v>-0.35</v>
      </c>
      <c r="H41" s="21" t="n">
        <v>-0.32</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Chesterfield</t>
        </is>
      </c>
      <c r="C2" s="6" t="inlineStr">
        <is>
          <t>Away</t>
        </is>
      </c>
      <c r="D2" s="6" t="n">
        <v>1</v>
      </c>
      <c r="E2" s="6" t="n">
        <v>0</v>
      </c>
      <c r="F2" s="9" t="n">
        <v>0.95</v>
      </c>
      <c r="G2" s="9" t="n">
        <v>1.63</v>
      </c>
      <c r="H2" s="9" t="n">
        <v>1.11</v>
      </c>
      <c r="I2" s="9" t="n">
        <v>2.17</v>
      </c>
      <c r="J2" s="9" t="n">
        <v>0.16</v>
      </c>
      <c r="K2" s="9" t="n">
        <v>0.54</v>
      </c>
      <c r="L2" s="9" t="n">
        <v>0.16</v>
      </c>
      <c r="M2" s="9" t="n">
        <v>0.54</v>
      </c>
      <c r="N2" s="9" t="n">
        <v>0.16</v>
      </c>
      <c r="O2" s="9" t="n">
        <v>-0.07000000000000001</v>
      </c>
      <c r="P2" s="9" t="n">
        <v>0.16</v>
      </c>
      <c r="Q2" s="9" t="n">
        <v>-0.07000000000000001</v>
      </c>
      <c r="R2" s="9">
        <f>(H2-I2)-(F2-G2)</f>
        <v/>
      </c>
      <c r="S2" s="9">
        <f>(H2+I2)-(F2+G2)</f>
        <v/>
      </c>
      <c r="T2" s="9" t="n">
        <v>0.76</v>
      </c>
      <c r="U2" s="9" t="n">
        <v>0.91</v>
      </c>
      <c r="V2" s="9" t="n">
        <v>-0.15</v>
      </c>
      <c r="W2" s="9" t="n">
        <v>0.76</v>
      </c>
      <c r="X2" s="9" t="n">
        <v>0.91</v>
      </c>
    </row>
    <row r="3">
      <c r="A3" s="8" t="inlineStr">
        <is>
          <t>2026-08-22</t>
        </is>
      </c>
      <c r="B3" s="8" t="inlineStr">
        <is>
          <t>Gillingham</t>
        </is>
      </c>
      <c r="C3" s="8" t="inlineStr">
        <is>
          <t>Home</t>
        </is>
      </c>
      <c r="D3" s="8" t="n">
        <v>0</v>
      </c>
      <c r="E3" s="8" t="n">
        <v>0</v>
      </c>
      <c r="F3" s="10" t="n">
        <v>1.64</v>
      </c>
      <c r="G3" s="10" t="n">
        <v>1</v>
      </c>
      <c r="H3" s="10" t="n">
        <v>1.16</v>
      </c>
      <c r="I3" s="10" t="n">
        <v>1.18</v>
      </c>
      <c r="J3" s="10" t="n">
        <v>-0.48</v>
      </c>
      <c r="K3" s="10" t="n">
        <v>0.18</v>
      </c>
      <c r="L3" s="10" t="n">
        <v>-0.16</v>
      </c>
      <c r="M3" s="10" t="n">
        <v>0.36</v>
      </c>
      <c r="N3" s="10" t="n">
        <v>-0.43</v>
      </c>
      <c r="O3" s="10" t="n">
        <v>0.12</v>
      </c>
      <c r="P3" s="10" t="n">
        <v>-0.13</v>
      </c>
      <c r="Q3" s="10" t="n">
        <v>0.02</v>
      </c>
      <c r="R3" s="10">
        <f>(H3-I3)-(F3-G3)</f>
        <v/>
      </c>
      <c r="S3" s="10">
        <f>(H3+I3)-(F3+G3)</f>
        <v/>
      </c>
      <c r="T3" s="10" t="n">
        <v>1.34</v>
      </c>
      <c r="U3" s="10" t="n">
        <v>1.81</v>
      </c>
      <c r="V3" s="10" t="n">
        <v>-0.47</v>
      </c>
      <c r="W3" s="10" t="n">
        <v>2.1</v>
      </c>
      <c r="X3" s="10" t="n">
        <v>2.72</v>
      </c>
    </row>
    <row r="4">
      <c r="A4" s="6" t="inlineStr">
        <is>
          <t>2026-08-29</t>
        </is>
      </c>
      <c r="B4" s="6" t="inlineStr">
        <is>
          <t>Grimsby Town</t>
        </is>
      </c>
      <c r="C4" s="6" t="inlineStr">
        <is>
          <t>Away</t>
        </is>
      </c>
      <c r="D4" s="6" t="n">
        <v>2</v>
      </c>
      <c r="E4" s="6" t="n">
        <v>2</v>
      </c>
      <c r="F4" s="9" t="n">
        <v>0.98</v>
      </c>
      <c r="G4" s="9" t="n">
        <v>1.61</v>
      </c>
      <c r="H4" s="9" t="n">
        <v>1.61</v>
      </c>
      <c r="I4" s="9" t="n">
        <v>2.92</v>
      </c>
      <c r="J4" s="9" t="n">
        <v>0.63</v>
      </c>
      <c r="K4" s="9" t="n">
        <v>1.31</v>
      </c>
      <c r="L4" s="9" t="n">
        <v>0.1</v>
      </c>
      <c r="M4" s="9" t="n">
        <v>0.67</v>
      </c>
      <c r="N4" s="9" t="n">
        <v>0.38</v>
      </c>
      <c r="O4" s="9" t="n">
        <v>1.17</v>
      </c>
      <c r="P4" s="9" t="n">
        <v>0.04</v>
      </c>
      <c r="Q4" s="9" t="n">
        <v>0.41</v>
      </c>
      <c r="R4" s="9">
        <f>(H4-I4)-(F4-G4)</f>
        <v/>
      </c>
      <c r="S4" s="9">
        <f>(H4+I4)-(F4+G4)</f>
        <v/>
      </c>
      <c r="T4" s="9" t="n">
        <v>0.74</v>
      </c>
      <c r="U4" s="9" t="n">
        <v>0.9399999999999999</v>
      </c>
      <c r="V4" s="9" t="n">
        <v>-0.2</v>
      </c>
      <c r="W4" s="9" t="n">
        <v>2.84</v>
      </c>
      <c r="X4" s="9" t="n">
        <v>3.66</v>
      </c>
    </row>
    <row r="5">
      <c r="A5" s="8" t="inlineStr">
        <is>
          <t>2026-09-01</t>
        </is>
      </c>
      <c r="B5" s="8" t="inlineStr">
        <is>
          <t>Oldham Athletic</t>
        </is>
      </c>
      <c r="C5" s="8" t="inlineStr">
        <is>
          <t>Home</t>
        </is>
      </c>
      <c r="D5" s="8" t="n">
        <v>1</v>
      </c>
      <c r="E5" s="8" t="n">
        <v>1</v>
      </c>
      <c r="F5" s="10" t="n">
        <v>1.31</v>
      </c>
      <c r="G5" s="10" t="n">
        <v>1.3</v>
      </c>
      <c r="H5" s="10" t="n">
        <v>0.84</v>
      </c>
      <c r="I5" s="10" t="n">
        <v>1.42</v>
      </c>
      <c r="J5" s="10" t="n">
        <v>-0.47</v>
      </c>
      <c r="K5" s="10" t="n">
        <v>0.12</v>
      </c>
      <c r="L5" s="10" t="n">
        <v>-0.04</v>
      </c>
      <c r="M5" s="10" t="n">
        <v>0.53</v>
      </c>
      <c r="N5" s="10" t="n">
        <v>-0.51</v>
      </c>
      <c r="O5" s="10" t="n">
        <v>0.22</v>
      </c>
      <c r="P5" s="10" t="n">
        <v>-0.1</v>
      </c>
      <c r="Q5" s="10" t="n">
        <v>0.36</v>
      </c>
      <c r="R5" s="10">
        <f>(H5-I5)-(F5-G5)</f>
        <v/>
      </c>
      <c r="S5" s="10">
        <f>(H5+I5)-(F5+G5)</f>
        <v/>
      </c>
      <c r="T5" s="10" t="n">
        <v>0.9399999999999999</v>
      </c>
      <c r="U5" s="10" t="n">
        <v>1.37</v>
      </c>
      <c r="V5" s="10" t="n">
        <v>-0.43</v>
      </c>
      <c r="W5" s="10" t="n">
        <v>3.78</v>
      </c>
      <c r="X5" s="10" t="n">
        <v>5.03</v>
      </c>
    </row>
    <row r="6">
      <c r="A6" s="6" t="inlineStr">
        <is>
          <t>2026-09-05</t>
        </is>
      </c>
      <c r="B6" s="6" t="inlineStr">
        <is>
          <t>Shrewsbury Town</t>
        </is>
      </c>
      <c r="C6" s="6" t="inlineStr">
        <is>
          <t>Home</t>
        </is>
      </c>
      <c r="D6" s="6" t="n">
        <v>2</v>
      </c>
      <c r="E6" s="6" t="n">
        <v>0</v>
      </c>
      <c r="F6" s="9" t="n">
        <v>1.56</v>
      </c>
      <c r="G6" s="9" t="n">
        <v>0.99</v>
      </c>
      <c r="H6" s="9" t="n">
        <v>0.8</v>
      </c>
      <c r="I6" s="9" t="n">
        <v>0.71</v>
      </c>
      <c r="J6" s="9" t="n">
        <v>-0.76</v>
      </c>
      <c r="K6" s="9" t="n">
        <v>-0.28</v>
      </c>
      <c r="L6" s="9" t="n">
        <v>-0.18</v>
      </c>
      <c r="M6" s="9" t="n">
        <v>0.37</v>
      </c>
      <c r="N6" s="9" t="n">
        <v>-0.42</v>
      </c>
      <c r="O6" s="9" t="n">
        <v>-0.48</v>
      </c>
      <c r="P6" s="9" t="n">
        <v>-0.16</v>
      </c>
      <c r="Q6" s="9" t="n">
        <v>0.19</v>
      </c>
      <c r="R6" s="9">
        <f>(H6-I6)-(F6-G6)</f>
        <v/>
      </c>
      <c r="S6" s="9">
        <f>(H6+I6)-(F6+G6)</f>
        <v/>
      </c>
      <c r="T6" s="9" t="n">
        <v>1.4</v>
      </c>
      <c r="U6" s="9" t="n">
        <v>1.77</v>
      </c>
      <c r="V6" s="9" t="n">
        <v>-0.38</v>
      </c>
      <c r="W6" s="9" t="n">
        <v>5.17</v>
      </c>
      <c r="X6" s="9" t="n">
        <v>6.81</v>
      </c>
    </row>
    <row r="7">
      <c r="A7" s="8" t="inlineStr">
        <is>
          <t>2026-09-12</t>
        </is>
      </c>
      <c r="B7" s="8" t="inlineStr">
        <is>
          <t>Newport County</t>
        </is>
      </c>
      <c r="C7" s="8" t="inlineStr">
        <is>
          <t>Away</t>
        </is>
      </c>
      <c r="D7" s="8" t="n">
        <v>1</v>
      </c>
      <c r="E7" s="8" t="n">
        <v>1</v>
      </c>
      <c r="F7" s="10" t="n">
        <v>1.55</v>
      </c>
      <c r="G7" s="10" t="n">
        <v>1.16</v>
      </c>
      <c r="H7" s="10" t="n">
        <v>1.06</v>
      </c>
      <c r="I7" s="10" t="n">
        <v>2.64</v>
      </c>
      <c r="J7" s="10" t="n">
        <v>-0.49</v>
      </c>
      <c r="K7" s="10" t="n">
        <v>1.48</v>
      </c>
      <c r="L7" s="10" t="n">
        <v>-0.24</v>
      </c>
      <c r="M7" s="10" t="n">
        <v>0.5600000000000001</v>
      </c>
      <c r="N7" s="10" t="n">
        <v>-0.15</v>
      </c>
      <c r="O7" s="10" t="n">
        <v>1.66</v>
      </c>
      <c r="P7" s="10" t="n">
        <v>-0.16</v>
      </c>
      <c r="Q7" s="10" t="n">
        <v>0.44</v>
      </c>
      <c r="R7" s="10">
        <f>(H7-I7)-(F7-G7)</f>
        <v/>
      </c>
      <c r="S7" s="10">
        <f>(H7+I7)-(F7+G7)</f>
        <v/>
      </c>
      <c r="T7" s="10" t="n">
        <v>0.55</v>
      </c>
      <c r="U7" s="10" t="n">
        <v>1.64</v>
      </c>
      <c r="V7" s="10" t="n">
        <v>-1.09</v>
      </c>
      <c r="W7" s="10" t="n">
        <v>5.72</v>
      </c>
      <c r="X7" s="10" t="n">
        <v>8.449999999999999</v>
      </c>
    </row>
    <row r="8">
      <c r="A8" s="6" t="inlineStr">
        <is>
          <t>2026-09-19</t>
        </is>
      </c>
      <c r="B8" s="6" t="inlineStr">
        <is>
          <t>Barnet</t>
        </is>
      </c>
      <c r="C8" s="6" t="inlineStr">
        <is>
          <t>Away</t>
        </is>
      </c>
      <c r="D8" s="6" t="n">
        <v>1</v>
      </c>
      <c r="E8" s="6" t="n">
        <v>3</v>
      </c>
      <c r="F8" s="9" t="n">
        <v>1.07</v>
      </c>
      <c r="G8" s="9" t="n">
        <v>1.88</v>
      </c>
      <c r="H8" s="9" t="n">
        <v>1.58</v>
      </c>
      <c r="I8" s="9" t="n">
        <v>2.55</v>
      </c>
      <c r="J8" s="9" t="n">
        <v>0.51</v>
      </c>
      <c r="K8" s="9" t="n">
        <v>0.67</v>
      </c>
      <c r="L8" s="9" t="n">
        <v>-0.18</v>
      </c>
      <c r="M8" s="9" t="n">
        <v>0.58</v>
      </c>
      <c r="N8" s="9" t="n">
        <v>0.2</v>
      </c>
      <c r="O8" s="9" t="n">
        <v>0.45</v>
      </c>
      <c r="P8" s="9" t="n">
        <v>-0.15</v>
      </c>
      <c r="Q8" s="9" t="n">
        <v>0.52</v>
      </c>
      <c r="R8" s="9">
        <f>(H8-I8)-(F8-G8)</f>
        <v/>
      </c>
      <c r="S8" s="9">
        <f>(H8+I8)-(F8+G8)</f>
        <v/>
      </c>
      <c r="T8" s="9" t="n">
        <v>0.87</v>
      </c>
      <c r="U8" s="9" t="n">
        <v>0.86</v>
      </c>
      <c r="V8" s="9" t="n">
        <v>0.01</v>
      </c>
      <c r="W8" s="9" t="n">
        <v>6.59</v>
      </c>
      <c r="X8" s="9" t="n">
        <v>9.31</v>
      </c>
    </row>
    <row r="9">
      <c r="A9" s="8" t="inlineStr">
        <is>
          <t>2026-09-26</t>
        </is>
      </c>
      <c r="B9" s="8" t="inlineStr">
        <is>
          <t>Rochdale</t>
        </is>
      </c>
      <c r="C9" s="8" t="inlineStr">
        <is>
          <t>Home</t>
        </is>
      </c>
      <c r="D9" s="8" t="n">
        <v>1</v>
      </c>
      <c r="E9" s="8" t="n">
        <v>2</v>
      </c>
      <c r="F9" s="10" t="n">
        <v>1.65</v>
      </c>
      <c r="G9" s="10" t="n">
        <v>1.04</v>
      </c>
      <c r="H9" s="10" t="n">
        <v>1.52</v>
      </c>
      <c r="I9" s="10" t="n">
        <v>1.4</v>
      </c>
      <c r="J9" s="10" t="n">
        <v>-0.13</v>
      </c>
      <c r="K9" s="10" t="n">
        <v>0.36</v>
      </c>
      <c r="L9" s="10" t="n">
        <v>-0.12</v>
      </c>
      <c r="M9" s="10" t="n">
        <v>0.61</v>
      </c>
      <c r="N9" s="10" t="n">
        <v>-0.41</v>
      </c>
      <c r="O9" s="10" t="n">
        <v>0.96</v>
      </c>
      <c r="P9" s="10" t="n">
        <v>-0.15</v>
      </c>
      <c r="Q9" s="10" t="n">
        <v>0.66</v>
      </c>
      <c r="R9" s="10">
        <f>(H9-I9)-(F9-G9)</f>
        <v/>
      </c>
      <c r="S9" s="10">
        <f>(H9+I9)-(F9+G9)</f>
        <v/>
      </c>
      <c r="T9" s="10" t="n">
        <v>1.46</v>
      </c>
      <c r="U9" s="10" t="n">
        <v>1.79</v>
      </c>
      <c r="V9" s="10" t="n">
        <v>-0.34</v>
      </c>
      <c r="W9" s="10" t="n">
        <v>8.050000000000001</v>
      </c>
      <c r="X9" s="10" t="n">
        <v>11.1</v>
      </c>
    </row>
    <row r="10">
      <c r="A10" s="6" t="inlineStr">
        <is>
          <t>2026-10-03</t>
        </is>
      </c>
      <c r="B10" s="6" t="inlineStr">
        <is>
          <t>Salford City</t>
        </is>
      </c>
      <c r="C10" s="6" t="inlineStr">
        <is>
          <t>Away</t>
        </is>
      </c>
      <c r="D10" s="6" t="n">
        <v>0</v>
      </c>
      <c r="E10" s="6" t="n">
        <v>1</v>
      </c>
      <c r="F10" s="9" t="n">
        <v>1.01</v>
      </c>
      <c r="G10" s="9" t="n">
        <v>1.86</v>
      </c>
      <c r="H10" s="9" t="n">
        <v>0.62</v>
      </c>
      <c r="I10" s="9" t="n">
        <v>2.04</v>
      </c>
      <c r="J10" s="9" t="n">
        <v>-0.39</v>
      </c>
      <c r="K10" s="9" t="n">
        <v>0.18</v>
      </c>
      <c r="L10" s="9" t="n">
        <v>-0.29</v>
      </c>
      <c r="M10" s="9" t="n">
        <v>0.42</v>
      </c>
      <c r="N10" s="9" t="n">
        <v>-0.41</v>
      </c>
      <c r="O10" s="9" t="n">
        <v>0.65</v>
      </c>
      <c r="P10" s="9" t="n">
        <v>-0.28</v>
      </c>
      <c r="Q10" s="9" t="n">
        <v>0.58</v>
      </c>
      <c r="R10" s="9">
        <f>(H10-I10)-(F10-G10)</f>
        <v/>
      </c>
      <c r="S10" s="9">
        <f>(H10+I10)-(F10+G10)</f>
        <v/>
      </c>
      <c r="T10" s="9" t="n">
        <v>0.5</v>
      </c>
      <c r="U10" s="9" t="n">
        <v>0.83</v>
      </c>
      <c r="V10" s="9" t="n">
        <v>-0.34</v>
      </c>
      <c r="W10" s="9" t="n">
        <v>8.539999999999999</v>
      </c>
      <c r="X10" s="9" t="n">
        <v>11.94</v>
      </c>
    </row>
    <row r="11">
      <c r="A11" s="8" t="inlineStr">
        <is>
          <t>2026-10-10</t>
        </is>
      </c>
      <c r="B11" s="8" t="inlineStr">
        <is>
          <t>Walsall</t>
        </is>
      </c>
      <c r="C11" s="8" t="inlineStr">
        <is>
          <t>Home</t>
        </is>
      </c>
      <c r="D11" s="8" t="n">
        <v>1</v>
      </c>
      <c r="E11" s="8" t="n">
        <v>1</v>
      </c>
      <c r="F11" s="10" t="n">
        <v>1.5</v>
      </c>
      <c r="G11" s="10" t="n">
        <v>1.25</v>
      </c>
      <c r="H11" s="10" t="n">
        <v>1.57</v>
      </c>
      <c r="I11" s="10" t="n">
        <v>0.89</v>
      </c>
      <c r="J11" s="10" t="n">
        <v>0.07000000000000001</v>
      </c>
      <c r="K11" s="10" t="n">
        <v>-0.36</v>
      </c>
      <c r="L11" s="10" t="n">
        <v>-0.2</v>
      </c>
      <c r="M11" s="10" t="n">
        <v>0.34</v>
      </c>
      <c r="N11" s="10" t="n">
        <v>-0</v>
      </c>
      <c r="O11" s="10" t="n">
        <v>-0.5</v>
      </c>
      <c r="P11" s="10" t="n">
        <v>-0.2</v>
      </c>
      <c r="Q11" s="10" t="n">
        <v>0.46</v>
      </c>
      <c r="R11" s="10">
        <f>(H11-I11)-(F11-G11)</f>
        <v/>
      </c>
      <c r="S11" s="10">
        <f>(H11+I11)-(F11+G11)</f>
        <v/>
      </c>
      <c r="T11" s="10" t="n">
        <v>1.85</v>
      </c>
      <c r="U11" s="10" t="n">
        <v>1.54</v>
      </c>
      <c r="V11" s="10" t="n">
        <v>0.31</v>
      </c>
      <c r="W11" s="10" t="n">
        <v>10.4</v>
      </c>
      <c r="X11" s="10" t="n">
        <v>13.48</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5</v>
      </c>
      <c r="D39" s="15" t="n">
        <v>4</v>
      </c>
      <c r="E39" s="19" t="n">
        <v>-0.36</v>
      </c>
      <c r="F39" s="19" t="n">
        <v>-0.49</v>
      </c>
      <c r="G39" s="19" t="n">
        <v>-0.35</v>
      </c>
      <c r="H39" s="19" t="n">
        <v>-0.3</v>
      </c>
    </row>
    <row r="40">
      <c r="A40" s="15" t="inlineStr">
        <is>
          <t>Away</t>
        </is>
      </c>
      <c r="B40" s="15" t="n">
        <v>5</v>
      </c>
      <c r="C40" s="15" t="n">
        <v>5</v>
      </c>
      <c r="D40" s="15" t="n">
        <v>7</v>
      </c>
      <c r="E40" s="19" t="n">
        <v>-0.75</v>
      </c>
      <c r="F40" s="19" t="n">
        <v>-0.57</v>
      </c>
      <c r="G40" s="19" t="n">
        <v>0.92</v>
      </c>
      <c r="H40" s="19" t="n">
        <v>0.99</v>
      </c>
    </row>
    <row r="41">
      <c r="A41" s="20" t="inlineStr">
        <is>
          <t>Total</t>
        </is>
      </c>
      <c r="B41" s="20" t="n">
        <v>10</v>
      </c>
      <c r="C41" s="20" t="n">
        <v>10</v>
      </c>
      <c r="D41" s="20" t="n">
        <v>11</v>
      </c>
      <c r="E41" s="21" t="n">
        <v>-0.55</v>
      </c>
      <c r="F41" s="21" t="n">
        <v>-0.53</v>
      </c>
      <c r="G41" s="21" t="n">
        <v>0.28</v>
      </c>
      <c r="H41" s="21" t="n">
        <v>0.01</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Walsall</t>
        </is>
      </c>
      <c r="C2" s="6" t="inlineStr">
        <is>
          <t>Home</t>
        </is>
      </c>
      <c r="D2" s="6" t="n">
        <v>0</v>
      </c>
      <c r="E2" s="6" t="n">
        <v>3</v>
      </c>
      <c r="F2" s="9" t="n">
        <v>1.43</v>
      </c>
      <c r="G2" s="9" t="n">
        <v>1.15</v>
      </c>
      <c r="H2" s="9" t="n">
        <v>1.45</v>
      </c>
      <c r="I2" s="9" t="n">
        <v>3.1</v>
      </c>
      <c r="J2" s="9" t="n">
        <v>0.02</v>
      </c>
      <c r="K2" s="9" t="n">
        <v>1.95</v>
      </c>
      <c r="L2" s="9" t="n">
        <v>0.02</v>
      </c>
      <c r="M2" s="9" t="n">
        <v>1.95</v>
      </c>
      <c r="N2" s="9" t="n">
        <v>-0.06</v>
      </c>
      <c r="O2" s="9" t="n">
        <v>2.1</v>
      </c>
      <c r="P2" s="9" t="n">
        <v>-0.06</v>
      </c>
      <c r="Q2" s="9" t="n">
        <v>2.1</v>
      </c>
      <c r="R2" s="9">
        <f>(H2-I2)-(F2-G2)</f>
        <v/>
      </c>
      <c r="S2" s="9">
        <f>(H2+I2)-(F2+G2)</f>
        <v/>
      </c>
      <c r="T2" s="9" t="n">
        <v>0.59</v>
      </c>
      <c r="U2" s="9" t="n">
        <v>1.57</v>
      </c>
      <c r="V2" s="9" t="n">
        <v>-0.98</v>
      </c>
      <c r="W2" s="9" t="n">
        <v>0.59</v>
      </c>
      <c r="X2" s="9" t="n">
        <v>1.57</v>
      </c>
    </row>
    <row r="3">
      <c r="A3" s="8" t="inlineStr">
        <is>
          <t>2026-08-22</t>
        </is>
      </c>
      <c r="B3" s="8" t="inlineStr">
        <is>
          <t>Fleetwood Town</t>
        </is>
      </c>
      <c r="C3" s="8" t="inlineStr">
        <is>
          <t>Away</t>
        </is>
      </c>
      <c r="D3" s="8" t="n">
        <v>0</v>
      </c>
      <c r="E3" s="8" t="n">
        <v>0</v>
      </c>
      <c r="F3" s="10" t="n">
        <v>1</v>
      </c>
      <c r="G3" s="10" t="n">
        <v>1.64</v>
      </c>
      <c r="H3" s="10" t="n">
        <v>1.18</v>
      </c>
      <c r="I3" s="10" t="n">
        <v>1.16</v>
      </c>
      <c r="J3" s="10" t="n">
        <v>0.18</v>
      </c>
      <c r="K3" s="10" t="n">
        <v>-0.48</v>
      </c>
      <c r="L3" s="10" t="n">
        <v>0.1</v>
      </c>
      <c r="M3" s="10" t="n">
        <v>0.74</v>
      </c>
      <c r="N3" s="10" t="n">
        <v>-0.27</v>
      </c>
      <c r="O3" s="10" t="n">
        <v>-0.38</v>
      </c>
      <c r="P3" s="10" t="n">
        <v>-0.17</v>
      </c>
      <c r="Q3" s="10" t="n">
        <v>0.86</v>
      </c>
      <c r="R3" s="10">
        <f>(H3-I3)-(F3-G3)</f>
        <v/>
      </c>
      <c r="S3" s="10">
        <f>(H3+I3)-(F3+G3)</f>
        <v/>
      </c>
      <c r="T3" s="10" t="n">
        <v>1.37</v>
      </c>
      <c r="U3" s="10" t="n">
        <v>0.9399999999999999</v>
      </c>
      <c r="V3" s="10" t="n">
        <v>0.43</v>
      </c>
      <c r="W3" s="10" t="n">
        <v>1.97</v>
      </c>
      <c r="X3" s="10" t="n">
        <v>2.51</v>
      </c>
    </row>
    <row r="4">
      <c r="A4" s="6" t="inlineStr">
        <is>
          <t>2026-08-29</t>
        </is>
      </c>
      <c r="B4" s="6" t="inlineStr">
        <is>
          <t>Northampton Town</t>
        </is>
      </c>
      <c r="C4" s="6" t="inlineStr">
        <is>
          <t>Home</t>
        </is>
      </c>
      <c r="D4" s="6" t="n">
        <v>1</v>
      </c>
      <c r="E4" s="6" t="n">
        <v>1</v>
      </c>
      <c r="F4" s="9" t="n">
        <v>1.32</v>
      </c>
      <c r="G4" s="9" t="n">
        <v>1.26</v>
      </c>
      <c r="H4" s="9" t="n">
        <v>0.89</v>
      </c>
      <c r="I4" s="9" t="n">
        <v>0.35</v>
      </c>
      <c r="J4" s="9" t="n">
        <v>-0.43</v>
      </c>
      <c r="K4" s="9" t="n">
        <v>-0.91</v>
      </c>
      <c r="L4" s="9" t="n">
        <v>-0.08</v>
      </c>
      <c r="M4" s="9" t="n">
        <v>0.19</v>
      </c>
      <c r="N4" s="9" t="n">
        <v>-0.34</v>
      </c>
      <c r="O4" s="9" t="n">
        <v>-0.27</v>
      </c>
      <c r="P4" s="9" t="n">
        <v>-0.22</v>
      </c>
      <c r="Q4" s="9" t="n">
        <v>0.49</v>
      </c>
      <c r="R4" s="9">
        <f>(H4-I4)-(F4-G4)</f>
        <v/>
      </c>
      <c r="S4" s="9">
        <f>(H4+I4)-(F4+G4)</f>
        <v/>
      </c>
      <c r="T4" s="9" t="n">
        <v>1.81</v>
      </c>
      <c r="U4" s="9" t="n">
        <v>1.41</v>
      </c>
      <c r="V4" s="9" t="n">
        <v>0.4</v>
      </c>
      <c r="W4" s="9" t="n">
        <v>3.77</v>
      </c>
      <c r="X4" s="9" t="n">
        <v>3.92</v>
      </c>
    </row>
    <row r="5">
      <c r="A5" s="8" t="inlineStr">
        <is>
          <t>2026-09-01</t>
        </is>
      </c>
      <c r="B5" s="8" t="inlineStr">
        <is>
          <t>Chesterfield</t>
        </is>
      </c>
      <c r="C5" s="8" t="inlineStr">
        <is>
          <t>Away</t>
        </is>
      </c>
      <c r="D5" s="8" t="n">
        <v>1</v>
      </c>
      <c r="E5" s="8" t="n">
        <v>1</v>
      </c>
      <c r="F5" s="10" t="n">
        <v>0.83</v>
      </c>
      <c r="G5" s="10" t="n">
        <v>1.79</v>
      </c>
      <c r="H5" s="10" t="n">
        <v>0.5600000000000001</v>
      </c>
      <c r="I5" s="10" t="n">
        <v>2.05</v>
      </c>
      <c r="J5" s="10" t="n">
        <v>-0.27</v>
      </c>
      <c r="K5" s="10" t="n">
        <v>0.26</v>
      </c>
      <c r="L5" s="10" t="n">
        <v>-0.13</v>
      </c>
      <c r="M5" s="10" t="n">
        <v>0.21</v>
      </c>
      <c r="N5" s="10" t="n">
        <v>-0.32</v>
      </c>
      <c r="O5" s="10" t="n">
        <v>-0.37</v>
      </c>
      <c r="P5" s="10" t="n">
        <v>-0.25</v>
      </c>
      <c r="Q5" s="10" t="n">
        <v>0.27</v>
      </c>
      <c r="R5" s="10">
        <f>(H5-I5)-(F5-G5)</f>
        <v/>
      </c>
      <c r="S5" s="10">
        <f>(H5+I5)-(F5+G5)</f>
        <v/>
      </c>
      <c r="T5" s="10" t="n">
        <v>0.46</v>
      </c>
      <c r="U5" s="10" t="n">
        <v>0.74</v>
      </c>
      <c r="V5" s="10" t="n">
        <v>-0.29</v>
      </c>
      <c r="W5" s="10" t="n">
        <v>4.23</v>
      </c>
      <c r="X5" s="10" t="n">
        <v>4.67</v>
      </c>
    </row>
    <row r="6">
      <c r="A6" s="6" t="inlineStr">
        <is>
          <t>2026-09-05</t>
        </is>
      </c>
      <c r="B6" s="6" t="inlineStr">
        <is>
          <t>Rochdale</t>
        </is>
      </c>
      <c r="C6" s="6" t="inlineStr">
        <is>
          <t>Away</t>
        </is>
      </c>
      <c r="D6" s="6" t="n">
        <v>4</v>
      </c>
      <c r="E6" s="6" t="n">
        <v>1</v>
      </c>
      <c r="F6" s="9" t="n">
        <v>1.07</v>
      </c>
      <c r="G6" s="9" t="n">
        <v>1.45</v>
      </c>
      <c r="H6" s="9" t="n">
        <v>1.95</v>
      </c>
      <c r="I6" s="9" t="n">
        <v>0.8</v>
      </c>
      <c r="J6" s="9" t="n">
        <v>0.88</v>
      </c>
      <c r="K6" s="9" t="n">
        <v>-0.65</v>
      </c>
      <c r="L6" s="9" t="n">
        <v>0.07000000000000001</v>
      </c>
      <c r="M6" s="9" t="n">
        <v>0.04</v>
      </c>
      <c r="N6" s="9" t="n">
        <v>0.71</v>
      </c>
      <c r="O6" s="9" t="n">
        <v>-0.17</v>
      </c>
      <c r="P6" s="9" t="n">
        <v>-0.06</v>
      </c>
      <c r="Q6" s="9" t="n">
        <v>0.18</v>
      </c>
      <c r="R6" s="9">
        <f>(H6-I6)-(F6-G6)</f>
        <v/>
      </c>
      <c r="S6" s="9">
        <f>(H6+I6)-(F6+G6)</f>
        <v/>
      </c>
      <c r="T6" s="9" t="n">
        <v>2.14</v>
      </c>
      <c r="U6" s="9" t="n">
        <v>1.1</v>
      </c>
      <c r="V6" s="9" t="n">
        <v>1.04</v>
      </c>
      <c r="W6" s="9" t="n">
        <v>6.37</v>
      </c>
      <c r="X6" s="9" t="n">
        <v>5.77</v>
      </c>
    </row>
    <row r="7">
      <c r="A7" s="8" t="inlineStr">
        <is>
          <t>2026-09-12</t>
        </is>
      </c>
      <c r="B7" s="8" t="inlineStr">
        <is>
          <t>Tranmere Rovers</t>
        </is>
      </c>
      <c r="C7" s="8" t="inlineStr">
        <is>
          <t>Home</t>
        </is>
      </c>
      <c r="D7" s="8" t="n">
        <v>2</v>
      </c>
      <c r="E7" s="8" t="n">
        <v>0</v>
      </c>
      <c r="F7" s="10" t="n">
        <v>1.28</v>
      </c>
      <c r="G7" s="10" t="n">
        <v>1.26</v>
      </c>
      <c r="H7" s="10" t="n">
        <v>1.49</v>
      </c>
      <c r="I7" s="10" t="n">
        <v>1.25</v>
      </c>
      <c r="J7" s="10" t="n">
        <v>0.21</v>
      </c>
      <c r="K7" s="10" t="n">
        <v>-0.01</v>
      </c>
      <c r="L7" s="10" t="n">
        <v>0.1</v>
      </c>
      <c r="M7" s="10" t="n">
        <v>0.03</v>
      </c>
      <c r="N7" s="10" t="n">
        <v>0.05</v>
      </c>
      <c r="O7" s="10" t="n">
        <v>0.04</v>
      </c>
      <c r="P7" s="10" t="n">
        <v>-0.04</v>
      </c>
      <c r="Q7" s="10" t="n">
        <v>0.16</v>
      </c>
      <c r="R7" s="10">
        <f>(H7-I7)-(F7-G7)</f>
        <v/>
      </c>
      <c r="S7" s="10">
        <f>(H7+I7)-(F7+G7)</f>
        <v/>
      </c>
      <c r="T7" s="10" t="n">
        <v>1.54</v>
      </c>
      <c r="U7" s="10" t="n">
        <v>1.38</v>
      </c>
      <c r="V7" s="10" t="n">
        <v>0.16</v>
      </c>
      <c r="W7" s="10" t="n">
        <v>7.91</v>
      </c>
      <c r="X7" s="10" t="n">
        <v>7.15</v>
      </c>
    </row>
    <row r="8">
      <c r="A8" s="6" t="inlineStr">
        <is>
          <t>2026-09-19</t>
        </is>
      </c>
      <c r="B8" s="6" t="inlineStr">
        <is>
          <t>Bristol Rvs</t>
        </is>
      </c>
      <c r="C8" s="6" t="inlineStr">
        <is>
          <t>Home</t>
        </is>
      </c>
      <c r="D8" s="6" t="n">
        <v>3</v>
      </c>
      <c r="E8" s="6" t="n">
        <v>0</v>
      </c>
      <c r="F8" s="9" t="n">
        <v>1.1</v>
      </c>
      <c r="G8" s="9" t="n">
        <v>1.63</v>
      </c>
      <c r="H8" s="9" t="n">
        <v>2.36</v>
      </c>
      <c r="I8" s="9" t="n">
        <v>0.51</v>
      </c>
      <c r="J8" s="9" t="n">
        <v>1.26</v>
      </c>
      <c r="K8" s="9" t="n">
        <v>-1.12</v>
      </c>
      <c r="L8" s="9" t="n">
        <v>0.3</v>
      </c>
      <c r="M8" s="9" t="n">
        <v>-0.48</v>
      </c>
      <c r="N8" s="9" t="n">
        <v>1.29</v>
      </c>
      <c r="O8" s="9" t="n">
        <v>-1.37</v>
      </c>
      <c r="P8" s="9" t="n">
        <v>0.19</v>
      </c>
      <c r="Q8" s="9" t="n">
        <v>-0.42</v>
      </c>
      <c r="R8" s="9">
        <f>(H8-I8)-(F8-G8)</f>
        <v/>
      </c>
      <c r="S8" s="9">
        <f>(H8+I8)-(F8+G8)</f>
        <v/>
      </c>
      <c r="T8" s="9" t="n">
        <v>2.51</v>
      </c>
      <c r="U8" s="9" t="n">
        <v>1.02</v>
      </c>
      <c r="V8" s="9" t="n">
        <v>1.5</v>
      </c>
      <c r="W8" s="9" t="n">
        <v>10.42</v>
      </c>
      <c r="X8" s="9" t="n">
        <v>8.17</v>
      </c>
    </row>
    <row r="9">
      <c r="A9" s="8" t="inlineStr">
        <is>
          <t>2026-09-26</t>
        </is>
      </c>
      <c r="B9" s="8" t="inlineStr">
        <is>
          <t>York</t>
        </is>
      </c>
      <c r="C9" s="8" t="inlineStr">
        <is>
          <t>Away</t>
        </is>
      </c>
      <c r="D9" s="8" t="n">
        <v>0</v>
      </c>
      <c r="E9" s="8" t="n">
        <v>3</v>
      </c>
      <c r="F9" s="10" t="n">
        <v>1</v>
      </c>
      <c r="G9" s="10" t="n">
        <v>2.08</v>
      </c>
      <c r="H9" s="10" t="n">
        <v>0.26</v>
      </c>
      <c r="I9" s="10" t="n">
        <v>2.21</v>
      </c>
      <c r="J9" s="10" t="n">
        <v>-0.74</v>
      </c>
      <c r="K9" s="10" t="n">
        <v>0.13</v>
      </c>
      <c r="L9" s="10" t="n">
        <v>0.15</v>
      </c>
      <c r="M9" s="10" t="n">
        <v>-0.38</v>
      </c>
      <c r="N9" s="10" t="n">
        <v>-0.79</v>
      </c>
      <c r="O9" s="10" t="n">
        <v>-0.24</v>
      </c>
      <c r="P9" s="10" t="n">
        <v>0.1</v>
      </c>
      <c r="Q9" s="10" t="n">
        <v>-0.4</v>
      </c>
      <c r="R9" s="10">
        <f>(H9-I9)-(F9-G9)</f>
        <v/>
      </c>
      <c r="S9" s="10">
        <f>(H9+I9)-(F9+G9)</f>
        <v/>
      </c>
      <c r="T9" s="10" t="n">
        <v>0.24</v>
      </c>
      <c r="U9" s="10" t="n">
        <v>0.72</v>
      </c>
      <c r="V9" s="10" t="n">
        <v>-0.48</v>
      </c>
      <c r="W9" s="10" t="n">
        <v>10.66</v>
      </c>
      <c r="X9" s="10" t="n">
        <v>8.890000000000001</v>
      </c>
    </row>
    <row r="10">
      <c r="A10" s="6" t="inlineStr">
        <is>
          <t>2026-10-03</t>
        </is>
      </c>
      <c r="B10" s="6" t="inlineStr">
        <is>
          <t>Newport County</t>
        </is>
      </c>
      <c r="C10" s="6" t="inlineStr">
        <is>
          <t>Home</t>
        </is>
      </c>
      <c r="D10" s="6" t="n">
        <v>0</v>
      </c>
      <c r="E10" s="6" t="n">
        <v>0</v>
      </c>
      <c r="F10" s="9" t="n">
        <v>1.54</v>
      </c>
      <c r="G10" s="9" t="n">
        <v>1.08</v>
      </c>
      <c r="H10" s="9" t="n">
        <v>0.28</v>
      </c>
      <c r="I10" s="9" t="n">
        <v>1.22</v>
      </c>
      <c r="J10" s="9" t="n">
        <v>-1.26</v>
      </c>
      <c r="K10" s="9" t="n">
        <v>0.14</v>
      </c>
      <c r="L10" s="9" t="n">
        <v>0.01</v>
      </c>
      <c r="M10" s="9" t="n">
        <v>-0.21</v>
      </c>
      <c r="N10" s="9" t="n">
        <v>-1.01</v>
      </c>
      <c r="O10" s="9" t="n">
        <v>0.17</v>
      </c>
      <c r="P10" s="9" t="n">
        <v>-0.01</v>
      </c>
      <c r="Q10" s="9" t="n">
        <v>-0.32</v>
      </c>
      <c r="R10" s="9">
        <f>(H10-I10)-(F10-G10)</f>
        <v/>
      </c>
      <c r="S10" s="9">
        <f>(H10+I10)-(F10+G10)</f>
        <v/>
      </c>
      <c r="T10" s="9" t="n">
        <v>0.5600000000000001</v>
      </c>
      <c r="U10" s="9" t="n">
        <v>1.69</v>
      </c>
      <c r="V10" s="9" t="n">
        <v>-1.13</v>
      </c>
      <c r="W10" s="9" t="n">
        <v>11.22</v>
      </c>
      <c r="X10" s="9" t="n">
        <v>10.58</v>
      </c>
    </row>
    <row r="11">
      <c r="A11" s="8" t="inlineStr">
        <is>
          <t>2026-10-10</t>
        </is>
      </c>
      <c r="B11" s="8" t="inlineStr">
        <is>
          <t>Rotherham United</t>
        </is>
      </c>
      <c r="C11" s="8" t="inlineStr">
        <is>
          <t>Away</t>
        </is>
      </c>
      <c r="D11" s="8" t="n">
        <v>4</v>
      </c>
      <c r="E11" s="8" t="n">
        <v>1</v>
      </c>
      <c r="F11" s="10" t="n">
        <v>1</v>
      </c>
      <c r="G11" s="10" t="n">
        <v>1.62</v>
      </c>
      <c r="H11" s="10" t="n">
        <v>1.86</v>
      </c>
      <c r="I11" s="10" t="n">
        <v>1.38</v>
      </c>
      <c r="J11" s="10" t="n">
        <v>0.86</v>
      </c>
      <c r="K11" s="10" t="n">
        <v>-0.24</v>
      </c>
      <c r="L11" s="10" t="n">
        <v>0.2</v>
      </c>
      <c r="M11" s="10" t="n">
        <v>-0.29</v>
      </c>
      <c r="N11" s="10" t="n">
        <v>1.1</v>
      </c>
      <c r="O11" s="10" t="n">
        <v>-0.46</v>
      </c>
      <c r="P11" s="10" t="n">
        <v>0.22</v>
      </c>
      <c r="Q11" s="10" t="n">
        <v>-0.34</v>
      </c>
      <c r="R11" s="10">
        <f>(H11-I11)-(F11-G11)</f>
        <v/>
      </c>
      <c r="S11" s="10">
        <f>(H11+I11)-(F11+G11)</f>
        <v/>
      </c>
      <c r="T11" s="10" t="n">
        <v>1.69</v>
      </c>
      <c r="U11" s="10" t="n">
        <v>0.95</v>
      </c>
      <c r="V11" s="10" t="n">
        <v>0.74</v>
      </c>
      <c r="W11" s="10" t="n">
        <v>12.91</v>
      </c>
      <c r="X11" s="10" t="n">
        <v>11.53</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6</v>
      </c>
      <c r="D39" s="15" t="n">
        <v>4</v>
      </c>
      <c r="E39" s="19" t="n">
        <v>-0.05</v>
      </c>
      <c r="F39" s="19" t="n">
        <v>0.22</v>
      </c>
      <c r="G39" s="19" t="n">
        <v>-0.03</v>
      </c>
      <c r="H39" s="19" t="n">
        <v>0.14</v>
      </c>
    </row>
    <row r="40">
      <c r="A40" s="15" t="inlineStr">
        <is>
          <t>Away</t>
        </is>
      </c>
      <c r="B40" s="15" t="n">
        <v>5</v>
      </c>
      <c r="C40" s="15" t="n">
        <v>9</v>
      </c>
      <c r="D40" s="15" t="n">
        <v>6</v>
      </c>
      <c r="E40" s="19" t="n">
        <v>0.38</v>
      </c>
      <c r="F40" s="19" t="n">
        <v>0.65</v>
      </c>
      <c r="G40" s="19" t="n">
        <v>-0.02</v>
      </c>
      <c r="H40" s="19" t="n">
        <v>-0.01</v>
      </c>
    </row>
    <row r="41">
      <c r="A41" s="20" t="inlineStr">
        <is>
          <t>Total</t>
        </is>
      </c>
      <c r="B41" s="20" t="n">
        <v>10</v>
      </c>
      <c r="C41" s="20" t="n">
        <v>15</v>
      </c>
      <c r="D41" s="20" t="n">
        <v>10</v>
      </c>
      <c r="E41" s="21" t="n">
        <v>0.16</v>
      </c>
      <c r="F41" s="21" t="n">
        <v>0.35</v>
      </c>
      <c r="G41" s="21" t="n">
        <v>-0.03</v>
      </c>
      <c r="H41" s="21" t="n">
        <v>0.07000000000000001</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Exeter</t>
        </is>
      </c>
      <c r="C2" s="6" t="inlineStr">
        <is>
          <t>Home</t>
        </is>
      </c>
      <c r="D2" s="6" t="n">
        <v>1</v>
      </c>
      <c r="E2" s="6" t="n">
        <v>0</v>
      </c>
      <c r="F2" s="9" t="n">
        <v>1.7</v>
      </c>
      <c r="G2" s="9" t="n">
        <v>1.02</v>
      </c>
      <c r="H2" s="9" t="n">
        <v>1.43</v>
      </c>
      <c r="I2" s="9" t="n">
        <v>0.75</v>
      </c>
      <c r="J2" s="9" t="n">
        <v>-0.27</v>
      </c>
      <c r="K2" s="9" t="n">
        <v>-0.27</v>
      </c>
      <c r="L2" s="9" t="n">
        <v>-0.27</v>
      </c>
      <c r="M2" s="9" t="n">
        <v>-0.27</v>
      </c>
      <c r="N2" s="9" t="n">
        <v>0.09</v>
      </c>
      <c r="O2" s="9" t="n">
        <v>-0.3</v>
      </c>
      <c r="P2" s="9" t="n">
        <v>0.09</v>
      </c>
      <c r="Q2" s="9" t="n">
        <v>-0.3</v>
      </c>
      <c r="R2" s="9">
        <f>(H2-I2)-(F2-G2)</f>
        <v/>
      </c>
      <c r="S2" s="9">
        <f>(H2+I2)-(F2+G2)</f>
        <v/>
      </c>
      <c r="T2" s="9" t="n">
        <v>1.87</v>
      </c>
      <c r="U2" s="9" t="n">
        <v>1.84</v>
      </c>
      <c r="V2" s="9" t="n">
        <v>0.03</v>
      </c>
      <c r="W2" s="9" t="n">
        <v>1.87</v>
      </c>
      <c r="X2" s="9" t="n">
        <v>1.84</v>
      </c>
    </row>
    <row r="3">
      <c r="A3" s="8" t="inlineStr">
        <is>
          <t>2026-08-22</t>
        </is>
      </c>
      <c r="B3" s="8" t="inlineStr">
        <is>
          <t>Walsall</t>
        </is>
      </c>
      <c r="C3" s="8" t="inlineStr">
        <is>
          <t>Away</t>
        </is>
      </c>
      <c r="D3" s="8" t="n">
        <v>0</v>
      </c>
      <c r="E3" s="8" t="n">
        <v>0</v>
      </c>
      <c r="F3" s="10" t="n">
        <v>1.31</v>
      </c>
      <c r="G3" s="10" t="n">
        <v>1.21</v>
      </c>
      <c r="H3" s="10" t="n">
        <v>0.9</v>
      </c>
      <c r="I3" s="10" t="n">
        <v>1.21</v>
      </c>
      <c r="J3" s="10" t="n">
        <v>-0.41</v>
      </c>
      <c r="K3" s="10" t="n">
        <v>0</v>
      </c>
      <c r="L3" s="10" t="n">
        <v>-0.34</v>
      </c>
      <c r="M3" s="10" t="n">
        <v>-0.13</v>
      </c>
      <c r="N3" s="10" t="n">
        <v>-0.54</v>
      </c>
      <c r="O3" s="10" t="n">
        <v>-0.09</v>
      </c>
      <c r="P3" s="10" t="n">
        <v>-0.23</v>
      </c>
      <c r="Q3" s="10" t="n">
        <v>-0.2</v>
      </c>
      <c r="R3" s="10">
        <f>(H3-I3)-(F3-G3)</f>
        <v/>
      </c>
      <c r="S3" s="10">
        <f>(H3+I3)-(F3+G3)</f>
        <v/>
      </c>
      <c r="T3" s="10" t="n">
        <v>1.12</v>
      </c>
      <c r="U3" s="10" t="n">
        <v>1.44</v>
      </c>
      <c r="V3" s="10" t="n">
        <v>-0.32</v>
      </c>
      <c r="W3" s="10" t="n">
        <v>2.98</v>
      </c>
      <c r="X3" s="10" t="n">
        <v>3.28</v>
      </c>
    </row>
    <row r="4">
      <c r="A4" s="6" t="inlineStr">
        <is>
          <t>2026-08-29</t>
        </is>
      </c>
      <c r="B4" s="6" t="inlineStr">
        <is>
          <t>Fleetwood Town</t>
        </is>
      </c>
      <c r="C4" s="6" t="inlineStr">
        <is>
          <t>Home</t>
        </is>
      </c>
      <c r="D4" s="6" t="n">
        <v>2</v>
      </c>
      <c r="E4" s="6" t="n">
        <v>2</v>
      </c>
      <c r="F4" s="9" t="n">
        <v>1.61</v>
      </c>
      <c r="G4" s="9" t="n">
        <v>0.98</v>
      </c>
      <c r="H4" s="9" t="n">
        <v>2.92</v>
      </c>
      <c r="I4" s="9" t="n">
        <v>1.61</v>
      </c>
      <c r="J4" s="9" t="n">
        <v>1.31</v>
      </c>
      <c r="K4" s="9" t="n">
        <v>0.63</v>
      </c>
      <c r="L4" s="9" t="n">
        <v>0.21</v>
      </c>
      <c r="M4" s="9" t="n">
        <v>0.12</v>
      </c>
      <c r="N4" s="9" t="n">
        <v>0.99</v>
      </c>
      <c r="O4" s="9" t="n">
        <v>0.85</v>
      </c>
      <c r="P4" s="9" t="n">
        <v>0.18</v>
      </c>
      <c r="Q4" s="9" t="n">
        <v>0.15</v>
      </c>
      <c r="R4" s="9">
        <f>(H4-I4)-(F4-G4)</f>
        <v/>
      </c>
      <c r="S4" s="9">
        <f>(H4+I4)-(F4+G4)</f>
        <v/>
      </c>
      <c r="T4" s="9" t="n">
        <v>2.1</v>
      </c>
      <c r="U4" s="9" t="n">
        <v>1.81</v>
      </c>
      <c r="V4" s="9" t="n">
        <v>0.29</v>
      </c>
      <c r="W4" s="9" t="n">
        <v>5.08</v>
      </c>
      <c r="X4" s="9" t="n">
        <v>5.09</v>
      </c>
    </row>
    <row r="5">
      <c r="A5" s="8" t="inlineStr">
        <is>
          <t>2026-09-01</t>
        </is>
      </c>
      <c r="B5" s="8" t="inlineStr">
        <is>
          <t>Accrington Stanley</t>
        </is>
      </c>
      <c r="C5" s="8" t="inlineStr">
        <is>
          <t>Away</t>
        </is>
      </c>
      <c r="D5" s="8" t="n">
        <v>2</v>
      </c>
      <c r="E5" s="8" t="n">
        <v>2</v>
      </c>
      <c r="F5" s="10" t="n">
        <v>1.62</v>
      </c>
      <c r="G5" s="10" t="n">
        <v>1.09</v>
      </c>
      <c r="H5" s="10" t="n">
        <v>2.19</v>
      </c>
      <c r="I5" s="10" t="n">
        <v>2.6</v>
      </c>
      <c r="J5" s="10" t="n">
        <v>0.57</v>
      </c>
      <c r="K5" s="10" t="n">
        <v>1.51</v>
      </c>
      <c r="L5" s="10" t="n">
        <v>0.3</v>
      </c>
      <c r="M5" s="10" t="n">
        <v>0.47</v>
      </c>
      <c r="N5" s="10" t="n">
        <v>0.71</v>
      </c>
      <c r="O5" s="10" t="n">
        <v>1.23</v>
      </c>
      <c r="P5" s="10" t="n">
        <v>0.31</v>
      </c>
      <c r="Q5" s="10" t="n">
        <v>0.42</v>
      </c>
      <c r="R5" s="10">
        <f>(H5-I5)-(F5-G5)</f>
        <v/>
      </c>
      <c r="S5" s="10">
        <f>(H5+I5)-(F5+G5)</f>
        <v/>
      </c>
      <c r="T5" s="10" t="n">
        <v>1.19</v>
      </c>
      <c r="U5" s="10" t="n">
        <v>1.74</v>
      </c>
      <c r="V5" s="10" t="n">
        <v>-0.55</v>
      </c>
      <c r="W5" s="10" t="n">
        <v>6.27</v>
      </c>
      <c r="X5" s="10" t="n">
        <v>6.82</v>
      </c>
    </row>
    <row r="6">
      <c r="A6" s="6" t="inlineStr">
        <is>
          <t>2026-09-05</t>
        </is>
      </c>
      <c r="B6" s="6" t="inlineStr">
        <is>
          <t>Cheltenham Town</t>
        </is>
      </c>
      <c r="C6" s="6" t="inlineStr">
        <is>
          <t>Away</t>
        </is>
      </c>
      <c r="D6" s="6" t="n">
        <v>2</v>
      </c>
      <c r="E6" s="6" t="n">
        <v>2</v>
      </c>
      <c r="F6" s="9" t="n">
        <v>1.68</v>
      </c>
      <c r="G6" s="9" t="n">
        <v>1.17</v>
      </c>
      <c r="H6" s="9" t="n">
        <v>1.59</v>
      </c>
      <c r="I6" s="9" t="n">
        <v>1.29</v>
      </c>
      <c r="J6" s="9" t="n">
        <v>-0.08</v>
      </c>
      <c r="K6" s="9" t="n">
        <v>0.12</v>
      </c>
      <c r="L6" s="9" t="n">
        <v>0.22</v>
      </c>
      <c r="M6" s="9" t="n">
        <v>0.4</v>
      </c>
      <c r="N6" s="9" t="n">
        <v>-0.28</v>
      </c>
      <c r="O6" s="9" t="n">
        <v>0.22</v>
      </c>
      <c r="P6" s="9" t="n">
        <v>0.19</v>
      </c>
      <c r="Q6" s="9" t="n">
        <v>0.38</v>
      </c>
      <c r="R6" s="9">
        <f>(H6-I6)-(F6-G6)</f>
        <v/>
      </c>
      <c r="S6" s="9">
        <f>(H6+I6)-(F6+G6)</f>
        <v/>
      </c>
      <c r="T6" s="9" t="n">
        <v>1.58</v>
      </c>
      <c r="U6" s="9" t="n">
        <v>1.72</v>
      </c>
      <c r="V6" s="9" t="n">
        <v>-0.14</v>
      </c>
      <c r="W6" s="9" t="n">
        <v>7.85</v>
      </c>
      <c r="X6" s="9" t="n">
        <v>8.539999999999999</v>
      </c>
    </row>
    <row r="7">
      <c r="A7" s="8" t="inlineStr">
        <is>
          <t>2026-09-12</t>
        </is>
      </c>
      <c r="B7" s="8" t="inlineStr">
        <is>
          <t>Bristol Rvs</t>
        </is>
      </c>
      <c r="C7" s="8" t="inlineStr">
        <is>
          <t>Home</t>
        </is>
      </c>
      <c r="D7" s="8" t="n">
        <v>2</v>
      </c>
      <c r="E7" s="8" t="n">
        <v>0</v>
      </c>
      <c r="F7" s="10" t="n">
        <v>1.52</v>
      </c>
      <c r="G7" s="10" t="n">
        <v>1.34</v>
      </c>
      <c r="H7" s="10" t="n">
        <v>1.44</v>
      </c>
      <c r="I7" s="10" t="n">
        <v>0.11</v>
      </c>
      <c r="J7" s="10" t="n">
        <v>-0.08</v>
      </c>
      <c r="K7" s="10" t="n">
        <v>-1.23</v>
      </c>
      <c r="L7" s="10" t="n">
        <v>0.17</v>
      </c>
      <c r="M7" s="10" t="n">
        <v>0.13</v>
      </c>
      <c r="N7" s="10" t="n">
        <v>-0.21</v>
      </c>
      <c r="O7" s="10" t="n">
        <v>-1.49</v>
      </c>
      <c r="P7" s="10" t="n">
        <v>0.13</v>
      </c>
      <c r="Q7" s="10" t="n">
        <v>0.07000000000000001</v>
      </c>
      <c r="R7" s="10">
        <f>(H7-I7)-(F7-G7)</f>
        <v/>
      </c>
      <c r="S7" s="10">
        <f>(H7+I7)-(F7+G7)</f>
        <v/>
      </c>
      <c r="T7" s="10" t="n">
        <v>2.43</v>
      </c>
      <c r="U7" s="10" t="n">
        <v>1.5</v>
      </c>
      <c r="V7" s="10" t="n">
        <v>0.93</v>
      </c>
      <c r="W7" s="10" t="n">
        <v>10.28</v>
      </c>
      <c r="X7" s="10" t="n">
        <v>10.04</v>
      </c>
    </row>
    <row r="8">
      <c r="A8" s="6" t="inlineStr">
        <is>
          <t>2026-09-19</t>
        </is>
      </c>
      <c r="B8" s="6" t="inlineStr">
        <is>
          <t>Crawley Town</t>
        </is>
      </c>
      <c r="C8" s="6" t="inlineStr">
        <is>
          <t>Home</t>
        </is>
      </c>
      <c r="D8" s="6" t="n">
        <v>2</v>
      </c>
      <c r="E8" s="6" t="n">
        <v>0</v>
      </c>
      <c r="F8" s="9" t="n">
        <v>2.22</v>
      </c>
      <c r="G8" s="9" t="n">
        <v>1.01</v>
      </c>
      <c r="H8" s="9" t="n">
        <v>4.59</v>
      </c>
      <c r="I8" s="9" t="n">
        <v>0.9399999999999999</v>
      </c>
      <c r="J8" s="9" t="n">
        <v>2.37</v>
      </c>
      <c r="K8" s="9" t="n">
        <v>-0.07000000000000001</v>
      </c>
      <c r="L8" s="9" t="n">
        <v>0.61</v>
      </c>
      <c r="M8" s="9" t="n">
        <v>0.16</v>
      </c>
      <c r="N8" s="9" t="n">
        <v>2.44</v>
      </c>
      <c r="O8" s="9" t="n">
        <v>-0.47</v>
      </c>
      <c r="P8" s="9" t="n">
        <v>0.52</v>
      </c>
      <c r="Q8" s="9" t="n">
        <v>0.04</v>
      </c>
      <c r="R8" s="9">
        <f>(H8-I8)-(F8-G8)</f>
        <v/>
      </c>
      <c r="S8" s="9">
        <f>(H8+I8)-(F8+G8)</f>
        <v/>
      </c>
      <c r="T8" s="9" t="n">
        <v>2.79</v>
      </c>
      <c r="U8" s="9" t="n">
        <v>2.14</v>
      </c>
      <c r="V8" s="9" t="n">
        <v>0.65</v>
      </c>
      <c r="W8" s="9" t="n">
        <v>13.07</v>
      </c>
      <c r="X8" s="9" t="n">
        <v>12.18</v>
      </c>
    </row>
    <row r="9">
      <c r="A9" s="8" t="inlineStr">
        <is>
          <t>2026-09-26</t>
        </is>
      </c>
      <c r="B9" s="8" t="inlineStr">
        <is>
          <t>Newport County</t>
        </is>
      </c>
      <c r="C9" s="8" t="inlineStr">
        <is>
          <t>Away</t>
        </is>
      </c>
      <c r="D9" s="8" t="n">
        <v>1</v>
      </c>
      <c r="E9" s="8" t="n">
        <v>2</v>
      </c>
      <c r="F9" s="10" t="n">
        <v>1.72</v>
      </c>
      <c r="G9" s="10" t="n">
        <v>1.04</v>
      </c>
      <c r="H9" s="10" t="n">
        <v>2</v>
      </c>
      <c r="I9" s="10" t="n">
        <v>1.23</v>
      </c>
      <c r="J9" s="10" t="n">
        <v>0.28</v>
      </c>
      <c r="K9" s="10" t="n">
        <v>0.19</v>
      </c>
      <c r="L9" s="10" t="n">
        <v>0.73</v>
      </c>
      <c r="M9" s="10" t="n">
        <v>0.19</v>
      </c>
      <c r="N9" s="10" t="n">
        <v>0.7</v>
      </c>
      <c r="O9" s="10" t="n">
        <v>0.23</v>
      </c>
      <c r="P9" s="10" t="n">
        <v>0.72</v>
      </c>
      <c r="Q9" s="10" t="n">
        <v>0.09</v>
      </c>
      <c r="R9" s="10">
        <f>(H9-I9)-(F9-G9)</f>
        <v/>
      </c>
      <c r="S9" s="10">
        <f>(H9+I9)-(F9+G9)</f>
        <v/>
      </c>
      <c r="T9" s="10" t="n">
        <v>1.87</v>
      </c>
      <c r="U9" s="10" t="n">
        <v>1.84</v>
      </c>
      <c r="V9" s="10" t="n">
        <v>0.03</v>
      </c>
      <c r="W9" s="10" t="n">
        <v>14.94</v>
      </c>
      <c r="X9" s="10" t="n">
        <v>14.02</v>
      </c>
    </row>
    <row r="10">
      <c r="A10" s="6" t="inlineStr">
        <is>
          <t>2026-10-03</t>
        </is>
      </c>
      <c r="B10" s="6" t="inlineStr">
        <is>
          <t>Shrewsbury Town</t>
        </is>
      </c>
      <c r="C10" s="6" t="inlineStr">
        <is>
          <t>Home</t>
        </is>
      </c>
      <c r="D10" s="6" t="n">
        <v>1</v>
      </c>
      <c r="E10" s="6" t="n">
        <v>2</v>
      </c>
      <c r="F10" s="9" t="n">
        <v>1.84</v>
      </c>
      <c r="G10" s="9" t="n">
        <v>0.98</v>
      </c>
      <c r="H10" s="9" t="n">
        <v>1.56</v>
      </c>
      <c r="I10" s="9" t="n">
        <v>1.13</v>
      </c>
      <c r="J10" s="9" t="n">
        <v>-0.28</v>
      </c>
      <c r="K10" s="9" t="n">
        <v>0.14</v>
      </c>
      <c r="L10" s="9" t="n">
        <v>0.46</v>
      </c>
      <c r="M10" s="9" t="n">
        <v>0.11</v>
      </c>
      <c r="N10" s="9" t="n">
        <v>0.12</v>
      </c>
      <c r="O10" s="9" t="n">
        <v>-0.01</v>
      </c>
      <c r="P10" s="9" t="n">
        <v>0.58</v>
      </c>
      <c r="Q10" s="9" t="n">
        <v>-0.05</v>
      </c>
      <c r="R10" s="9">
        <f>(H10-I10)-(F10-G10)</f>
        <v/>
      </c>
      <c r="S10" s="9">
        <f>(H10+I10)-(F10+G10)</f>
        <v/>
      </c>
      <c r="T10" s="9" t="n">
        <v>1.67</v>
      </c>
      <c r="U10" s="9" t="n">
        <v>1.95</v>
      </c>
      <c r="V10" s="9" t="n">
        <v>-0.28</v>
      </c>
      <c r="W10" s="9" t="n">
        <v>16.61</v>
      </c>
      <c r="X10" s="9" t="n">
        <v>15.97</v>
      </c>
    </row>
    <row r="11">
      <c r="A11" s="8" t="inlineStr">
        <is>
          <t>2026-10-10</t>
        </is>
      </c>
      <c r="B11" s="8" t="inlineStr">
        <is>
          <t>Port Vale</t>
        </is>
      </c>
      <c r="C11" s="8" t="inlineStr">
        <is>
          <t>Away</t>
        </is>
      </c>
      <c r="D11" s="8" t="n">
        <v>0</v>
      </c>
      <c r="E11" s="8" t="n">
        <v>1</v>
      </c>
      <c r="F11" s="10" t="n">
        <v>1.3</v>
      </c>
      <c r="G11" s="10" t="n">
        <v>1.33</v>
      </c>
      <c r="H11" s="10" t="n">
        <v>0.45</v>
      </c>
      <c r="I11" s="10" t="n">
        <v>3.18</v>
      </c>
      <c r="J11" s="10" t="n">
        <v>-0.85</v>
      </c>
      <c r="K11" s="10" t="n">
        <v>1.85</v>
      </c>
      <c r="L11" s="10" t="n">
        <v>0.22</v>
      </c>
      <c r="M11" s="10" t="n">
        <v>0.17</v>
      </c>
      <c r="N11" s="10" t="n">
        <v>-0.7</v>
      </c>
      <c r="O11" s="10" t="n">
        <v>2.17</v>
      </c>
      <c r="P11" s="10" t="n">
        <v>0.34</v>
      </c>
      <c r="Q11" s="10" t="n">
        <v>0.11</v>
      </c>
      <c r="R11" s="10">
        <f>(H11-I11)-(F11-G11)</f>
        <v/>
      </c>
      <c r="S11" s="10">
        <f>(H11+I11)-(F11+G11)</f>
        <v/>
      </c>
      <c r="T11" s="10" t="n">
        <v>0.16</v>
      </c>
      <c r="U11" s="10" t="n">
        <v>1.35</v>
      </c>
      <c r="V11" s="10" t="n">
        <v>-1.19</v>
      </c>
      <c r="W11" s="10" t="n">
        <v>16.77</v>
      </c>
      <c r="X11" s="10" t="n">
        <v>17.32</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8</v>
      </c>
      <c r="D39" s="15" t="n">
        <v>4</v>
      </c>
      <c r="E39" s="19" t="n">
        <v>0.77</v>
      </c>
      <c r="F39" s="19" t="n">
        <v>0.68</v>
      </c>
      <c r="G39" s="19" t="n">
        <v>0.45</v>
      </c>
      <c r="H39" s="19" t="n">
        <v>-0.14</v>
      </c>
    </row>
    <row r="40">
      <c r="A40" s="15" t="inlineStr">
        <is>
          <t>Away</t>
        </is>
      </c>
      <c r="B40" s="15" t="n">
        <v>5</v>
      </c>
      <c r="C40" s="15" t="n">
        <v>5</v>
      </c>
      <c r="D40" s="15" t="n">
        <v>7</v>
      </c>
      <c r="E40" s="19" t="n">
        <v>-0.84</v>
      </c>
      <c r="F40" s="19" t="n">
        <v>-0.41</v>
      </c>
      <c r="G40" s="19" t="n">
        <v>0.64</v>
      </c>
      <c r="H40" s="19" t="n">
        <v>0.47</v>
      </c>
    </row>
    <row r="41">
      <c r="A41" s="20" t="inlineStr">
        <is>
          <t>Total</t>
        </is>
      </c>
      <c r="B41" s="20" t="n">
        <v>10</v>
      </c>
      <c r="C41" s="20" t="n">
        <v>13</v>
      </c>
      <c r="D41" s="20" t="n">
        <v>11</v>
      </c>
      <c r="E41" s="21" t="n">
        <v>-0.03</v>
      </c>
      <c r="F41" s="21" t="n">
        <v>-0.1</v>
      </c>
      <c r="G41" s="21" t="n">
        <v>0.54</v>
      </c>
      <c r="H41" s="21" t="n">
        <v>0.26</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Rochdale</t>
        </is>
      </c>
      <c r="C2" s="6" t="inlineStr">
        <is>
          <t>Home</t>
        </is>
      </c>
      <c r="D2" s="6" t="n">
        <v>3</v>
      </c>
      <c r="E2" s="6" t="n">
        <v>0</v>
      </c>
      <c r="F2" s="9" t="n">
        <v>1.2</v>
      </c>
      <c r="G2" s="9" t="n">
        <v>1.39</v>
      </c>
      <c r="H2" s="9" t="n">
        <v>1.15</v>
      </c>
      <c r="I2" s="9" t="n">
        <v>0.16</v>
      </c>
      <c r="J2" s="9" t="n">
        <v>-0.05</v>
      </c>
      <c r="K2" s="9" t="n">
        <v>-1.23</v>
      </c>
      <c r="L2" s="9" t="n">
        <v>-0.05</v>
      </c>
      <c r="M2" s="9" t="n">
        <v>-1.23</v>
      </c>
      <c r="N2" s="9" t="n">
        <v>-0.32</v>
      </c>
      <c r="O2" s="9" t="n">
        <v>-0.8</v>
      </c>
      <c r="P2" s="9" t="n">
        <v>-0.32</v>
      </c>
      <c r="Q2" s="9" t="n">
        <v>-0.8</v>
      </c>
      <c r="R2" s="9">
        <f>(H2-I2)-(F2-G2)</f>
        <v/>
      </c>
      <c r="S2" s="9">
        <f>(H2+I2)-(F2+G2)</f>
        <v/>
      </c>
      <c r="T2" s="9" t="n">
        <v>2.2</v>
      </c>
      <c r="U2" s="9" t="n">
        <v>1.24</v>
      </c>
      <c r="V2" s="9" t="n">
        <v>0.97</v>
      </c>
      <c r="W2" s="9" t="n">
        <v>2.2</v>
      </c>
      <c r="X2" s="9" t="n">
        <v>1.24</v>
      </c>
    </row>
    <row r="3">
      <c r="A3" s="8" t="inlineStr">
        <is>
          <t>2026-08-22</t>
        </is>
      </c>
      <c r="B3" s="8" t="inlineStr">
        <is>
          <t>Bristol Rvs</t>
        </is>
      </c>
      <c r="C3" s="8" t="inlineStr">
        <is>
          <t>Away</t>
        </is>
      </c>
      <c r="D3" s="8" t="n">
        <v>3</v>
      </c>
      <c r="E3" s="8" t="n">
        <v>5</v>
      </c>
      <c r="F3" s="10" t="n">
        <v>0.9399999999999999</v>
      </c>
      <c r="G3" s="10" t="n">
        <v>1.83</v>
      </c>
      <c r="H3" s="10" t="n">
        <v>0.66</v>
      </c>
      <c r="I3" s="10" t="n">
        <v>3.99</v>
      </c>
      <c r="J3" s="10" t="n">
        <v>-0.28</v>
      </c>
      <c r="K3" s="10" t="n">
        <v>2.16</v>
      </c>
      <c r="L3" s="10" t="n">
        <v>-0.16</v>
      </c>
      <c r="M3" s="10" t="n">
        <v>0.47</v>
      </c>
      <c r="N3" s="10" t="n">
        <v>-0.43</v>
      </c>
      <c r="O3" s="10" t="n">
        <v>2.27</v>
      </c>
      <c r="P3" s="10" t="n">
        <v>-0.37</v>
      </c>
      <c r="Q3" s="10" t="n">
        <v>0.73</v>
      </c>
      <c r="R3" s="10">
        <f>(H3-I3)-(F3-G3)</f>
        <v/>
      </c>
      <c r="S3" s="10">
        <f>(H3+I3)-(F3+G3)</f>
        <v/>
      </c>
      <c r="T3" s="10" t="n">
        <v>0.13</v>
      </c>
      <c r="U3" s="10" t="n">
        <v>0.8</v>
      </c>
      <c r="V3" s="10" t="n">
        <v>-0.67</v>
      </c>
      <c r="W3" s="10" t="n">
        <v>2.33</v>
      </c>
      <c r="X3" s="10" t="n">
        <v>2.04</v>
      </c>
    </row>
    <row r="4">
      <c r="A4" s="6" t="inlineStr">
        <is>
          <t>2026-08-29</t>
        </is>
      </c>
      <c r="B4" s="6" t="inlineStr">
        <is>
          <t>Tranmere Rovers</t>
        </is>
      </c>
      <c r="C4" s="6" t="inlineStr">
        <is>
          <t>Home</t>
        </is>
      </c>
      <c r="D4" s="6" t="n">
        <v>2</v>
      </c>
      <c r="E4" s="6" t="n">
        <v>2</v>
      </c>
      <c r="F4" s="9" t="n">
        <v>1.27</v>
      </c>
      <c r="G4" s="9" t="n">
        <v>1.23</v>
      </c>
      <c r="H4" s="9" t="n">
        <v>1.06</v>
      </c>
      <c r="I4" s="9" t="n">
        <v>0.9399999999999999</v>
      </c>
      <c r="J4" s="9" t="n">
        <v>-0.21</v>
      </c>
      <c r="K4" s="9" t="n">
        <v>-0.29</v>
      </c>
      <c r="L4" s="9" t="n">
        <v>-0.18</v>
      </c>
      <c r="M4" s="9" t="n">
        <v>0.22</v>
      </c>
      <c r="N4" s="9" t="n">
        <v>-0.42</v>
      </c>
      <c r="O4" s="9" t="n">
        <v>-0.27</v>
      </c>
      <c r="P4" s="9" t="n">
        <v>-0.39</v>
      </c>
      <c r="Q4" s="9" t="n">
        <v>0.4</v>
      </c>
      <c r="R4" s="9">
        <f>(H4-I4)-(F4-G4)</f>
        <v/>
      </c>
      <c r="S4" s="9">
        <f>(H4+I4)-(F4+G4)</f>
        <v/>
      </c>
      <c r="T4" s="9" t="n">
        <v>1.44</v>
      </c>
      <c r="U4" s="9" t="n">
        <v>1.4</v>
      </c>
      <c r="V4" s="9" t="n">
        <v>0.04</v>
      </c>
      <c r="W4" s="9" t="n">
        <v>3.77</v>
      </c>
      <c r="X4" s="9" t="n">
        <v>3.43</v>
      </c>
    </row>
    <row r="5">
      <c r="A5" s="8" t="inlineStr">
        <is>
          <t>2026-09-01</t>
        </is>
      </c>
      <c r="B5" s="8" t="inlineStr">
        <is>
          <t>Salford City</t>
        </is>
      </c>
      <c r="C5" s="8" t="inlineStr">
        <is>
          <t>Away</t>
        </is>
      </c>
      <c r="D5" s="8" t="n">
        <v>1</v>
      </c>
      <c r="E5" s="8" t="n">
        <v>2</v>
      </c>
      <c r="F5" s="10" t="n">
        <v>0.95</v>
      </c>
      <c r="G5" s="10" t="n">
        <v>2.08</v>
      </c>
      <c r="H5" s="10" t="n">
        <v>0.42</v>
      </c>
      <c r="I5" s="10" t="n">
        <v>2.28</v>
      </c>
      <c r="J5" s="10" t="n">
        <v>-0.53</v>
      </c>
      <c r="K5" s="10" t="n">
        <v>0.2</v>
      </c>
      <c r="L5" s="10" t="n">
        <v>-0.27</v>
      </c>
      <c r="M5" s="10" t="n">
        <v>0.21</v>
      </c>
      <c r="N5" s="10" t="n">
        <v>-0.5600000000000001</v>
      </c>
      <c r="O5" s="10" t="n">
        <v>0.67</v>
      </c>
      <c r="P5" s="10" t="n">
        <v>-0.43</v>
      </c>
      <c r="Q5" s="10" t="n">
        <v>0.47</v>
      </c>
      <c r="R5" s="10">
        <f>(H5-I5)-(F5-G5)</f>
        <v/>
      </c>
      <c r="S5" s="10">
        <f>(H5+I5)-(F5+G5)</f>
        <v/>
      </c>
      <c r="T5" s="10" t="n">
        <v>0.31</v>
      </c>
      <c r="U5" s="10" t="n">
        <v>0.6899999999999999</v>
      </c>
      <c r="V5" s="10" t="n">
        <v>-0.38</v>
      </c>
      <c r="W5" s="10" t="n">
        <v>4.08</v>
      </c>
      <c r="X5" s="10" t="n">
        <v>4.12</v>
      </c>
    </row>
    <row r="6">
      <c r="A6" s="6" t="inlineStr">
        <is>
          <t>2026-09-05</t>
        </is>
      </c>
      <c r="B6" s="6" t="inlineStr">
        <is>
          <t>Northampton Town</t>
        </is>
      </c>
      <c r="C6" s="6" t="inlineStr">
        <is>
          <t>Away</t>
        </is>
      </c>
      <c r="D6" s="6" t="n">
        <v>0</v>
      </c>
      <c r="E6" s="6" t="n">
        <v>1</v>
      </c>
      <c r="F6" s="9" t="n">
        <v>0.91</v>
      </c>
      <c r="G6" s="9" t="n">
        <v>1.67</v>
      </c>
      <c r="H6" s="9" t="n">
        <v>0.32</v>
      </c>
      <c r="I6" s="9" t="n">
        <v>0.45</v>
      </c>
      <c r="J6" s="9" t="n">
        <v>-0.59</v>
      </c>
      <c r="K6" s="9" t="n">
        <v>-1.22</v>
      </c>
      <c r="L6" s="9" t="n">
        <v>-0.33</v>
      </c>
      <c r="M6" s="9" t="n">
        <v>-0.07000000000000001</v>
      </c>
      <c r="N6" s="9" t="n">
        <v>-0.53</v>
      </c>
      <c r="O6" s="9" t="n">
        <v>-0.62</v>
      </c>
      <c r="P6" s="9" t="n">
        <v>-0.45</v>
      </c>
      <c r="Q6" s="9" t="n">
        <v>0.25</v>
      </c>
      <c r="R6" s="9">
        <f>(H6-I6)-(F6-G6)</f>
        <v/>
      </c>
      <c r="S6" s="9">
        <f>(H6+I6)-(F6+G6)</f>
        <v/>
      </c>
      <c r="T6" s="9" t="n">
        <v>1.09</v>
      </c>
      <c r="U6" s="9" t="n">
        <v>0.86</v>
      </c>
      <c r="V6" s="9" t="n">
        <v>0.23</v>
      </c>
      <c r="W6" s="9" t="n">
        <v>5.18</v>
      </c>
      <c r="X6" s="9" t="n">
        <v>4.98</v>
      </c>
    </row>
    <row r="7">
      <c r="A7" s="8" t="inlineStr">
        <is>
          <t>2026-09-12</t>
        </is>
      </c>
      <c r="B7" s="8" t="inlineStr">
        <is>
          <t>Fleetwood Town</t>
        </is>
      </c>
      <c r="C7" s="8" t="inlineStr">
        <is>
          <t>Home</t>
        </is>
      </c>
      <c r="D7" s="8" t="n">
        <v>1</v>
      </c>
      <c r="E7" s="8" t="n">
        <v>1</v>
      </c>
      <c r="F7" s="10" t="n">
        <v>1.16</v>
      </c>
      <c r="G7" s="10" t="n">
        <v>1.55</v>
      </c>
      <c r="H7" s="10" t="n">
        <v>2.64</v>
      </c>
      <c r="I7" s="10" t="n">
        <v>1.06</v>
      </c>
      <c r="J7" s="10" t="n">
        <v>1.48</v>
      </c>
      <c r="K7" s="10" t="n">
        <v>-0.49</v>
      </c>
      <c r="L7" s="10" t="n">
        <v>-0.03</v>
      </c>
      <c r="M7" s="10" t="n">
        <v>-0.14</v>
      </c>
      <c r="N7" s="10" t="n">
        <v>1.18</v>
      </c>
      <c r="O7" s="10" t="n">
        <v>-0.4</v>
      </c>
      <c r="P7" s="10" t="n">
        <v>-0.18</v>
      </c>
      <c r="Q7" s="10" t="n">
        <v>0.14</v>
      </c>
      <c r="R7" s="10">
        <f>(H7-I7)-(F7-G7)</f>
        <v/>
      </c>
      <c r="S7" s="10">
        <f>(H7+I7)-(F7+G7)</f>
        <v/>
      </c>
      <c r="T7" s="10" t="n">
        <v>2.29</v>
      </c>
      <c r="U7" s="10" t="n">
        <v>1.11</v>
      </c>
      <c r="V7" s="10" t="n">
        <v>1.19</v>
      </c>
      <c r="W7" s="10" t="n">
        <v>7.47</v>
      </c>
      <c r="X7" s="10" t="n">
        <v>6.09</v>
      </c>
    </row>
    <row r="8">
      <c r="A8" s="6" t="inlineStr">
        <is>
          <t>2026-09-19</t>
        </is>
      </c>
      <c r="B8" s="6" t="inlineStr">
        <is>
          <t>Accrington Stanley</t>
        </is>
      </c>
      <c r="C8" s="6" t="inlineStr">
        <is>
          <t>Away</t>
        </is>
      </c>
      <c r="D8" s="6" t="n">
        <v>0</v>
      </c>
      <c r="E8" s="6" t="n">
        <v>0</v>
      </c>
      <c r="F8" s="9" t="n">
        <v>1.14</v>
      </c>
      <c r="G8" s="9" t="n">
        <v>1.57</v>
      </c>
      <c r="H8" s="9" t="n">
        <v>0.59</v>
      </c>
      <c r="I8" s="9" t="n">
        <v>0.65</v>
      </c>
      <c r="J8" s="9" t="n">
        <v>-0.55</v>
      </c>
      <c r="K8" s="9" t="n">
        <v>-0.92</v>
      </c>
      <c r="L8" s="9" t="n">
        <v>-0.11</v>
      </c>
      <c r="M8" s="9" t="n">
        <v>-0.09</v>
      </c>
      <c r="N8" s="9" t="n">
        <v>-0.55</v>
      </c>
      <c r="O8" s="9" t="n">
        <v>-1.46</v>
      </c>
      <c r="P8" s="9" t="n">
        <v>-0.22</v>
      </c>
      <c r="Q8" s="9" t="n">
        <v>0.03</v>
      </c>
      <c r="R8" s="9">
        <f>(H8-I8)-(F8-G8)</f>
        <v/>
      </c>
      <c r="S8" s="9">
        <f>(H8+I8)-(F8+G8)</f>
        <v/>
      </c>
      <c r="T8" s="9" t="n">
        <v>1.24</v>
      </c>
      <c r="U8" s="9" t="n">
        <v>1.08</v>
      </c>
      <c r="V8" s="9" t="n">
        <v>0.15</v>
      </c>
      <c r="W8" s="9" t="n">
        <v>8.710000000000001</v>
      </c>
      <c r="X8" s="9" t="n">
        <v>7.17</v>
      </c>
    </row>
    <row r="9">
      <c r="A9" s="8" t="inlineStr">
        <is>
          <t>2026-09-26</t>
        </is>
      </c>
      <c r="B9" s="8" t="inlineStr">
        <is>
          <t>Grimsby Town</t>
        </is>
      </c>
      <c r="C9" s="8" t="inlineStr">
        <is>
          <t>Home</t>
        </is>
      </c>
      <c r="D9" s="8" t="n">
        <v>2</v>
      </c>
      <c r="E9" s="8" t="n">
        <v>1</v>
      </c>
      <c r="F9" s="10" t="n">
        <v>1.04</v>
      </c>
      <c r="G9" s="10" t="n">
        <v>1.72</v>
      </c>
      <c r="H9" s="10" t="n">
        <v>1.23</v>
      </c>
      <c r="I9" s="10" t="n">
        <v>2</v>
      </c>
      <c r="J9" s="10" t="n">
        <v>0.19</v>
      </c>
      <c r="K9" s="10" t="n">
        <v>0.28</v>
      </c>
      <c r="L9" s="10" t="n">
        <v>-0.04</v>
      </c>
      <c r="M9" s="10" t="n">
        <v>-0.41</v>
      </c>
      <c r="N9" s="10" t="n">
        <v>-0.11</v>
      </c>
      <c r="O9" s="10" t="n">
        <v>0.02</v>
      </c>
      <c r="P9" s="10" t="n">
        <v>-0.16</v>
      </c>
      <c r="Q9" s="10" t="n">
        <v>-0.34</v>
      </c>
      <c r="R9" s="10">
        <f>(H9-I9)-(F9-G9)</f>
        <v/>
      </c>
      <c r="S9" s="10">
        <f>(H9+I9)-(F9+G9)</f>
        <v/>
      </c>
      <c r="T9" s="10" t="n">
        <v>0.91</v>
      </c>
      <c r="U9" s="10" t="n">
        <v>0.92</v>
      </c>
      <c r="V9" s="10" t="n">
        <v>-0.01</v>
      </c>
      <c r="W9" s="10" t="n">
        <v>9.619999999999999</v>
      </c>
      <c r="X9" s="10" t="n">
        <v>8.09</v>
      </c>
    </row>
    <row r="10">
      <c r="A10" s="6" t="inlineStr">
        <is>
          <t>2026-10-03</t>
        </is>
      </c>
      <c r="B10" s="6" t="inlineStr">
        <is>
          <t>Gillingham</t>
        </is>
      </c>
      <c r="C10" s="6" t="inlineStr">
        <is>
          <t>Away</t>
        </is>
      </c>
      <c r="D10" s="6" t="n">
        <v>0</v>
      </c>
      <c r="E10" s="6" t="n">
        <v>0</v>
      </c>
      <c r="F10" s="9" t="n">
        <v>1.08</v>
      </c>
      <c r="G10" s="9" t="n">
        <v>1.54</v>
      </c>
      <c r="H10" s="9" t="n">
        <v>1.22</v>
      </c>
      <c r="I10" s="9" t="n">
        <v>0.28</v>
      </c>
      <c r="J10" s="9" t="n">
        <v>0.14</v>
      </c>
      <c r="K10" s="9" t="n">
        <v>-1.26</v>
      </c>
      <c r="L10" s="9" t="n">
        <v>0.02</v>
      </c>
      <c r="M10" s="9" t="n">
        <v>-0.57</v>
      </c>
      <c r="N10" s="9" t="n">
        <v>0.25</v>
      </c>
      <c r="O10" s="9" t="n">
        <v>-1.48</v>
      </c>
      <c r="P10" s="9" t="n">
        <v>-0.05</v>
      </c>
      <c r="Q10" s="9" t="n">
        <v>-0.54</v>
      </c>
      <c r="R10" s="9">
        <f>(H10-I10)-(F10-G10)</f>
        <v/>
      </c>
      <c r="S10" s="9">
        <f>(H10+I10)-(F10+G10)</f>
        <v/>
      </c>
      <c r="T10" s="9" t="n">
        <v>2.13</v>
      </c>
      <c r="U10" s="9" t="n">
        <v>1.06</v>
      </c>
      <c r="V10" s="9" t="n">
        <v>1.08</v>
      </c>
      <c r="W10" s="9" t="n">
        <v>11.75</v>
      </c>
      <c r="X10" s="9" t="n">
        <v>9.15</v>
      </c>
    </row>
    <row r="11">
      <c r="A11" s="8" t="inlineStr">
        <is>
          <t>2026-10-10</t>
        </is>
      </c>
      <c r="B11" s="8" t="inlineStr">
        <is>
          <t>Colchester United</t>
        </is>
      </c>
      <c r="C11" s="8" t="inlineStr">
        <is>
          <t>Home</t>
        </is>
      </c>
      <c r="D11" s="8" t="n">
        <v>1</v>
      </c>
      <c r="E11" s="8" t="n">
        <v>0</v>
      </c>
      <c r="F11" s="10" t="n">
        <v>1.37</v>
      </c>
      <c r="G11" s="10" t="n">
        <v>1.41</v>
      </c>
      <c r="H11" s="10" t="n">
        <v>1.6</v>
      </c>
      <c r="I11" s="10" t="n">
        <v>0.61</v>
      </c>
      <c r="J11" s="10" t="n">
        <v>0.23</v>
      </c>
      <c r="K11" s="10" t="n">
        <v>-0.8</v>
      </c>
      <c r="L11" s="10" t="n">
        <v>0.15</v>
      </c>
      <c r="M11" s="10" t="n">
        <v>-0.73</v>
      </c>
      <c r="N11" s="10" t="n">
        <v>0</v>
      </c>
      <c r="O11" s="10" t="n">
        <v>-0.71</v>
      </c>
      <c r="P11" s="10" t="n">
        <v>0.04</v>
      </c>
      <c r="Q11" s="10" t="n">
        <v>-0.77</v>
      </c>
      <c r="R11" s="10">
        <f>(H11-I11)-(F11-G11)</f>
        <v/>
      </c>
      <c r="S11" s="10">
        <f>(H11+I11)-(F11+G11)</f>
        <v/>
      </c>
      <c r="T11" s="10" t="n">
        <v>2.09</v>
      </c>
      <c r="U11" s="10" t="n">
        <v>1.35</v>
      </c>
      <c r="V11" s="10" t="n">
        <v>0.74</v>
      </c>
      <c r="W11" s="10" t="n">
        <v>13.84</v>
      </c>
      <c r="X11" s="10" t="n">
        <v>10.49</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9</v>
      </c>
      <c r="D39" s="15" t="n">
        <v>4</v>
      </c>
      <c r="E39" s="19" t="n">
        <v>0.83</v>
      </c>
      <c r="F39" s="19" t="n">
        <v>1.03</v>
      </c>
      <c r="G39" s="19" t="n">
        <v>-0.18</v>
      </c>
      <c r="H39" s="19" t="n">
        <v>-0.49</v>
      </c>
    </row>
    <row r="40">
      <c r="A40" s="15" t="inlineStr">
        <is>
          <t>Away</t>
        </is>
      </c>
      <c r="B40" s="15" t="n">
        <v>5</v>
      </c>
      <c r="C40" s="15" t="n">
        <v>4</v>
      </c>
      <c r="D40" s="15" t="n">
        <v>8</v>
      </c>
      <c r="E40" s="19" t="n">
        <v>-0.16</v>
      </c>
      <c r="F40" s="19" t="n">
        <v>0.36</v>
      </c>
      <c r="G40" s="19" t="n">
        <v>-0.57</v>
      </c>
      <c r="H40" s="19" t="n">
        <v>-1.13</v>
      </c>
    </row>
    <row r="41">
      <c r="A41" s="20" t="inlineStr">
        <is>
          <t>Total</t>
        </is>
      </c>
      <c r="B41" s="20" t="n">
        <v>10</v>
      </c>
      <c r="C41" s="20" t="n">
        <v>13</v>
      </c>
      <c r="D41" s="20" t="n">
        <v>12</v>
      </c>
      <c r="E41" s="21" t="n">
        <v>0.34</v>
      </c>
      <c r="F41" s="21" t="n">
        <v>0.49</v>
      </c>
      <c r="G41" s="21" t="n">
        <v>-0.37</v>
      </c>
      <c r="H41" s="21" t="n">
        <v>-0.53</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Swindon Town</t>
        </is>
      </c>
      <c r="C2" s="6" t="inlineStr">
        <is>
          <t>Home</t>
        </is>
      </c>
      <c r="D2" s="6" t="n">
        <v>0</v>
      </c>
      <c r="E2" s="6" t="n">
        <v>0</v>
      </c>
      <c r="F2" s="9" t="n">
        <v>1.51</v>
      </c>
      <c r="G2" s="9" t="n">
        <v>1.14</v>
      </c>
      <c r="H2" s="9" t="n">
        <v>0.76</v>
      </c>
      <c r="I2" s="9" t="n">
        <v>0.2</v>
      </c>
      <c r="J2" s="9" t="n">
        <v>-0.75</v>
      </c>
      <c r="K2" s="9" t="n">
        <v>-0.9399999999999999</v>
      </c>
      <c r="L2" s="9" t="n">
        <v>-0.75</v>
      </c>
      <c r="M2" s="9" t="n">
        <v>-0.9399999999999999</v>
      </c>
      <c r="N2" s="9" t="n">
        <v>-0.88</v>
      </c>
      <c r="O2" s="9" t="n">
        <v>-0.83</v>
      </c>
      <c r="P2" s="9" t="n">
        <v>-0.88</v>
      </c>
      <c r="Q2" s="9" t="n">
        <v>-0.83</v>
      </c>
      <c r="R2" s="9">
        <f>(H2-I2)-(F2-G2)</f>
        <v/>
      </c>
      <c r="S2" s="9">
        <f>(H2+I2)-(F2+G2)</f>
        <v/>
      </c>
      <c r="T2" s="9" t="n">
        <v>1.84</v>
      </c>
      <c r="U2" s="9" t="n">
        <v>1.63</v>
      </c>
      <c r="V2" s="9" t="n">
        <v>0.21</v>
      </c>
      <c r="W2" s="9" t="n">
        <v>1.84</v>
      </c>
      <c r="X2" s="9" t="n">
        <v>1.63</v>
      </c>
    </row>
    <row r="3">
      <c r="A3" s="8" t="inlineStr">
        <is>
          <t>2026-08-22</t>
        </is>
      </c>
      <c r="B3" s="8" t="inlineStr">
        <is>
          <t>Crewe Alexandra</t>
        </is>
      </c>
      <c r="C3" s="8" t="inlineStr">
        <is>
          <t>Away</t>
        </is>
      </c>
      <c r="D3" s="8" t="n">
        <v>0</v>
      </c>
      <c r="E3" s="8" t="n">
        <v>1</v>
      </c>
      <c r="F3" s="10" t="n">
        <v>1.13</v>
      </c>
      <c r="G3" s="10" t="n">
        <v>1.46</v>
      </c>
      <c r="H3" s="10" t="n">
        <v>0.77</v>
      </c>
      <c r="I3" s="10" t="n">
        <v>0.48</v>
      </c>
      <c r="J3" s="10" t="n">
        <v>-0.36</v>
      </c>
      <c r="K3" s="10" t="n">
        <v>-0.98</v>
      </c>
      <c r="L3" s="10" t="n">
        <v>-0.5600000000000001</v>
      </c>
      <c r="M3" s="10" t="n">
        <v>-0.96</v>
      </c>
      <c r="N3" s="10" t="n">
        <v>-0.28</v>
      </c>
      <c r="O3" s="10" t="n">
        <v>-0.89</v>
      </c>
      <c r="P3" s="10" t="n">
        <v>-0.58</v>
      </c>
      <c r="Q3" s="10" t="n">
        <v>-0.86</v>
      </c>
      <c r="R3" s="10">
        <f>(H3-I3)-(F3-G3)</f>
        <v/>
      </c>
      <c r="S3" s="10">
        <f>(H3+I3)-(F3+G3)</f>
        <v/>
      </c>
      <c r="T3" s="10" t="n">
        <v>1.57</v>
      </c>
      <c r="U3" s="10" t="n">
        <v>1.14</v>
      </c>
      <c r="V3" s="10" t="n">
        <v>0.43</v>
      </c>
      <c r="W3" s="10" t="n">
        <v>3.41</v>
      </c>
      <c r="X3" s="10" t="n">
        <v>2.77</v>
      </c>
    </row>
    <row r="4">
      <c r="A4" s="6" t="inlineStr">
        <is>
          <t>2026-08-29</t>
        </is>
      </c>
      <c r="B4" s="6" t="inlineStr">
        <is>
          <t>Gillingham</t>
        </is>
      </c>
      <c r="C4" s="6" t="inlineStr">
        <is>
          <t>Away</t>
        </is>
      </c>
      <c r="D4" s="6" t="n">
        <v>1</v>
      </c>
      <c r="E4" s="6" t="n">
        <v>1</v>
      </c>
      <c r="F4" s="9" t="n">
        <v>1.26</v>
      </c>
      <c r="G4" s="9" t="n">
        <v>1.32</v>
      </c>
      <c r="H4" s="9" t="n">
        <v>0.35</v>
      </c>
      <c r="I4" s="9" t="n">
        <v>0.89</v>
      </c>
      <c r="J4" s="9" t="n">
        <v>-0.91</v>
      </c>
      <c r="K4" s="9" t="n">
        <v>-0.43</v>
      </c>
      <c r="L4" s="9" t="n">
        <v>-0.67</v>
      </c>
      <c r="M4" s="9" t="n">
        <v>-0.78</v>
      </c>
      <c r="N4" s="9" t="n">
        <v>-0.91</v>
      </c>
      <c r="O4" s="9" t="n">
        <v>-0.55</v>
      </c>
      <c r="P4" s="9" t="n">
        <v>-0.6899999999999999</v>
      </c>
      <c r="Q4" s="9" t="n">
        <v>-0.76</v>
      </c>
      <c r="R4" s="9">
        <f>(H4-I4)-(F4-G4)</f>
        <v/>
      </c>
      <c r="S4" s="9">
        <f>(H4+I4)-(F4+G4)</f>
        <v/>
      </c>
      <c r="T4" s="9" t="n">
        <v>0.8100000000000001</v>
      </c>
      <c r="U4" s="9" t="n">
        <v>1.32</v>
      </c>
      <c r="V4" s="9" t="n">
        <v>-0.52</v>
      </c>
      <c r="W4" s="9" t="n">
        <v>4.22</v>
      </c>
      <c r="X4" s="9" t="n">
        <v>4.09</v>
      </c>
    </row>
    <row r="5">
      <c r="A5" s="8" t="inlineStr">
        <is>
          <t>2026-09-01</t>
        </is>
      </c>
      <c r="B5" s="8" t="inlineStr">
        <is>
          <t>Crawley Town</t>
        </is>
      </c>
      <c r="C5" s="8" t="inlineStr">
        <is>
          <t>Home</t>
        </is>
      </c>
      <c r="D5" s="8" t="n">
        <v>1</v>
      </c>
      <c r="E5" s="8" t="n">
        <v>1</v>
      </c>
      <c r="F5" s="10" t="n">
        <v>1.76</v>
      </c>
      <c r="G5" s="10" t="n">
        <v>0.99</v>
      </c>
      <c r="H5" s="10" t="n">
        <v>0.55</v>
      </c>
      <c r="I5" s="10" t="n">
        <v>2.62</v>
      </c>
      <c r="J5" s="10" t="n">
        <v>-1.21</v>
      </c>
      <c r="K5" s="10" t="n">
        <v>1.63</v>
      </c>
      <c r="L5" s="10" t="n">
        <v>-0.8100000000000001</v>
      </c>
      <c r="M5" s="10" t="n">
        <v>-0.18</v>
      </c>
      <c r="N5" s="10" t="n">
        <v>-1.65</v>
      </c>
      <c r="O5" s="10" t="n">
        <v>1.47</v>
      </c>
      <c r="P5" s="10" t="n">
        <v>-0.93</v>
      </c>
      <c r="Q5" s="10" t="n">
        <v>-0.2</v>
      </c>
      <c r="R5" s="10">
        <f>(H5-I5)-(F5-G5)</f>
        <v/>
      </c>
      <c r="S5" s="10">
        <f>(H5+I5)-(F5+G5)</f>
        <v/>
      </c>
      <c r="T5" s="10" t="n">
        <v>0.3</v>
      </c>
      <c r="U5" s="10" t="n">
        <v>1.9</v>
      </c>
      <c r="V5" s="10" t="n">
        <v>-1.6</v>
      </c>
      <c r="W5" s="10" t="n">
        <v>4.51</v>
      </c>
      <c r="X5" s="10" t="n">
        <v>5.99</v>
      </c>
    </row>
    <row r="6">
      <c r="A6" s="6" t="inlineStr">
        <is>
          <t>2026-09-05</t>
        </is>
      </c>
      <c r="B6" s="6" t="inlineStr">
        <is>
          <t>Newport County</t>
        </is>
      </c>
      <c r="C6" s="6" t="inlineStr">
        <is>
          <t>Home</t>
        </is>
      </c>
      <c r="D6" s="6" t="n">
        <v>1</v>
      </c>
      <c r="E6" s="6" t="n">
        <v>0</v>
      </c>
      <c r="F6" s="9" t="n">
        <v>1.67</v>
      </c>
      <c r="G6" s="9" t="n">
        <v>0.91</v>
      </c>
      <c r="H6" s="9" t="n">
        <v>0.45</v>
      </c>
      <c r="I6" s="9" t="n">
        <v>0.32</v>
      </c>
      <c r="J6" s="9" t="n">
        <v>-1.22</v>
      </c>
      <c r="K6" s="9" t="n">
        <v>-0.59</v>
      </c>
      <c r="L6" s="9" t="n">
        <v>-0.89</v>
      </c>
      <c r="M6" s="9" t="n">
        <v>-0.26</v>
      </c>
      <c r="N6" s="9" t="n">
        <v>-0.96</v>
      </c>
      <c r="O6" s="9" t="n">
        <v>-0.64</v>
      </c>
      <c r="P6" s="9" t="n">
        <v>-0.93</v>
      </c>
      <c r="Q6" s="9" t="n">
        <v>-0.29</v>
      </c>
      <c r="R6" s="9">
        <f>(H6-I6)-(F6-G6)</f>
        <v/>
      </c>
      <c r="S6" s="9">
        <f>(H6+I6)-(F6+G6)</f>
        <v/>
      </c>
      <c r="T6" s="9" t="n">
        <v>1.38</v>
      </c>
      <c r="U6" s="9" t="n">
        <v>1.9</v>
      </c>
      <c r="V6" s="9" t="n">
        <v>-0.52</v>
      </c>
      <c r="W6" s="9" t="n">
        <v>5.89</v>
      </c>
      <c r="X6" s="9" t="n">
        <v>7.89</v>
      </c>
    </row>
    <row r="7">
      <c r="A7" s="8" t="inlineStr">
        <is>
          <t>2026-09-12</t>
        </is>
      </c>
      <c r="B7" s="8" t="inlineStr">
        <is>
          <t>Shrewsbury Town</t>
        </is>
      </c>
      <c r="C7" s="8" t="inlineStr">
        <is>
          <t>Away</t>
        </is>
      </c>
      <c r="D7" s="8" t="n">
        <v>0</v>
      </c>
      <c r="E7" s="8" t="n">
        <v>2</v>
      </c>
      <c r="F7" s="10" t="n">
        <v>1.17</v>
      </c>
      <c r="G7" s="10" t="n">
        <v>1.2</v>
      </c>
      <c r="H7" s="10" t="n">
        <v>0.5</v>
      </c>
      <c r="I7" s="10" t="n">
        <v>0.87</v>
      </c>
      <c r="J7" s="10" t="n">
        <v>-0.67</v>
      </c>
      <c r="K7" s="10" t="n">
        <v>-0.33</v>
      </c>
      <c r="L7" s="10" t="n">
        <v>-0.85</v>
      </c>
      <c r="M7" s="10" t="n">
        <v>-0.27</v>
      </c>
      <c r="N7" s="10" t="n">
        <v>-0.32</v>
      </c>
      <c r="O7" s="10" t="n">
        <v>-0.54</v>
      </c>
      <c r="P7" s="10" t="n">
        <v>-0.83</v>
      </c>
      <c r="Q7" s="10" t="n">
        <v>-0.33</v>
      </c>
      <c r="R7" s="10">
        <f>(H7-I7)-(F7-G7)</f>
        <v/>
      </c>
      <c r="S7" s="10">
        <f>(H7+I7)-(F7+G7)</f>
        <v/>
      </c>
      <c r="T7" s="10" t="n">
        <v>0.98</v>
      </c>
      <c r="U7" s="10" t="n">
        <v>1.34</v>
      </c>
      <c r="V7" s="10" t="n">
        <v>-0.36</v>
      </c>
      <c r="W7" s="10" t="n">
        <v>6.87</v>
      </c>
      <c r="X7" s="10" t="n">
        <v>9.23</v>
      </c>
    </row>
    <row r="8">
      <c r="A8" s="6" t="inlineStr">
        <is>
          <t>2026-09-19</t>
        </is>
      </c>
      <c r="B8" s="6" t="inlineStr">
        <is>
          <t>Rotherham United</t>
        </is>
      </c>
      <c r="C8" s="6" t="inlineStr">
        <is>
          <t>Home</t>
        </is>
      </c>
      <c r="D8" s="6" t="n">
        <v>0</v>
      </c>
      <c r="E8" s="6" t="n">
        <v>1</v>
      </c>
      <c r="F8" s="9" t="n">
        <v>1.36</v>
      </c>
      <c r="G8" s="9" t="n">
        <v>1.18</v>
      </c>
      <c r="H8" s="9" t="n">
        <v>1.06</v>
      </c>
      <c r="I8" s="9" t="n">
        <v>1.28</v>
      </c>
      <c r="J8" s="9" t="n">
        <v>-0.3</v>
      </c>
      <c r="K8" s="9" t="n">
        <v>0.1</v>
      </c>
      <c r="L8" s="9" t="n">
        <v>-0.78</v>
      </c>
      <c r="M8" s="9" t="n">
        <v>-0.1</v>
      </c>
      <c r="N8" s="9" t="n">
        <v>-0.19</v>
      </c>
      <c r="O8" s="9" t="n">
        <v>-0.09</v>
      </c>
      <c r="P8" s="9" t="n">
        <v>-0.72</v>
      </c>
      <c r="Q8" s="9" t="n">
        <v>-0.21</v>
      </c>
      <c r="R8" s="9">
        <f>(H8-I8)-(F8-G8)</f>
        <v/>
      </c>
      <c r="S8" s="9">
        <f>(H8+I8)-(F8+G8)</f>
        <v/>
      </c>
      <c r="T8" s="9" t="n">
        <v>1.2</v>
      </c>
      <c r="U8" s="9" t="n">
        <v>1.49</v>
      </c>
      <c r="V8" s="9" t="n">
        <v>-0.29</v>
      </c>
      <c r="W8" s="9" t="n">
        <v>8.07</v>
      </c>
      <c r="X8" s="9" t="n">
        <v>10.72</v>
      </c>
    </row>
    <row r="9">
      <c r="A9" s="8" t="inlineStr">
        <is>
          <t>2026-10-10</t>
        </is>
      </c>
      <c r="B9" s="8" t="inlineStr">
        <is>
          <t>York</t>
        </is>
      </c>
      <c r="C9" s="8" t="inlineStr">
        <is>
          <t>Away</t>
        </is>
      </c>
      <c r="D9" s="8" t="n">
        <v>1</v>
      </c>
      <c r="E9" s="8" t="n">
        <v>1</v>
      </c>
      <c r="F9" s="10" t="n">
        <v>0.95</v>
      </c>
      <c r="G9" s="10" t="n">
        <v>1.83</v>
      </c>
      <c r="H9" s="10" t="n">
        <v>0.98</v>
      </c>
      <c r="I9" s="10" t="n">
        <v>2.31</v>
      </c>
      <c r="J9" s="10" t="n">
        <v>0.03</v>
      </c>
      <c r="K9" s="10" t="n">
        <v>0.48</v>
      </c>
      <c r="L9" s="10" t="n">
        <v>-0.71</v>
      </c>
      <c r="M9" s="10" t="n">
        <v>0.14</v>
      </c>
      <c r="N9" s="10" t="n">
        <v>0.07000000000000001</v>
      </c>
      <c r="O9" s="10" t="n">
        <v>0.16</v>
      </c>
      <c r="P9" s="10" t="n">
        <v>-0.66</v>
      </c>
      <c r="Q9" s="10" t="n">
        <v>-0.03</v>
      </c>
      <c r="R9" s="10">
        <f>(H9-I9)-(F9-G9)</f>
        <v/>
      </c>
      <c r="S9" s="10">
        <f>(H9+I9)-(F9+G9)</f>
        <v/>
      </c>
      <c r="T9" s="10" t="n">
        <v>0.62</v>
      </c>
      <c r="U9" s="10" t="n">
        <v>0.8100000000000001</v>
      </c>
      <c r="V9" s="10" t="n">
        <v>-0.19</v>
      </c>
      <c r="W9" s="10" t="n">
        <v>8.69</v>
      </c>
      <c r="X9" s="10" t="n">
        <v>11.53</v>
      </c>
    </row>
    <row r="11">
      <c r="A11" s="12"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2"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2</v>
      </c>
      <c r="D37" s="15" t="n">
        <v>2</v>
      </c>
      <c r="E37" s="19" t="n">
        <v>-0.92</v>
      </c>
      <c r="F37" s="19" t="n">
        <v>-0.51</v>
      </c>
      <c r="G37" s="19" t="n">
        <v>-0.82</v>
      </c>
      <c r="H37" s="19" t="n">
        <v>-0.95</v>
      </c>
    </row>
    <row r="38">
      <c r="A38" s="15" t="inlineStr">
        <is>
          <t>Away</t>
        </is>
      </c>
      <c r="B38" s="15" t="n">
        <v>4</v>
      </c>
      <c r="C38" s="15" t="n">
        <v>2</v>
      </c>
      <c r="D38" s="15" t="n">
        <v>5</v>
      </c>
      <c r="E38" s="19" t="n">
        <v>-0.16</v>
      </c>
      <c r="F38" s="19" t="n">
        <v>-0.4</v>
      </c>
      <c r="G38" s="19" t="n">
        <v>-0.8</v>
      </c>
      <c r="H38" s="19" t="n">
        <v>-1.17</v>
      </c>
    </row>
    <row r="39">
      <c r="A39" s="20" t="inlineStr">
        <is>
          <t>Total</t>
        </is>
      </c>
      <c r="B39" s="20" t="n">
        <v>8</v>
      </c>
      <c r="C39" s="20" t="n">
        <v>4</v>
      </c>
      <c r="D39" s="20" t="n">
        <v>7</v>
      </c>
      <c r="E39" s="21" t="n">
        <v>-0.54</v>
      </c>
      <c r="F39" s="21" t="n">
        <v>-0.43</v>
      </c>
      <c r="G39" s="21" t="n">
        <v>-0.8100000000000001</v>
      </c>
      <c r="H39" s="21" t="n">
        <v>-1.17</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Port Vale</t>
        </is>
      </c>
      <c r="C2" s="6" t="inlineStr">
        <is>
          <t>Home</t>
        </is>
      </c>
      <c r="D2" s="6" t="n">
        <v>2</v>
      </c>
      <c r="E2" s="6" t="n">
        <v>0</v>
      </c>
      <c r="F2" s="9" t="n">
        <v>1.28</v>
      </c>
      <c r="G2" s="9" t="n">
        <v>1.23</v>
      </c>
      <c r="H2" s="9" t="n">
        <v>1.43</v>
      </c>
      <c r="I2" s="9" t="n">
        <v>0.51</v>
      </c>
      <c r="J2" s="9" t="n">
        <v>0.15</v>
      </c>
      <c r="K2" s="9" t="n">
        <v>-0.72</v>
      </c>
      <c r="L2" s="9" t="n">
        <v>0.15</v>
      </c>
      <c r="M2" s="9" t="n">
        <v>-0.72</v>
      </c>
      <c r="N2" s="9" t="n">
        <v>0.45</v>
      </c>
      <c r="O2" s="9" t="n">
        <v>-0.78</v>
      </c>
      <c r="P2" s="9" t="n">
        <v>0.45</v>
      </c>
      <c r="Q2" s="9" t="n">
        <v>-0.78</v>
      </c>
      <c r="R2" s="9">
        <f>(H2-I2)-(F2-G2)</f>
        <v/>
      </c>
      <c r="S2" s="9">
        <f>(H2+I2)-(F2+G2)</f>
        <v/>
      </c>
      <c r="T2" s="9" t="n">
        <v>2.07</v>
      </c>
      <c r="U2" s="9" t="n">
        <v>1.4</v>
      </c>
      <c r="V2" s="9" t="n">
        <v>0.67</v>
      </c>
      <c r="W2" s="9" t="n">
        <v>2.07</v>
      </c>
      <c r="X2" s="9" t="n">
        <v>1.4</v>
      </c>
    </row>
    <row r="3">
      <c r="A3" s="8" t="inlineStr">
        <is>
          <t>2026-08-22</t>
        </is>
      </c>
      <c r="B3" s="8" t="inlineStr">
        <is>
          <t>Colchester United</t>
        </is>
      </c>
      <c r="C3" s="8" t="inlineStr">
        <is>
          <t>Away</t>
        </is>
      </c>
      <c r="D3" s="8" t="n">
        <v>1</v>
      </c>
      <c r="E3" s="8" t="n">
        <v>2</v>
      </c>
      <c r="F3" s="10" t="n">
        <v>1.3</v>
      </c>
      <c r="G3" s="10" t="n">
        <v>1.38</v>
      </c>
      <c r="H3" s="10" t="n">
        <v>0.27</v>
      </c>
      <c r="I3" s="10" t="n">
        <v>2.37</v>
      </c>
      <c r="J3" s="10" t="n">
        <v>-1.03</v>
      </c>
      <c r="K3" s="10" t="n">
        <v>0.99</v>
      </c>
      <c r="L3" s="10" t="n">
        <v>-0.44</v>
      </c>
      <c r="M3" s="10" t="n">
        <v>0.13</v>
      </c>
      <c r="N3" s="10" t="n">
        <v>-1.42</v>
      </c>
      <c r="O3" s="10" t="n">
        <v>1.3</v>
      </c>
      <c r="P3" s="10" t="n">
        <v>-0.49</v>
      </c>
      <c r="Q3" s="10" t="n">
        <v>0.26</v>
      </c>
      <c r="R3" s="10">
        <f>(H3-I3)-(F3-G3)</f>
        <v/>
      </c>
      <c r="S3" s="10">
        <f>(H3+I3)-(F3+G3)</f>
        <v/>
      </c>
      <c r="T3" s="10" t="n">
        <v>0.21</v>
      </c>
      <c r="U3" s="10" t="n">
        <v>1.31</v>
      </c>
      <c r="V3" s="10" t="n">
        <v>-1.1</v>
      </c>
      <c r="W3" s="10" t="n">
        <v>2.28</v>
      </c>
      <c r="X3" s="10" t="n">
        <v>2.71</v>
      </c>
    </row>
    <row r="4">
      <c r="A4" s="6" t="inlineStr">
        <is>
          <t>2026-08-29</t>
        </is>
      </c>
      <c r="B4" s="6" t="inlineStr">
        <is>
          <t>Swindon Town</t>
        </is>
      </c>
      <c r="C4" s="6" t="inlineStr">
        <is>
          <t>Home</t>
        </is>
      </c>
      <c r="D4" s="6" t="n">
        <v>3</v>
      </c>
      <c r="E4" s="6" t="n">
        <v>0</v>
      </c>
      <c r="F4" s="9" t="n">
        <v>1.59</v>
      </c>
      <c r="G4" s="9" t="n">
        <v>1.09</v>
      </c>
      <c r="H4" s="9" t="n">
        <v>2.73</v>
      </c>
      <c r="I4" s="9" t="n">
        <v>0.07000000000000001</v>
      </c>
      <c r="J4" s="9" t="n">
        <v>1.14</v>
      </c>
      <c r="K4" s="9" t="n">
        <v>-1.02</v>
      </c>
      <c r="L4" s="9" t="n">
        <v>0.08</v>
      </c>
      <c r="M4" s="9" t="n">
        <v>-0.25</v>
      </c>
      <c r="N4" s="9" t="n">
        <v>1.23</v>
      </c>
      <c r="O4" s="9" t="n">
        <v>-0.92</v>
      </c>
      <c r="P4" s="9" t="n">
        <v>0.08</v>
      </c>
      <c r="Q4" s="9" t="n">
        <v>-0.13</v>
      </c>
      <c r="R4" s="9">
        <f>(H4-I4)-(F4-G4)</f>
        <v/>
      </c>
      <c r="S4" s="9">
        <f>(H4+I4)-(F4+G4)</f>
        <v/>
      </c>
      <c r="T4" s="9" t="n">
        <v>2.84</v>
      </c>
      <c r="U4" s="9" t="n">
        <v>1.72</v>
      </c>
      <c r="V4" s="9" t="n">
        <v>1.12</v>
      </c>
      <c r="W4" s="9" t="n">
        <v>5.12</v>
      </c>
      <c r="X4" s="9" t="n">
        <v>4.43</v>
      </c>
    </row>
    <row r="5">
      <c r="A5" s="8" t="inlineStr">
        <is>
          <t>2026-09-01</t>
        </is>
      </c>
      <c r="B5" s="8" t="inlineStr">
        <is>
          <t>Fleetwood Town</t>
        </is>
      </c>
      <c r="C5" s="8" t="inlineStr">
        <is>
          <t>Away</t>
        </is>
      </c>
      <c r="D5" s="8" t="n">
        <v>1</v>
      </c>
      <c r="E5" s="8" t="n">
        <v>1</v>
      </c>
      <c r="F5" s="10" t="n">
        <v>1.3</v>
      </c>
      <c r="G5" s="10" t="n">
        <v>1.31</v>
      </c>
      <c r="H5" s="10" t="n">
        <v>1.42</v>
      </c>
      <c r="I5" s="10" t="n">
        <v>0.84</v>
      </c>
      <c r="J5" s="10" t="n">
        <v>0.12</v>
      </c>
      <c r="K5" s="10" t="n">
        <v>-0.47</v>
      </c>
      <c r="L5" s="10" t="n">
        <v>0.09</v>
      </c>
      <c r="M5" s="10" t="n">
        <v>-0.31</v>
      </c>
      <c r="N5" s="10" t="n">
        <v>-0.34</v>
      </c>
      <c r="O5" s="10" t="n">
        <v>-0.37</v>
      </c>
      <c r="P5" s="10" t="n">
        <v>-0.02</v>
      </c>
      <c r="Q5" s="10" t="n">
        <v>-0.19</v>
      </c>
      <c r="R5" s="10">
        <f>(H5-I5)-(F5-G5)</f>
        <v/>
      </c>
      <c r="S5" s="10">
        <f>(H5+I5)-(F5+G5)</f>
        <v/>
      </c>
      <c r="T5" s="10" t="n">
        <v>1.79</v>
      </c>
      <c r="U5" s="10" t="n">
        <v>1.36</v>
      </c>
      <c r="V5" s="10" t="n">
        <v>0.43</v>
      </c>
      <c r="W5" s="10" t="n">
        <v>6.91</v>
      </c>
      <c r="X5" s="10" t="n">
        <v>5.79</v>
      </c>
    </row>
    <row r="6">
      <c r="A6" s="6" t="inlineStr">
        <is>
          <t>2026-09-05</t>
        </is>
      </c>
      <c r="B6" s="6" t="inlineStr">
        <is>
          <t>Tranmere Rovers</t>
        </is>
      </c>
      <c r="C6" s="6" t="inlineStr">
        <is>
          <t>Away</t>
        </is>
      </c>
      <c r="D6" s="6" t="n">
        <v>0</v>
      </c>
      <c r="E6" s="6" t="n">
        <v>2</v>
      </c>
      <c r="F6" s="9" t="n">
        <v>1.41</v>
      </c>
      <c r="G6" s="9" t="n">
        <v>1.15</v>
      </c>
      <c r="H6" s="9" t="n">
        <v>1.94</v>
      </c>
      <c r="I6" s="9" t="n">
        <v>1.96</v>
      </c>
      <c r="J6" s="9" t="n">
        <v>0.53</v>
      </c>
      <c r="K6" s="9" t="n">
        <v>0.8100000000000001</v>
      </c>
      <c r="L6" s="9" t="n">
        <v>0.18</v>
      </c>
      <c r="M6" s="9" t="n">
        <v>-0.08</v>
      </c>
      <c r="N6" s="9" t="n">
        <v>0.4</v>
      </c>
      <c r="O6" s="9" t="n">
        <v>0.9399999999999999</v>
      </c>
      <c r="P6" s="9" t="n">
        <v>0.06</v>
      </c>
      <c r="Q6" s="9" t="n">
        <v>0.03</v>
      </c>
      <c r="R6" s="9">
        <f>(H6-I6)-(F6-G6)</f>
        <v/>
      </c>
      <c r="S6" s="9">
        <f>(H6+I6)-(F6+G6)</f>
        <v/>
      </c>
      <c r="T6" s="9" t="n">
        <v>1.38</v>
      </c>
      <c r="U6" s="9" t="n">
        <v>1.55</v>
      </c>
      <c r="V6" s="9" t="n">
        <v>-0.17</v>
      </c>
      <c r="W6" s="9" t="n">
        <v>8.289999999999999</v>
      </c>
      <c r="X6" s="9" t="n">
        <v>7.35</v>
      </c>
    </row>
    <row r="7">
      <c r="A7" s="8" t="inlineStr">
        <is>
          <t>2026-09-12</t>
        </is>
      </c>
      <c r="B7" s="8" t="inlineStr">
        <is>
          <t>Chesterfield</t>
        </is>
      </c>
      <c r="C7" s="8" t="inlineStr">
        <is>
          <t>Home</t>
        </is>
      </c>
      <c r="D7" s="8" t="n">
        <v>1</v>
      </c>
      <c r="E7" s="8" t="n">
        <v>2</v>
      </c>
      <c r="F7" s="10" t="n">
        <v>1.49</v>
      </c>
      <c r="G7" s="10" t="n">
        <v>1.17</v>
      </c>
      <c r="H7" s="10" t="n">
        <v>1.08</v>
      </c>
      <c r="I7" s="10" t="n">
        <v>2.24</v>
      </c>
      <c r="J7" s="10" t="n">
        <v>-0.41</v>
      </c>
      <c r="K7" s="10" t="n">
        <v>1.07</v>
      </c>
      <c r="L7" s="10" t="n">
        <v>0.08</v>
      </c>
      <c r="M7" s="10" t="n">
        <v>0.11</v>
      </c>
      <c r="N7" s="10" t="n">
        <v>-0.48</v>
      </c>
      <c r="O7" s="10" t="n">
        <v>0.52</v>
      </c>
      <c r="P7" s="10" t="n">
        <v>-0.03</v>
      </c>
      <c r="Q7" s="10" t="n">
        <v>0.12</v>
      </c>
      <c r="R7" s="10">
        <f>(H7-I7)-(F7-G7)</f>
        <v/>
      </c>
      <c r="S7" s="10">
        <f>(H7+I7)-(F7+G7)</f>
        <v/>
      </c>
      <c r="T7" s="10" t="n">
        <v>0.71</v>
      </c>
      <c r="U7" s="10" t="n">
        <v>1.6</v>
      </c>
      <c r="V7" s="10" t="n">
        <v>-0.89</v>
      </c>
      <c r="W7" s="10" t="n">
        <v>9</v>
      </c>
      <c r="X7" s="10" t="n">
        <v>8.949999999999999</v>
      </c>
    </row>
    <row r="8">
      <c r="A8" s="6" t="inlineStr">
        <is>
          <t>2026-09-19</t>
        </is>
      </c>
      <c r="B8" s="6" t="inlineStr">
        <is>
          <t>Rochdale</t>
        </is>
      </c>
      <c r="C8" s="6" t="inlineStr">
        <is>
          <t>Away</t>
        </is>
      </c>
      <c r="D8" s="6" t="n">
        <v>0</v>
      </c>
      <c r="E8" s="6" t="n">
        <v>2</v>
      </c>
      <c r="F8" s="9" t="n">
        <v>1.67</v>
      </c>
      <c r="G8" s="9" t="n">
        <v>1.11</v>
      </c>
      <c r="H8" s="9" t="n">
        <v>2.49</v>
      </c>
      <c r="I8" s="9" t="n">
        <v>0.4</v>
      </c>
      <c r="J8" s="9" t="n">
        <v>0.82</v>
      </c>
      <c r="K8" s="9" t="n">
        <v>-0.71</v>
      </c>
      <c r="L8" s="9" t="n">
        <v>0.19</v>
      </c>
      <c r="M8" s="9" t="n">
        <v>0.11</v>
      </c>
      <c r="N8" s="9" t="n">
        <v>0.65</v>
      </c>
      <c r="O8" s="9" t="n">
        <v>-0.24</v>
      </c>
      <c r="P8" s="9" t="n">
        <v>0.01</v>
      </c>
      <c r="Q8" s="9" t="n">
        <v>0.21</v>
      </c>
      <c r="R8" s="9">
        <f>(H8-I8)-(F8-G8)</f>
        <v/>
      </c>
      <c r="S8" s="9">
        <f>(H8+I8)-(F8+G8)</f>
        <v/>
      </c>
      <c r="T8" s="9" t="n">
        <v>2.62</v>
      </c>
      <c r="U8" s="9" t="n">
        <v>1.75</v>
      </c>
      <c r="V8" s="9" t="n">
        <v>0.87</v>
      </c>
      <c r="W8" s="9" t="n">
        <v>11.62</v>
      </c>
      <c r="X8" s="9" t="n">
        <v>10.7</v>
      </c>
    </row>
    <row r="9">
      <c r="A9" s="8" t="inlineStr">
        <is>
          <t>2026-09-26</t>
        </is>
      </c>
      <c r="B9" s="8" t="inlineStr">
        <is>
          <t>Salford City</t>
        </is>
      </c>
      <c r="C9" s="8" t="inlineStr">
        <is>
          <t>Home</t>
        </is>
      </c>
      <c r="D9" s="8" t="n">
        <v>1</v>
      </c>
      <c r="E9" s="8" t="n">
        <v>4</v>
      </c>
      <c r="F9" s="10" t="n">
        <v>1.47</v>
      </c>
      <c r="G9" s="10" t="n">
        <v>1.41</v>
      </c>
      <c r="H9" s="10" t="n">
        <v>1.09</v>
      </c>
      <c r="I9" s="10" t="n">
        <v>1.67</v>
      </c>
      <c r="J9" s="10" t="n">
        <v>-0.38</v>
      </c>
      <c r="K9" s="10" t="n">
        <v>0.26</v>
      </c>
      <c r="L9" s="10" t="n">
        <v>0.3</v>
      </c>
      <c r="M9" s="10" t="n">
        <v>-0.01</v>
      </c>
      <c r="N9" s="10" t="n">
        <v>-0.39</v>
      </c>
      <c r="O9" s="10" t="n">
        <v>0.74</v>
      </c>
      <c r="P9" s="10" t="n">
        <v>0.18</v>
      </c>
      <c r="Q9" s="10" t="n">
        <v>0.11</v>
      </c>
      <c r="R9" s="10">
        <f>(H9-I9)-(F9-G9)</f>
        <v/>
      </c>
      <c r="S9" s="10">
        <f>(H9+I9)-(F9+G9)</f>
        <v/>
      </c>
      <c r="T9" s="10" t="n">
        <v>0.99</v>
      </c>
      <c r="U9" s="10" t="n">
        <v>1.41</v>
      </c>
      <c r="V9" s="10" t="n">
        <v>-0.43</v>
      </c>
      <c r="W9" s="10" t="n">
        <v>12.61</v>
      </c>
      <c r="X9" s="10" t="n">
        <v>12.11</v>
      </c>
    </row>
    <row r="10">
      <c r="A10" s="6" t="inlineStr">
        <is>
          <t>2026-10-10</t>
        </is>
      </c>
      <c r="B10" s="6" t="inlineStr">
        <is>
          <t>Accrington Stanley</t>
        </is>
      </c>
      <c r="C10" s="6" t="inlineStr">
        <is>
          <t>Home</t>
        </is>
      </c>
      <c r="D10" s="6" t="n">
        <v>0</v>
      </c>
      <c r="E10" s="6" t="n">
        <v>0</v>
      </c>
      <c r="F10" s="9" t="n">
        <v>1.85</v>
      </c>
      <c r="G10" s="9" t="n">
        <v>0.96</v>
      </c>
      <c r="H10" s="9" t="n">
        <v>0.23</v>
      </c>
      <c r="I10" s="9" t="n">
        <v>0.61</v>
      </c>
      <c r="J10" s="9" t="n">
        <v>-1.62</v>
      </c>
      <c r="K10" s="9" t="n">
        <v>-0.35</v>
      </c>
      <c r="L10" s="9" t="n">
        <v>-0.16</v>
      </c>
      <c r="M10" s="9" t="n">
        <v>0.1</v>
      </c>
      <c r="N10" s="9" t="n">
        <v>-1.73</v>
      </c>
      <c r="O10" s="9" t="n">
        <v>-0.83</v>
      </c>
      <c r="P10" s="9" t="n">
        <v>-0.31</v>
      </c>
      <c r="Q10" s="9" t="n">
        <v>0.13</v>
      </c>
      <c r="R10" s="9">
        <f>(H10-I10)-(F10-G10)</f>
        <v/>
      </c>
      <c r="S10" s="9">
        <f>(H10+I10)-(F10+G10)</f>
        <v/>
      </c>
      <c r="T10" s="9" t="n">
        <v>0.85</v>
      </c>
      <c r="U10" s="9" t="n">
        <v>1.97</v>
      </c>
      <c r="V10" s="9" t="n">
        <v>-1.12</v>
      </c>
      <c r="W10" s="9" t="n">
        <v>13.46</v>
      </c>
      <c r="X10" s="9" t="n">
        <v>14.09</v>
      </c>
    </row>
    <row r="12">
      <c r="A12" s="12"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2"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7</v>
      </c>
      <c r="D38" s="15" t="n">
        <v>6</v>
      </c>
      <c r="E38" s="19" t="n">
        <v>-0.07000000000000001</v>
      </c>
      <c r="F38" s="19" t="n">
        <v>-0.64</v>
      </c>
      <c r="G38" s="19" t="n">
        <v>-0.38</v>
      </c>
      <c r="H38" s="19" t="n">
        <v>-0.11</v>
      </c>
    </row>
    <row r="39">
      <c r="A39" s="15" t="inlineStr">
        <is>
          <t>Away</t>
        </is>
      </c>
      <c r="B39" s="15" t="n">
        <v>4</v>
      </c>
      <c r="C39" s="15" t="n">
        <v>2</v>
      </c>
      <c r="D39" s="15" t="n">
        <v>7</v>
      </c>
      <c r="E39" s="19" t="n">
        <v>-0.05</v>
      </c>
      <c r="F39" s="19" t="n">
        <v>0.15</v>
      </c>
      <c r="G39" s="19" t="n">
        <v>0.26</v>
      </c>
      <c r="H39" s="19" t="n">
        <v>0.03</v>
      </c>
    </row>
    <row r="40">
      <c r="A40" s="20" t="inlineStr">
        <is>
          <t>Total</t>
        </is>
      </c>
      <c r="B40" s="20" t="n">
        <v>9</v>
      </c>
      <c r="C40" s="20" t="n">
        <v>9</v>
      </c>
      <c r="D40" s="20" t="n">
        <v>13</v>
      </c>
      <c r="E40" s="21" t="n">
        <v>-0.06</v>
      </c>
      <c r="F40" s="21" t="n">
        <v>-0.28</v>
      </c>
      <c r="G40" s="21" t="n">
        <v>-0.09</v>
      </c>
      <c r="H40" s="21" t="n">
        <v>-0.05</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Oldham Athletic</t>
        </is>
      </c>
      <c r="C2" s="6" t="inlineStr">
        <is>
          <t>Away</t>
        </is>
      </c>
      <c r="D2" s="6" t="n">
        <v>0</v>
      </c>
      <c r="E2" s="6" t="n">
        <v>2</v>
      </c>
      <c r="F2" s="9" t="n">
        <v>1.23</v>
      </c>
      <c r="G2" s="9" t="n">
        <v>1.28</v>
      </c>
      <c r="H2" s="9" t="n">
        <v>0.51</v>
      </c>
      <c r="I2" s="9" t="n">
        <v>1.43</v>
      </c>
      <c r="J2" s="9" t="n">
        <v>-0.72</v>
      </c>
      <c r="K2" s="9" t="n">
        <v>0.15</v>
      </c>
      <c r="L2" s="9" t="n">
        <v>-0.72</v>
      </c>
      <c r="M2" s="9" t="n">
        <v>0.15</v>
      </c>
      <c r="N2" s="9" t="n">
        <v>-0.8</v>
      </c>
      <c r="O2" s="9" t="n">
        <v>0.26</v>
      </c>
      <c r="P2" s="9" t="n">
        <v>-0.8</v>
      </c>
      <c r="Q2" s="9" t="n">
        <v>0.26</v>
      </c>
      <c r="R2" s="9">
        <f>(H2-I2)-(F2-G2)</f>
        <v/>
      </c>
      <c r="S2" s="9">
        <f>(H2+I2)-(F2+G2)</f>
        <v/>
      </c>
      <c r="T2" s="9" t="n">
        <v>0.66</v>
      </c>
      <c r="U2" s="9" t="n">
        <v>1.33</v>
      </c>
      <c r="V2" s="9" t="n">
        <v>-0.67</v>
      </c>
      <c r="W2" s="9" t="n">
        <v>0.66</v>
      </c>
      <c r="X2" s="9" t="n">
        <v>1.33</v>
      </c>
    </row>
    <row r="3">
      <c r="A3" s="8" t="inlineStr">
        <is>
          <t>2026-08-22</t>
        </is>
      </c>
      <c r="B3" s="8" t="inlineStr">
        <is>
          <t>Tranmere Rovers</t>
        </is>
      </c>
      <c r="C3" s="8" t="inlineStr">
        <is>
          <t>Home</t>
        </is>
      </c>
      <c r="D3" s="8" t="n">
        <v>1</v>
      </c>
      <c r="E3" s="8" t="n">
        <v>1</v>
      </c>
      <c r="F3" s="10" t="n">
        <v>1.64</v>
      </c>
      <c r="G3" s="10" t="n">
        <v>0.87</v>
      </c>
      <c r="H3" s="10" t="n">
        <v>1.79</v>
      </c>
      <c r="I3" s="10" t="n">
        <v>0.71</v>
      </c>
      <c r="J3" s="10" t="n">
        <v>0.15</v>
      </c>
      <c r="K3" s="10" t="n">
        <v>-0.16</v>
      </c>
      <c r="L3" s="10" t="n">
        <v>-0.29</v>
      </c>
      <c r="M3" s="10" t="n">
        <v>-0.01</v>
      </c>
      <c r="N3" s="10" t="n">
        <v>-0.02</v>
      </c>
      <c r="O3" s="10" t="n">
        <v>-0.14</v>
      </c>
      <c r="P3" s="10" t="n">
        <v>-0.41</v>
      </c>
      <c r="Q3" s="10" t="n">
        <v>0.06</v>
      </c>
      <c r="R3" s="10">
        <f>(H3-I3)-(F3-G3)</f>
        <v/>
      </c>
      <c r="S3" s="10">
        <f>(H3+I3)-(F3+G3)</f>
        <v/>
      </c>
      <c r="T3" s="10" t="n">
        <v>2.12</v>
      </c>
      <c r="U3" s="10" t="n">
        <v>1.91</v>
      </c>
      <c r="V3" s="10" t="n">
        <v>0.21</v>
      </c>
      <c r="W3" s="10" t="n">
        <v>2.79</v>
      </c>
      <c r="X3" s="10" t="n">
        <v>3.25</v>
      </c>
    </row>
    <row r="4">
      <c r="A4" s="6" t="inlineStr">
        <is>
          <t>2026-08-29</t>
        </is>
      </c>
      <c r="B4" s="6" t="inlineStr">
        <is>
          <t>Crewe Alexandra</t>
        </is>
      </c>
      <c r="C4" s="6" t="inlineStr">
        <is>
          <t>Home</t>
        </is>
      </c>
      <c r="D4" s="6" t="n">
        <v>0</v>
      </c>
      <c r="E4" s="6" t="n">
        <v>0</v>
      </c>
      <c r="F4" s="9" t="n">
        <v>1.49</v>
      </c>
      <c r="G4" s="9" t="n">
        <v>1.19</v>
      </c>
      <c r="H4" s="9" t="n">
        <v>1.06</v>
      </c>
      <c r="I4" s="9" t="n">
        <v>1.18</v>
      </c>
      <c r="J4" s="9" t="n">
        <v>-0.43</v>
      </c>
      <c r="K4" s="9" t="n">
        <v>-0.01</v>
      </c>
      <c r="L4" s="9" t="n">
        <v>-0.34</v>
      </c>
      <c r="M4" s="9" t="n">
        <v>-0.01</v>
      </c>
      <c r="N4" s="9" t="n">
        <v>-0.35</v>
      </c>
      <c r="O4" s="9" t="n">
        <v>0.2</v>
      </c>
      <c r="P4" s="9" t="n">
        <v>-0.39</v>
      </c>
      <c r="Q4" s="9" t="n">
        <v>0.11</v>
      </c>
      <c r="R4" s="9">
        <f>(H4-I4)-(F4-G4)</f>
        <v/>
      </c>
      <c r="S4" s="9">
        <f>(H4+I4)-(F4+G4)</f>
        <v/>
      </c>
      <c r="T4" s="9" t="n">
        <v>1.27</v>
      </c>
      <c r="U4" s="9" t="n">
        <v>1.58</v>
      </c>
      <c r="V4" s="9" t="n">
        <v>-0.32</v>
      </c>
      <c r="W4" s="9" t="n">
        <v>4.05</v>
      </c>
      <c r="X4" s="9" t="n">
        <v>4.83</v>
      </c>
    </row>
    <row r="5">
      <c r="A5" s="8" t="inlineStr">
        <is>
          <t>2026-09-01</t>
        </is>
      </c>
      <c r="B5" s="8" t="inlineStr">
        <is>
          <t>Swindon Town</t>
        </is>
      </c>
      <c r="C5" s="8" t="inlineStr">
        <is>
          <t>Away</t>
        </is>
      </c>
      <c r="D5" s="8" t="n">
        <v>1</v>
      </c>
      <c r="E5" s="8" t="n">
        <v>3</v>
      </c>
      <c r="F5" s="10" t="n">
        <v>1.56</v>
      </c>
      <c r="G5" s="10" t="n">
        <v>1.2</v>
      </c>
      <c r="H5" s="10" t="n">
        <v>1.03</v>
      </c>
      <c r="I5" s="10" t="n">
        <v>2.49</v>
      </c>
      <c r="J5" s="10" t="n">
        <v>-0.53</v>
      </c>
      <c r="K5" s="10" t="n">
        <v>1.29</v>
      </c>
      <c r="L5" s="10" t="n">
        <v>-0.38</v>
      </c>
      <c r="M5" s="10" t="n">
        <v>0.32</v>
      </c>
      <c r="N5" s="10" t="n">
        <v>-0.63</v>
      </c>
      <c r="O5" s="10" t="n">
        <v>1.65</v>
      </c>
      <c r="P5" s="10" t="n">
        <v>-0.45</v>
      </c>
      <c r="Q5" s="10" t="n">
        <v>0.49</v>
      </c>
      <c r="R5" s="10">
        <f>(H5-I5)-(F5-G5)</f>
        <v/>
      </c>
      <c r="S5" s="10">
        <f>(H5+I5)-(F5+G5)</f>
        <v/>
      </c>
      <c r="T5" s="10" t="n">
        <v>0.58</v>
      </c>
      <c r="U5" s="10" t="n">
        <v>1.62</v>
      </c>
      <c r="V5" s="10" t="n">
        <v>-1.04</v>
      </c>
      <c r="W5" s="10" t="n">
        <v>4.63</v>
      </c>
      <c r="X5" s="10" t="n">
        <v>6.45</v>
      </c>
    </row>
    <row r="6">
      <c r="A6" s="6" t="inlineStr">
        <is>
          <t>2026-09-05</t>
        </is>
      </c>
      <c r="B6" s="6" t="inlineStr">
        <is>
          <t>Salford City</t>
        </is>
      </c>
      <c r="C6" s="6" t="inlineStr">
        <is>
          <t>Away</t>
        </is>
      </c>
      <c r="D6" s="6" t="n">
        <v>0</v>
      </c>
      <c r="E6" s="6" t="n">
        <v>1</v>
      </c>
      <c r="F6" s="9" t="n">
        <v>1.03</v>
      </c>
      <c r="G6" s="9" t="n">
        <v>1.64</v>
      </c>
      <c r="H6" s="9" t="n">
        <v>0.68</v>
      </c>
      <c r="I6" s="9" t="n">
        <v>0.32</v>
      </c>
      <c r="J6" s="9" t="n">
        <v>-0.35</v>
      </c>
      <c r="K6" s="9" t="n">
        <v>-1.32</v>
      </c>
      <c r="L6" s="9" t="n">
        <v>-0.38</v>
      </c>
      <c r="M6" s="9" t="n">
        <v>-0.01</v>
      </c>
      <c r="N6" s="9" t="n">
        <v>-0.36</v>
      </c>
      <c r="O6" s="9" t="n">
        <v>-1.02</v>
      </c>
      <c r="P6" s="9" t="n">
        <v>-0.43</v>
      </c>
      <c r="Q6" s="9" t="n">
        <v>0.19</v>
      </c>
      <c r="R6" s="9">
        <f>(H6-I6)-(F6-G6)</f>
        <v/>
      </c>
      <c r="S6" s="9">
        <f>(H6+I6)-(F6+G6)</f>
        <v/>
      </c>
      <c r="T6" s="9" t="n">
        <v>1.64</v>
      </c>
      <c r="U6" s="9" t="n">
        <v>0.96</v>
      </c>
      <c r="V6" s="9" t="n">
        <v>0.68</v>
      </c>
      <c r="W6" s="9" t="n">
        <v>6.27</v>
      </c>
      <c r="X6" s="9" t="n">
        <v>7.41</v>
      </c>
    </row>
    <row r="7">
      <c r="A7" s="8" t="inlineStr">
        <is>
          <t>2026-09-12</t>
        </is>
      </c>
      <c r="B7" s="8" t="inlineStr">
        <is>
          <t>Exeter</t>
        </is>
      </c>
      <c r="C7" s="8" t="inlineStr">
        <is>
          <t>Home</t>
        </is>
      </c>
      <c r="D7" s="8" t="n">
        <v>1</v>
      </c>
      <c r="E7" s="8" t="n">
        <v>0</v>
      </c>
      <c r="F7" s="10" t="n">
        <v>1.52</v>
      </c>
      <c r="G7" s="10" t="n">
        <v>1.06</v>
      </c>
      <c r="H7" s="10" t="n">
        <v>1.95</v>
      </c>
      <c r="I7" s="10" t="n">
        <v>0.55</v>
      </c>
      <c r="J7" s="10" t="n">
        <v>0.43</v>
      </c>
      <c r="K7" s="10" t="n">
        <v>-0.51</v>
      </c>
      <c r="L7" s="10" t="n">
        <v>-0.24</v>
      </c>
      <c r="M7" s="10" t="n">
        <v>-0.09</v>
      </c>
      <c r="N7" s="10" t="n">
        <v>0.87</v>
      </c>
      <c r="O7" s="10" t="n">
        <v>-0.5600000000000001</v>
      </c>
      <c r="P7" s="10" t="n">
        <v>-0.21</v>
      </c>
      <c r="Q7" s="10" t="n">
        <v>0.06</v>
      </c>
      <c r="R7" s="10">
        <f>(H7-I7)-(F7-G7)</f>
        <v/>
      </c>
      <c r="S7" s="10">
        <f>(H7+I7)-(F7+G7)</f>
        <v/>
      </c>
      <c r="T7" s="10" t="n">
        <v>2.32</v>
      </c>
      <c r="U7" s="10" t="n">
        <v>1.7</v>
      </c>
      <c r="V7" s="10" t="n">
        <v>0.62</v>
      </c>
      <c r="W7" s="10" t="n">
        <v>8.59</v>
      </c>
      <c r="X7" s="10" t="n">
        <v>9.1</v>
      </c>
    </row>
    <row r="8">
      <c r="A8" s="6" t="inlineStr">
        <is>
          <t>2026-09-19</t>
        </is>
      </c>
      <c r="B8" s="6" t="inlineStr">
        <is>
          <t>Walsall</t>
        </is>
      </c>
      <c r="C8" s="6" t="inlineStr">
        <is>
          <t>Away</t>
        </is>
      </c>
      <c r="D8" s="6" t="n">
        <v>0</v>
      </c>
      <c r="E8" s="6" t="n">
        <v>2</v>
      </c>
      <c r="F8" s="9" t="n">
        <v>1.26</v>
      </c>
      <c r="G8" s="9" t="n">
        <v>1.36</v>
      </c>
      <c r="H8" s="9" t="n">
        <v>0.54</v>
      </c>
      <c r="I8" s="9" t="n">
        <v>0.87</v>
      </c>
      <c r="J8" s="9" t="n">
        <v>-0.72</v>
      </c>
      <c r="K8" s="9" t="n">
        <v>-0.49</v>
      </c>
      <c r="L8" s="9" t="n">
        <v>-0.24</v>
      </c>
      <c r="M8" s="9" t="n">
        <v>-0.2</v>
      </c>
      <c r="N8" s="9" t="n">
        <v>-0.89</v>
      </c>
      <c r="O8" s="9" t="n">
        <v>-0.65</v>
      </c>
      <c r="P8" s="9" t="n">
        <v>-0.23</v>
      </c>
      <c r="Q8" s="9" t="n">
        <v>-0.09</v>
      </c>
      <c r="R8" s="9">
        <f>(H8-I8)-(F8-G8)</f>
        <v/>
      </c>
      <c r="S8" s="9">
        <f>(H8+I8)-(F8+G8)</f>
        <v/>
      </c>
      <c r="T8" s="9" t="n">
        <v>1.02</v>
      </c>
      <c r="U8" s="9" t="n">
        <v>1.29</v>
      </c>
      <c r="V8" s="9" t="n">
        <v>-0.28</v>
      </c>
      <c r="W8" s="9" t="n">
        <v>9.609999999999999</v>
      </c>
      <c r="X8" s="9" t="n">
        <v>10.4</v>
      </c>
    </row>
    <row r="9">
      <c r="A9" s="8" t="inlineStr">
        <is>
          <t>2026-10-10</t>
        </is>
      </c>
      <c r="B9" s="8" t="inlineStr">
        <is>
          <t>Grimsby Town</t>
        </is>
      </c>
      <c r="C9" s="8" t="inlineStr">
        <is>
          <t>Home</t>
        </is>
      </c>
      <c r="D9" s="8" t="n">
        <v>1</v>
      </c>
      <c r="E9" s="8" t="n">
        <v>0</v>
      </c>
      <c r="F9" s="10" t="n">
        <v>1.33</v>
      </c>
      <c r="G9" s="10" t="n">
        <v>1.3</v>
      </c>
      <c r="H9" s="10" t="n">
        <v>3.18</v>
      </c>
      <c r="I9" s="10" t="n">
        <v>0.45</v>
      </c>
      <c r="J9" s="10" t="n">
        <v>1.85</v>
      </c>
      <c r="K9" s="10" t="n">
        <v>-0.85</v>
      </c>
      <c r="L9" s="10" t="n">
        <v>0.04</v>
      </c>
      <c r="M9" s="10" t="n">
        <v>-0.32</v>
      </c>
      <c r="N9" s="10" t="n">
        <v>1.74</v>
      </c>
      <c r="O9" s="10" t="n">
        <v>-1.23</v>
      </c>
      <c r="P9" s="10" t="n">
        <v>0.06</v>
      </c>
      <c r="Q9" s="10" t="n">
        <v>-0.27</v>
      </c>
      <c r="R9" s="10">
        <f>(H9-I9)-(F9-G9)</f>
        <v/>
      </c>
      <c r="S9" s="10">
        <f>(H9+I9)-(F9+G9)</f>
        <v/>
      </c>
      <c r="T9" s="10" t="n">
        <v>2.75</v>
      </c>
      <c r="U9" s="10" t="n">
        <v>1.38</v>
      </c>
      <c r="V9" s="10" t="n">
        <v>1.37</v>
      </c>
      <c r="W9" s="10" t="n">
        <v>12.36</v>
      </c>
      <c r="X9" s="10" t="n">
        <v>11.78</v>
      </c>
    </row>
    <row r="11">
      <c r="A11" s="12"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2"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3</v>
      </c>
      <c r="D37" s="15" t="n">
        <v>1</v>
      </c>
      <c r="E37" s="19" t="n">
        <v>0.88</v>
      </c>
      <c r="F37" s="19" t="n">
        <v>0.62</v>
      </c>
      <c r="G37" s="19" t="n">
        <v>0.12</v>
      </c>
      <c r="H37" s="19" t="n">
        <v>-0.04</v>
      </c>
    </row>
    <row r="38">
      <c r="A38" s="15" t="inlineStr">
        <is>
          <t>Away</t>
        </is>
      </c>
      <c r="B38" s="15" t="n">
        <v>4</v>
      </c>
      <c r="C38" s="15" t="n">
        <v>1</v>
      </c>
      <c r="D38" s="15" t="n">
        <v>8</v>
      </c>
      <c r="E38" s="19" t="n">
        <v>-0.49</v>
      </c>
      <c r="F38" s="19" t="n">
        <v>-0.55</v>
      </c>
      <c r="G38" s="19" t="n">
        <v>-0.67</v>
      </c>
      <c r="H38" s="19" t="n">
        <v>-0.89</v>
      </c>
    </row>
    <row r="39">
      <c r="A39" s="20" t="inlineStr">
        <is>
          <t>Total</t>
        </is>
      </c>
      <c r="B39" s="20" t="n">
        <v>8</v>
      </c>
      <c r="C39" s="20" t="n">
        <v>4</v>
      </c>
      <c r="D39" s="20" t="n">
        <v>9</v>
      </c>
      <c r="E39" s="21" t="n">
        <v>0.2</v>
      </c>
      <c r="F39" s="21" t="n">
        <v>0.04</v>
      </c>
      <c r="G39" s="21" t="n">
        <v>-0.28</v>
      </c>
      <c r="H39" s="21" t="n">
        <v>-0.26</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Newport County</t>
        </is>
      </c>
      <c r="C2" s="6" t="inlineStr">
        <is>
          <t>Away</t>
        </is>
      </c>
      <c r="D2" s="6" t="n">
        <v>0</v>
      </c>
      <c r="E2" s="6" t="n">
        <v>3</v>
      </c>
      <c r="F2" s="9" t="n">
        <v>1.39</v>
      </c>
      <c r="G2" s="9" t="n">
        <v>1.2</v>
      </c>
      <c r="H2" s="9" t="n">
        <v>0.16</v>
      </c>
      <c r="I2" s="9" t="n">
        <v>1.15</v>
      </c>
      <c r="J2" s="9" t="n">
        <v>-1.23</v>
      </c>
      <c r="K2" s="9" t="n">
        <v>-0.05</v>
      </c>
      <c r="L2" s="9" t="n">
        <v>-1.23</v>
      </c>
      <c r="M2" s="9" t="n">
        <v>-0.05</v>
      </c>
      <c r="N2" s="9" t="n">
        <v>-0.97</v>
      </c>
      <c r="O2" s="9" t="n">
        <v>-0.03</v>
      </c>
      <c r="P2" s="9" t="n">
        <v>-0.97</v>
      </c>
      <c r="Q2" s="9" t="n">
        <v>-0.03</v>
      </c>
      <c r="R2" s="9">
        <f>(H2-I2)-(F2-G2)</f>
        <v/>
      </c>
      <c r="S2" s="9">
        <f>(H2+I2)-(F2+G2)</f>
        <v/>
      </c>
      <c r="T2" s="9" t="n">
        <v>0.47</v>
      </c>
      <c r="U2" s="9" t="n">
        <v>1.5</v>
      </c>
      <c r="V2" s="9" t="n">
        <v>-1.02</v>
      </c>
      <c r="W2" s="9" t="n">
        <v>0.47</v>
      </c>
      <c r="X2" s="9" t="n">
        <v>1.5</v>
      </c>
    </row>
    <row r="3">
      <c r="A3" s="8" t="inlineStr">
        <is>
          <t>2026-08-22</t>
        </is>
      </c>
      <c r="B3" s="8" t="inlineStr">
        <is>
          <t>Crawley Town</t>
        </is>
      </c>
      <c r="C3" s="8" t="inlineStr">
        <is>
          <t>Home</t>
        </is>
      </c>
      <c r="D3" s="8" t="n">
        <v>1</v>
      </c>
      <c r="E3" s="8" t="n">
        <v>2</v>
      </c>
      <c r="F3" s="10" t="n">
        <v>1.65</v>
      </c>
      <c r="G3" s="10" t="n">
        <v>1.07</v>
      </c>
      <c r="H3" s="10" t="n">
        <v>0.53</v>
      </c>
      <c r="I3" s="10" t="n">
        <v>2.16</v>
      </c>
      <c r="J3" s="10" t="n">
        <v>-1.11</v>
      </c>
      <c r="K3" s="10" t="n">
        <v>1.09</v>
      </c>
      <c r="L3" s="10" t="n">
        <v>-1.17</v>
      </c>
      <c r="M3" s="10" t="n">
        <v>0.52</v>
      </c>
      <c r="N3" s="10" t="n">
        <v>-1.54</v>
      </c>
      <c r="O3" s="10" t="n">
        <v>0.85</v>
      </c>
      <c r="P3" s="10" t="n">
        <v>-1.26</v>
      </c>
      <c r="Q3" s="10" t="n">
        <v>0.41</v>
      </c>
      <c r="R3" s="10">
        <f>(H3-I3)-(F3-G3)</f>
        <v/>
      </c>
      <c r="S3" s="10">
        <f>(H3+I3)-(F3+G3)</f>
        <v/>
      </c>
      <c r="T3" s="10" t="n">
        <v>0.4</v>
      </c>
      <c r="U3" s="10" t="n">
        <v>1.77</v>
      </c>
      <c r="V3" s="10" t="n">
        <v>-1.37</v>
      </c>
      <c r="W3" s="10" t="n">
        <v>0.88</v>
      </c>
      <c r="X3" s="10" t="n">
        <v>3.27</v>
      </c>
    </row>
    <row r="4">
      <c r="A4" s="6" t="inlineStr">
        <is>
          <t>2026-08-29</t>
        </is>
      </c>
      <c r="B4" s="6" t="inlineStr">
        <is>
          <t>Colchester United</t>
        </is>
      </c>
      <c r="C4" s="6" t="inlineStr">
        <is>
          <t>Away</t>
        </is>
      </c>
      <c r="D4" s="6" t="n">
        <v>0</v>
      </c>
      <c r="E4" s="6" t="n">
        <v>1</v>
      </c>
      <c r="F4" s="9" t="n">
        <v>1.19</v>
      </c>
      <c r="G4" s="9" t="n">
        <v>1.43</v>
      </c>
      <c r="H4" s="9" t="n">
        <v>0.78</v>
      </c>
      <c r="I4" s="9" t="n">
        <v>1.12</v>
      </c>
      <c r="J4" s="9" t="n">
        <v>-0.41</v>
      </c>
      <c r="K4" s="9" t="n">
        <v>-0.31</v>
      </c>
      <c r="L4" s="9" t="n">
        <v>-0.92</v>
      </c>
      <c r="M4" s="9" t="n">
        <v>0.24</v>
      </c>
      <c r="N4" s="9" t="n">
        <v>-0.71</v>
      </c>
      <c r="O4" s="9" t="n">
        <v>-0.15</v>
      </c>
      <c r="P4" s="9" t="n">
        <v>-1.07</v>
      </c>
      <c r="Q4" s="9" t="n">
        <v>0.22</v>
      </c>
      <c r="R4" s="9">
        <f>(H4-I4)-(F4-G4)</f>
        <v/>
      </c>
      <c r="S4" s="9">
        <f>(H4+I4)-(F4+G4)</f>
        <v/>
      </c>
      <c r="T4" s="9" t="n">
        <v>1.07</v>
      </c>
      <c r="U4" s="9" t="n">
        <v>1.2</v>
      </c>
      <c r="V4" s="9" t="n">
        <v>-0.13</v>
      </c>
      <c r="W4" s="9" t="n">
        <v>1.95</v>
      </c>
      <c r="X4" s="9" t="n">
        <v>4.47</v>
      </c>
    </row>
    <row r="5">
      <c r="A5" s="8" t="inlineStr">
        <is>
          <t>2026-09-01</t>
        </is>
      </c>
      <c r="B5" s="8" t="inlineStr">
        <is>
          <t>Shrewsbury Town</t>
        </is>
      </c>
      <c r="C5" s="8" t="inlineStr">
        <is>
          <t>Home</t>
        </is>
      </c>
      <c r="D5" s="8" t="n">
        <v>3</v>
      </c>
      <c r="E5" s="8" t="n">
        <v>0</v>
      </c>
      <c r="F5" s="10" t="n">
        <v>1.48</v>
      </c>
      <c r="G5" s="10" t="n">
        <v>1.2</v>
      </c>
      <c r="H5" s="10" t="n">
        <v>0.77</v>
      </c>
      <c r="I5" s="10" t="n">
        <v>1.46</v>
      </c>
      <c r="J5" s="10" t="n">
        <v>-0.71</v>
      </c>
      <c r="K5" s="10" t="n">
        <v>0.26</v>
      </c>
      <c r="L5" s="10" t="n">
        <v>-0.86</v>
      </c>
      <c r="M5" s="10" t="n">
        <v>0.25</v>
      </c>
      <c r="N5" s="10" t="n">
        <v>-0.36</v>
      </c>
      <c r="O5" s="10" t="n">
        <v>0.12</v>
      </c>
      <c r="P5" s="10" t="n">
        <v>-0.9</v>
      </c>
      <c r="Q5" s="10" t="n">
        <v>0.2</v>
      </c>
      <c r="R5" s="10">
        <f>(H5-I5)-(F5-G5)</f>
        <v/>
      </c>
      <c r="S5" s="10">
        <f>(H5+I5)-(F5+G5)</f>
        <v/>
      </c>
      <c r="T5" s="10" t="n">
        <v>0.86</v>
      </c>
      <c r="U5" s="10" t="n">
        <v>1.57</v>
      </c>
      <c r="V5" s="10" t="n">
        <v>-0.71</v>
      </c>
      <c r="W5" s="10" t="n">
        <v>2.81</v>
      </c>
      <c r="X5" s="10" t="n">
        <v>6.04</v>
      </c>
    </row>
    <row r="6">
      <c r="A6" s="6" t="inlineStr">
        <is>
          <t>2026-09-05</t>
        </is>
      </c>
      <c r="B6" s="6" t="inlineStr">
        <is>
          <t>Gillingham</t>
        </is>
      </c>
      <c r="C6" s="6" t="inlineStr">
        <is>
          <t>Home</t>
        </is>
      </c>
      <c r="D6" s="6" t="n">
        <v>1</v>
      </c>
      <c r="E6" s="6" t="n">
        <v>4</v>
      </c>
      <c r="F6" s="9" t="n">
        <v>1.45</v>
      </c>
      <c r="G6" s="9" t="n">
        <v>1.07</v>
      </c>
      <c r="H6" s="9" t="n">
        <v>0.8</v>
      </c>
      <c r="I6" s="9" t="n">
        <v>1.95</v>
      </c>
      <c r="J6" s="9" t="n">
        <v>-0.65</v>
      </c>
      <c r="K6" s="9" t="n">
        <v>0.88</v>
      </c>
      <c r="L6" s="9" t="n">
        <v>-0.82</v>
      </c>
      <c r="M6" s="9" t="n">
        <v>0.37</v>
      </c>
      <c r="N6" s="9" t="n">
        <v>-0.62</v>
      </c>
      <c r="O6" s="9" t="n">
        <v>0.9</v>
      </c>
      <c r="P6" s="9" t="n">
        <v>-0.84</v>
      </c>
      <c r="Q6" s="9" t="n">
        <v>0.34</v>
      </c>
      <c r="R6" s="9">
        <f>(H6-I6)-(F6-G6)</f>
        <v/>
      </c>
      <c r="S6" s="9">
        <f>(H6+I6)-(F6+G6)</f>
        <v/>
      </c>
      <c r="T6" s="9" t="n">
        <v>0.65</v>
      </c>
      <c r="U6" s="9" t="n">
        <v>1.64</v>
      </c>
      <c r="V6" s="9" t="n">
        <v>-0.99</v>
      </c>
      <c r="W6" s="9" t="n">
        <v>3.46</v>
      </c>
      <c r="X6" s="9" t="n">
        <v>7.68</v>
      </c>
    </row>
    <row r="7">
      <c r="A7" s="8" t="inlineStr">
        <is>
          <t>2026-09-12</t>
        </is>
      </c>
      <c r="B7" s="8" t="inlineStr">
        <is>
          <t>Walsall</t>
        </is>
      </c>
      <c r="C7" s="8" t="inlineStr">
        <is>
          <t>Away</t>
        </is>
      </c>
      <c r="D7" s="8" t="n">
        <v>0</v>
      </c>
      <c r="E7" s="8" t="n">
        <v>0</v>
      </c>
      <c r="F7" s="10" t="n">
        <v>1.02</v>
      </c>
      <c r="G7" s="10" t="n">
        <v>1.82</v>
      </c>
      <c r="H7" s="10" t="n">
        <v>0.43</v>
      </c>
      <c r="I7" s="10" t="n">
        <v>1.76</v>
      </c>
      <c r="J7" s="10" t="n">
        <v>-0.59</v>
      </c>
      <c r="K7" s="10" t="n">
        <v>-0.06</v>
      </c>
      <c r="L7" s="10" t="n">
        <v>-0.78</v>
      </c>
      <c r="M7" s="10" t="n">
        <v>0.3</v>
      </c>
      <c r="N7" s="10" t="n">
        <v>-0.74</v>
      </c>
      <c r="O7" s="10" t="n">
        <v>-0.17</v>
      </c>
      <c r="P7" s="10" t="n">
        <v>-0.83</v>
      </c>
      <c r="Q7" s="10" t="n">
        <v>0.25</v>
      </c>
      <c r="R7" s="10">
        <f>(H7-I7)-(F7-G7)</f>
        <v/>
      </c>
      <c r="S7" s="10">
        <f>(H7+I7)-(F7+G7)</f>
        <v/>
      </c>
      <c r="T7" s="10" t="n">
        <v>0.47</v>
      </c>
      <c r="U7" s="10" t="n">
        <v>0.86</v>
      </c>
      <c r="V7" s="10" t="n">
        <v>-0.39</v>
      </c>
      <c r="W7" s="10" t="n">
        <v>3.92</v>
      </c>
      <c r="X7" s="10" t="n">
        <v>8.529999999999999</v>
      </c>
    </row>
    <row r="8">
      <c r="A8" s="6" t="inlineStr">
        <is>
          <t>2026-09-19</t>
        </is>
      </c>
      <c r="B8" s="6" t="inlineStr">
        <is>
          <t>Oldham Athletic</t>
        </is>
      </c>
      <c r="C8" s="6" t="inlineStr">
        <is>
          <t>Home</t>
        </is>
      </c>
      <c r="D8" s="6" t="n">
        <v>2</v>
      </c>
      <c r="E8" s="6" t="n">
        <v>0</v>
      </c>
      <c r="F8" s="9" t="n">
        <v>1.11</v>
      </c>
      <c r="G8" s="9" t="n">
        <v>1.67</v>
      </c>
      <c r="H8" s="9" t="n">
        <v>0.4</v>
      </c>
      <c r="I8" s="9" t="n">
        <v>2.49</v>
      </c>
      <c r="J8" s="9" t="n">
        <v>-0.71</v>
      </c>
      <c r="K8" s="9" t="n">
        <v>0.82</v>
      </c>
      <c r="L8" s="9" t="n">
        <v>-0.7</v>
      </c>
      <c r="M8" s="9" t="n">
        <v>0.45</v>
      </c>
      <c r="N8" s="9" t="n">
        <v>-0.78</v>
      </c>
      <c r="O8" s="9" t="n">
        <v>1.01</v>
      </c>
      <c r="P8" s="9" t="n">
        <v>-0.79</v>
      </c>
      <c r="Q8" s="9" t="n">
        <v>0.43</v>
      </c>
      <c r="R8" s="9">
        <f>(H8-I8)-(F8-G8)</f>
        <v/>
      </c>
      <c r="S8" s="9">
        <f>(H8+I8)-(F8+G8)</f>
        <v/>
      </c>
      <c r="T8" s="9" t="n">
        <v>0.25</v>
      </c>
      <c r="U8" s="9" t="n">
        <v>1</v>
      </c>
      <c r="V8" s="9" t="n">
        <v>-0.75</v>
      </c>
      <c r="W8" s="9" t="n">
        <v>4.18</v>
      </c>
      <c r="X8" s="9" t="n">
        <v>9.539999999999999</v>
      </c>
    </row>
    <row r="9">
      <c r="A9" s="8" t="inlineStr">
        <is>
          <t>2026-09-26</t>
        </is>
      </c>
      <c r="B9" s="8" t="inlineStr">
        <is>
          <t>Fleetwood Town</t>
        </is>
      </c>
      <c r="C9" s="8" t="inlineStr">
        <is>
          <t>Away</t>
        </is>
      </c>
      <c r="D9" s="8" t="n">
        <v>2</v>
      </c>
      <c r="E9" s="8" t="n">
        <v>1</v>
      </c>
      <c r="F9" s="10" t="n">
        <v>1.04</v>
      </c>
      <c r="G9" s="10" t="n">
        <v>1.65</v>
      </c>
      <c r="H9" s="10" t="n">
        <v>1.4</v>
      </c>
      <c r="I9" s="10" t="n">
        <v>1.52</v>
      </c>
      <c r="J9" s="10" t="n">
        <v>0.36</v>
      </c>
      <c r="K9" s="10" t="n">
        <v>-0.13</v>
      </c>
      <c r="L9" s="10" t="n">
        <v>-0.45</v>
      </c>
      <c r="M9" s="10" t="n">
        <v>0.24</v>
      </c>
      <c r="N9" s="10" t="n">
        <v>-0.07000000000000001</v>
      </c>
      <c r="O9" s="10" t="n">
        <v>0.01</v>
      </c>
      <c r="P9" s="10" t="n">
        <v>-0.55</v>
      </c>
      <c r="Q9" s="10" t="n">
        <v>0.29</v>
      </c>
      <c r="R9" s="10">
        <f>(H9-I9)-(F9-G9)</f>
        <v/>
      </c>
      <c r="S9" s="10">
        <f>(H9+I9)-(F9+G9)</f>
        <v/>
      </c>
      <c r="T9" s="10" t="n">
        <v>1.3</v>
      </c>
      <c r="U9" s="10" t="n">
        <v>0.96</v>
      </c>
      <c r="V9" s="10" t="n">
        <v>0.33</v>
      </c>
      <c r="W9" s="10" t="n">
        <v>5.47</v>
      </c>
      <c r="X9" s="10" t="n">
        <v>10.5</v>
      </c>
    </row>
    <row r="10">
      <c r="A10" s="6" t="inlineStr">
        <is>
          <t>2026-10-03</t>
        </is>
      </c>
      <c r="B10" s="6" t="inlineStr">
        <is>
          <t>Swindon Town</t>
        </is>
      </c>
      <c r="C10" s="6" t="inlineStr">
        <is>
          <t>Home</t>
        </is>
      </c>
      <c r="D10" s="6" t="n">
        <v>1</v>
      </c>
      <c r="E10" s="6" t="n">
        <v>0</v>
      </c>
      <c r="F10" s="9" t="n">
        <v>1.51</v>
      </c>
      <c r="G10" s="9" t="n">
        <v>1.3</v>
      </c>
      <c r="H10" s="9" t="n">
        <v>1.64</v>
      </c>
      <c r="I10" s="9" t="n">
        <v>1.08</v>
      </c>
      <c r="J10" s="9" t="n">
        <v>0.13</v>
      </c>
      <c r="K10" s="9" t="n">
        <v>-0.22</v>
      </c>
      <c r="L10" s="9" t="n">
        <v>-0.36</v>
      </c>
      <c r="M10" s="9" t="n">
        <v>0.26</v>
      </c>
      <c r="N10" s="9" t="n">
        <v>0.1</v>
      </c>
      <c r="O10" s="9" t="n">
        <v>-0.03</v>
      </c>
      <c r="P10" s="9" t="n">
        <v>-0.41</v>
      </c>
      <c r="Q10" s="9" t="n">
        <v>0.31</v>
      </c>
      <c r="R10" s="9">
        <f>(H10-I10)-(F10-G10)</f>
        <v/>
      </c>
      <c r="S10" s="9">
        <f>(H10+I10)-(F10+G10)</f>
        <v/>
      </c>
      <c r="T10" s="9" t="n">
        <v>1.76</v>
      </c>
      <c r="U10" s="9" t="n">
        <v>1.52</v>
      </c>
      <c r="V10" s="9" t="n">
        <v>0.24</v>
      </c>
      <c r="W10" s="9" t="n">
        <v>7.23</v>
      </c>
      <c r="X10" s="9" t="n">
        <v>12.02</v>
      </c>
    </row>
    <row r="11">
      <c r="A11" s="8" t="inlineStr">
        <is>
          <t>2026-10-10</t>
        </is>
      </c>
      <c r="B11" s="8" t="inlineStr">
        <is>
          <t>Tranmere Rovers</t>
        </is>
      </c>
      <c r="C11" s="8" t="inlineStr">
        <is>
          <t>Away</t>
        </is>
      </c>
      <c r="D11" s="8" t="n">
        <v>1</v>
      </c>
      <c r="E11" s="8" t="n">
        <v>1</v>
      </c>
      <c r="F11" s="10" t="n">
        <v>1.06</v>
      </c>
      <c r="G11" s="10" t="n">
        <v>1.59</v>
      </c>
      <c r="H11" s="10" t="n">
        <v>0.97</v>
      </c>
      <c r="I11" s="10" t="n">
        <v>1.68</v>
      </c>
      <c r="J11" s="10" t="n">
        <v>-0.09</v>
      </c>
      <c r="K11" s="10" t="n">
        <v>0.09</v>
      </c>
      <c r="L11" s="10" t="n">
        <v>-0.26</v>
      </c>
      <c r="M11" s="10" t="n">
        <v>0.23</v>
      </c>
      <c r="N11" s="10" t="n">
        <v>-0.29</v>
      </c>
      <c r="O11" s="10" t="n">
        <v>0.14</v>
      </c>
      <c r="P11" s="10" t="n">
        <v>-0.4</v>
      </c>
      <c r="Q11" s="10" t="n">
        <v>0.31</v>
      </c>
      <c r="R11" s="10">
        <f>(H11-I11)-(F11-G11)</f>
        <v/>
      </c>
      <c r="S11" s="10">
        <f>(H11+I11)-(F11+G11)</f>
        <v/>
      </c>
      <c r="T11" s="10" t="n">
        <v>0.89</v>
      </c>
      <c r="U11" s="10" t="n">
        <v>1.01</v>
      </c>
      <c r="V11" s="10" t="n">
        <v>-0.12</v>
      </c>
      <c r="W11" s="10" t="n">
        <v>8.130000000000001</v>
      </c>
      <c r="X11" s="10" t="n">
        <v>13.03</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8</v>
      </c>
      <c r="D39" s="15" t="n">
        <v>6</v>
      </c>
      <c r="E39" s="19" t="n">
        <v>-1.18</v>
      </c>
      <c r="F39" s="19" t="n">
        <v>-1.53</v>
      </c>
      <c r="G39" s="19" t="n">
        <v>-0.05</v>
      </c>
      <c r="H39" s="19" t="n">
        <v>-0.02</v>
      </c>
    </row>
    <row r="40">
      <c r="A40" s="15" t="inlineStr">
        <is>
          <t>Away</t>
        </is>
      </c>
      <c r="B40" s="15" t="n">
        <v>5</v>
      </c>
      <c r="C40" s="15" t="n">
        <v>3</v>
      </c>
      <c r="D40" s="15" t="n">
        <v>6</v>
      </c>
      <c r="E40" s="19" t="n">
        <v>-0.3</v>
      </c>
      <c r="F40" s="19" t="n">
        <v>-0.18</v>
      </c>
      <c r="G40" s="19" t="n">
        <v>-0.49</v>
      </c>
      <c r="H40" s="19" t="n">
        <v>-0.65</v>
      </c>
    </row>
    <row r="41">
      <c r="A41" s="20" t="inlineStr">
        <is>
          <t>Total</t>
        </is>
      </c>
      <c r="B41" s="20" t="n">
        <v>10</v>
      </c>
      <c r="C41" s="20" t="n">
        <v>11</v>
      </c>
      <c r="D41" s="20" t="n">
        <v>12</v>
      </c>
      <c r="E41" s="21" t="n">
        <v>-0.74</v>
      </c>
      <c r="F41" s="21" t="n">
        <v>-0.75</v>
      </c>
      <c r="G41" s="21" t="n">
        <v>-0.27</v>
      </c>
      <c r="H41" s="21" t="n">
        <v>-0.06</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Cheltenham Town</t>
        </is>
      </c>
      <c r="C2" s="6" t="inlineStr">
        <is>
          <t>Away</t>
        </is>
      </c>
      <c r="D2" s="6" t="n">
        <v>1</v>
      </c>
      <c r="E2" s="6" t="n">
        <v>2</v>
      </c>
      <c r="F2" s="9" t="n">
        <v>1.36</v>
      </c>
      <c r="G2" s="9" t="n">
        <v>1.3</v>
      </c>
      <c r="H2" s="9" t="n">
        <v>2.2</v>
      </c>
      <c r="I2" s="9" t="n">
        <v>0.6</v>
      </c>
      <c r="J2" s="9" t="n">
        <v>0.84</v>
      </c>
      <c r="K2" s="9" t="n">
        <v>-0.7</v>
      </c>
      <c r="L2" s="9" t="n">
        <v>0.84</v>
      </c>
      <c r="M2" s="9" t="n">
        <v>-0.7</v>
      </c>
      <c r="N2" s="9" t="n">
        <v>0.74</v>
      </c>
      <c r="O2" s="9" t="n">
        <v>-0.6899999999999999</v>
      </c>
      <c r="P2" s="9" t="n">
        <v>0.74</v>
      </c>
      <c r="Q2" s="9" t="n">
        <v>-0.6899999999999999</v>
      </c>
      <c r="R2" s="9">
        <f>(H2-I2)-(F2-G2)</f>
        <v/>
      </c>
      <c r="S2" s="9">
        <f>(H2+I2)-(F2+G2)</f>
        <v/>
      </c>
      <c r="T2" s="9" t="n">
        <v>2.4</v>
      </c>
      <c r="U2" s="9" t="n">
        <v>1.41</v>
      </c>
      <c r="V2" s="9" t="n">
        <v>0.98</v>
      </c>
      <c r="W2" s="9" t="n">
        <v>2.4</v>
      </c>
      <c r="X2" s="9" t="n">
        <v>1.41</v>
      </c>
    </row>
    <row r="3">
      <c r="A3" s="8" t="inlineStr">
        <is>
          <t>2026-08-22</t>
        </is>
      </c>
      <c r="B3" s="8" t="inlineStr">
        <is>
          <t>York</t>
        </is>
      </c>
      <c r="C3" s="8" t="inlineStr">
        <is>
          <t>Home</t>
        </is>
      </c>
      <c r="D3" s="8" t="n">
        <v>1</v>
      </c>
      <c r="E3" s="8" t="n">
        <v>1</v>
      </c>
      <c r="F3" s="10" t="n">
        <v>1.37</v>
      </c>
      <c r="G3" s="10" t="n">
        <v>1.3</v>
      </c>
      <c r="H3" s="10" t="n">
        <v>1</v>
      </c>
      <c r="I3" s="10" t="n">
        <v>2.32</v>
      </c>
      <c r="J3" s="10" t="n">
        <v>-0.37</v>
      </c>
      <c r="K3" s="10" t="n">
        <v>1.02</v>
      </c>
      <c r="L3" s="10" t="n">
        <v>0.23</v>
      </c>
      <c r="M3" s="10" t="n">
        <v>0.16</v>
      </c>
      <c r="N3" s="10" t="n">
        <v>-0.38</v>
      </c>
      <c r="O3" s="10" t="n">
        <v>0.77</v>
      </c>
      <c r="P3" s="10" t="n">
        <v>0.18</v>
      </c>
      <c r="Q3" s="10" t="n">
        <v>0.04</v>
      </c>
      <c r="R3" s="10">
        <f>(H3-I3)-(F3-G3)</f>
        <v/>
      </c>
      <c r="S3" s="10">
        <f>(H3+I3)-(F3+G3)</f>
        <v/>
      </c>
      <c r="T3" s="10" t="n">
        <v>0.63</v>
      </c>
      <c r="U3" s="10" t="n">
        <v>1.42</v>
      </c>
      <c r="V3" s="10" t="n">
        <v>-0.79</v>
      </c>
      <c r="W3" s="10" t="n">
        <v>3.02</v>
      </c>
      <c r="X3" s="10" t="n">
        <v>2.83</v>
      </c>
    </row>
    <row r="4">
      <c r="A4" s="6" t="inlineStr">
        <is>
          <t>2026-08-29</t>
        </is>
      </c>
      <c r="B4" s="6" t="inlineStr">
        <is>
          <t>Chesterfield</t>
        </is>
      </c>
      <c r="C4" s="6" t="inlineStr">
        <is>
          <t>Home</t>
        </is>
      </c>
      <c r="D4" s="6" t="n">
        <v>2</v>
      </c>
      <c r="E4" s="6" t="n">
        <v>1</v>
      </c>
      <c r="F4" s="9" t="n">
        <v>1.2</v>
      </c>
      <c r="G4" s="9" t="n">
        <v>1.43</v>
      </c>
      <c r="H4" s="9" t="n">
        <v>2.95</v>
      </c>
      <c r="I4" s="9" t="n">
        <v>1.1</v>
      </c>
      <c r="J4" s="9" t="n">
        <v>1.75</v>
      </c>
      <c r="K4" s="9" t="n">
        <v>-0.32</v>
      </c>
      <c r="L4" s="9" t="n">
        <v>0.74</v>
      </c>
      <c r="M4" s="9" t="n">
        <v>-0</v>
      </c>
      <c r="N4" s="9" t="n">
        <v>1.93</v>
      </c>
      <c r="O4" s="9" t="n">
        <v>-1.03</v>
      </c>
      <c r="P4" s="9" t="n">
        <v>0.76</v>
      </c>
      <c r="Q4" s="9" t="n">
        <v>-0.32</v>
      </c>
      <c r="R4" s="9">
        <f>(H4-I4)-(F4-G4)</f>
        <v/>
      </c>
      <c r="S4" s="9">
        <f>(H4+I4)-(F4+G4)</f>
        <v/>
      </c>
      <c r="T4" s="9" t="n">
        <v>2.39</v>
      </c>
      <c r="U4" s="9" t="n">
        <v>1.22</v>
      </c>
      <c r="V4" s="9" t="n">
        <v>1.17</v>
      </c>
      <c r="W4" s="9" t="n">
        <v>5.41</v>
      </c>
      <c r="X4" s="9" t="n">
        <v>4.05</v>
      </c>
    </row>
    <row r="5">
      <c r="A5" s="8" t="inlineStr">
        <is>
          <t>2026-09-01</t>
        </is>
      </c>
      <c r="B5" s="8" t="inlineStr">
        <is>
          <t>Tranmere Rovers</t>
        </is>
      </c>
      <c r="C5" s="8" t="inlineStr">
        <is>
          <t>Away</t>
        </is>
      </c>
      <c r="D5" s="8" t="n">
        <v>2</v>
      </c>
      <c r="E5" s="8" t="n">
        <v>2</v>
      </c>
      <c r="F5" s="10" t="n">
        <v>1.12</v>
      </c>
      <c r="G5" s="10" t="n">
        <v>1.41</v>
      </c>
      <c r="H5" s="10" t="n">
        <v>2.02</v>
      </c>
      <c r="I5" s="10" t="n">
        <v>0.74</v>
      </c>
      <c r="J5" s="10" t="n">
        <v>0.9</v>
      </c>
      <c r="K5" s="10" t="n">
        <v>-0.67</v>
      </c>
      <c r="L5" s="10" t="n">
        <v>0.78</v>
      </c>
      <c r="M5" s="10" t="n">
        <v>-0.17</v>
      </c>
      <c r="N5" s="10" t="n">
        <v>0.82</v>
      </c>
      <c r="O5" s="10" t="n">
        <v>-0.71</v>
      </c>
      <c r="P5" s="10" t="n">
        <v>0.78</v>
      </c>
      <c r="Q5" s="10" t="n">
        <v>-0.41</v>
      </c>
      <c r="R5" s="10">
        <f>(H5-I5)-(F5-G5)</f>
        <v/>
      </c>
      <c r="S5" s="10">
        <f>(H5+I5)-(F5+G5)</f>
        <v/>
      </c>
      <c r="T5" s="10" t="n">
        <v>2.22</v>
      </c>
      <c r="U5" s="10" t="n">
        <v>1.16</v>
      </c>
      <c r="V5" s="10" t="n">
        <v>1.06</v>
      </c>
      <c r="W5" s="10" t="n">
        <v>7.63</v>
      </c>
      <c r="X5" s="10" t="n">
        <v>5.21</v>
      </c>
    </row>
    <row r="6">
      <c r="A6" s="6" t="inlineStr">
        <is>
          <t>2026-09-05</t>
        </is>
      </c>
      <c r="B6" s="6" t="inlineStr">
        <is>
          <t>Bristol Rvs</t>
        </is>
      </c>
      <c r="C6" s="6" t="inlineStr">
        <is>
          <t>Away</t>
        </is>
      </c>
      <c r="D6" s="6" t="n">
        <v>0</v>
      </c>
      <c r="E6" s="6" t="n">
        <v>1</v>
      </c>
      <c r="F6" s="9" t="n">
        <v>1.13</v>
      </c>
      <c r="G6" s="9" t="n">
        <v>1.91</v>
      </c>
      <c r="H6" s="9" t="n">
        <v>0.63</v>
      </c>
      <c r="I6" s="9" t="n">
        <v>0.84</v>
      </c>
      <c r="J6" s="9" t="n">
        <v>-0.5</v>
      </c>
      <c r="K6" s="9" t="n">
        <v>-1.07</v>
      </c>
      <c r="L6" s="9" t="n">
        <v>0.52</v>
      </c>
      <c r="M6" s="9" t="n">
        <v>-0.35</v>
      </c>
      <c r="N6" s="9" t="n">
        <v>-0.67</v>
      </c>
      <c r="O6" s="9" t="n">
        <v>-1.32</v>
      </c>
      <c r="P6" s="9" t="n">
        <v>0.49</v>
      </c>
      <c r="Q6" s="9" t="n">
        <v>-0.59</v>
      </c>
      <c r="R6" s="9">
        <f>(H6-I6)-(F6-G6)</f>
        <v/>
      </c>
      <c r="S6" s="9">
        <f>(H6+I6)-(F6+G6)</f>
        <v/>
      </c>
      <c r="T6" s="9" t="n">
        <v>1.13</v>
      </c>
      <c r="U6" s="9" t="n">
        <v>0.89</v>
      </c>
      <c r="V6" s="9" t="n">
        <v>0.24</v>
      </c>
      <c r="W6" s="9" t="n">
        <v>8.76</v>
      </c>
      <c r="X6" s="9" t="n">
        <v>6.1</v>
      </c>
    </row>
    <row r="7">
      <c r="A7" s="8" t="inlineStr">
        <is>
          <t>2026-09-12</t>
        </is>
      </c>
      <c r="B7" s="8" t="inlineStr">
        <is>
          <t>Salford City</t>
        </is>
      </c>
      <c r="C7" s="8" t="inlineStr">
        <is>
          <t>Home</t>
        </is>
      </c>
      <c r="D7" s="8" t="n">
        <v>3</v>
      </c>
      <c r="E7" s="8" t="n">
        <v>3</v>
      </c>
      <c r="F7" s="10" t="n">
        <v>1.34</v>
      </c>
      <c r="G7" s="10" t="n">
        <v>1.49</v>
      </c>
      <c r="H7" s="10" t="n">
        <v>2.46</v>
      </c>
      <c r="I7" s="10" t="n">
        <v>1.45</v>
      </c>
      <c r="J7" s="10" t="n">
        <v>1.12</v>
      </c>
      <c r="K7" s="10" t="n">
        <v>-0.04</v>
      </c>
      <c r="L7" s="10" t="n">
        <v>0.62</v>
      </c>
      <c r="M7" s="10" t="n">
        <v>-0.3</v>
      </c>
      <c r="N7" s="10" t="n">
        <v>1.27</v>
      </c>
      <c r="O7" s="10" t="n">
        <v>0.41</v>
      </c>
      <c r="P7" s="10" t="n">
        <v>0.62</v>
      </c>
      <c r="Q7" s="10" t="n">
        <v>-0.43</v>
      </c>
      <c r="R7" s="10">
        <f>(H7-I7)-(F7-G7)</f>
        <v/>
      </c>
      <c r="S7" s="10">
        <f>(H7+I7)-(F7+G7)</f>
        <v/>
      </c>
      <c r="T7" s="10" t="n">
        <v>1.98</v>
      </c>
      <c r="U7" s="10" t="n">
        <v>1.28</v>
      </c>
      <c r="V7" s="10" t="n">
        <v>0.7</v>
      </c>
      <c r="W7" s="10" t="n">
        <v>10.74</v>
      </c>
      <c r="X7" s="10" t="n">
        <v>7.37</v>
      </c>
    </row>
    <row r="8">
      <c r="A8" s="6" t="inlineStr">
        <is>
          <t>2026-09-19</t>
        </is>
      </c>
      <c r="B8" s="6" t="inlineStr">
        <is>
          <t>Northampton Town</t>
        </is>
      </c>
      <c r="C8" s="6" t="inlineStr">
        <is>
          <t>Away</t>
        </is>
      </c>
      <c r="D8" s="6" t="n">
        <v>1</v>
      </c>
      <c r="E8" s="6" t="n">
        <v>0</v>
      </c>
      <c r="F8" s="9" t="n">
        <v>1.18</v>
      </c>
      <c r="G8" s="9" t="n">
        <v>1.36</v>
      </c>
      <c r="H8" s="9" t="n">
        <v>1.28</v>
      </c>
      <c r="I8" s="9" t="n">
        <v>1.06</v>
      </c>
      <c r="J8" s="9" t="n">
        <v>0.1</v>
      </c>
      <c r="K8" s="9" t="n">
        <v>-0.3</v>
      </c>
      <c r="L8" s="9" t="n">
        <v>0.5</v>
      </c>
      <c r="M8" s="9" t="n">
        <v>-0.23</v>
      </c>
      <c r="N8" s="9" t="n">
        <v>0.26</v>
      </c>
      <c r="O8" s="9" t="n">
        <v>0.43</v>
      </c>
      <c r="P8" s="9" t="n">
        <v>0.54</v>
      </c>
      <c r="Q8" s="9" t="n">
        <v>-0.24</v>
      </c>
      <c r="R8" s="9">
        <f>(H8-I8)-(F8-G8)</f>
        <v/>
      </c>
      <c r="S8" s="9">
        <f>(H8+I8)-(F8+G8)</f>
        <v/>
      </c>
      <c r="T8" s="9" t="n">
        <v>1.52</v>
      </c>
      <c r="U8" s="9" t="n">
        <v>1.24</v>
      </c>
      <c r="V8" s="9" t="n">
        <v>0.28</v>
      </c>
      <c r="W8" s="9" t="n">
        <v>12.26</v>
      </c>
      <c r="X8" s="9" t="n">
        <v>8.609999999999999</v>
      </c>
    </row>
    <row r="9">
      <c r="A9" s="8" t="inlineStr">
        <is>
          <t>2026-09-26</t>
        </is>
      </c>
      <c r="B9" s="8" t="inlineStr">
        <is>
          <t>Crewe Alexandra</t>
        </is>
      </c>
      <c r="C9" s="8" t="inlineStr">
        <is>
          <t>Home</t>
        </is>
      </c>
      <c r="D9" s="8" t="n">
        <v>1</v>
      </c>
      <c r="E9" s="8" t="n">
        <v>1</v>
      </c>
      <c r="F9" s="10" t="n">
        <v>1.62</v>
      </c>
      <c r="G9" s="10" t="n">
        <v>1.28</v>
      </c>
      <c r="H9" s="10" t="n">
        <v>0.64</v>
      </c>
      <c r="I9" s="10" t="n">
        <v>0.35</v>
      </c>
      <c r="J9" s="10" t="n">
        <v>-0.98</v>
      </c>
      <c r="K9" s="10" t="n">
        <v>-0.93</v>
      </c>
      <c r="L9" s="10" t="n">
        <v>0.4</v>
      </c>
      <c r="M9" s="10" t="n">
        <v>-0.5600000000000001</v>
      </c>
      <c r="N9" s="10" t="n">
        <v>-0.96</v>
      </c>
      <c r="O9" s="10" t="n">
        <v>-0.83</v>
      </c>
      <c r="P9" s="10" t="n">
        <v>0.44</v>
      </c>
      <c r="Q9" s="10" t="n">
        <v>-0.51</v>
      </c>
      <c r="R9" s="10">
        <f>(H9-I9)-(F9-G9)</f>
        <v/>
      </c>
      <c r="S9" s="10">
        <f>(H9+I9)-(F9+G9)</f>
        <v/>
      </c>
      <c r="T9" s="10" t="n">
        <v>1.56</v>
      </c>
      <c r="U9" s="10" t="n">
        <v>1.61</v>
      </c>
      <c r="V9" s="10" t="n">
        <v>-0.05</v>
      </c>
      <c r="W9" s="10" t="n">
        <v>13.82</v>
      </c>
      <c r="X9" s="10" t="n">
        <v>10.22</v>
      </c>
    </row>
    <row r="10">
      <c r="A10" s="6" t="inlineStr">
        <is>
          <t>2026-10-03</t>
        </is>
      </c>
      <c r="B10" s="6" t="inlineStr">
        <is>
          <t>Exeter</t>
        </is>
      </c>
      <c r="C10" s="6" t="inlineStr">
        <is>
          <t>Away</t>
        </is>
      </c>
      <c r="D10" s="6" t="n">
        <v>0</v>
      </c>
      <c r="E10" s="6" t="n">
        <v>1</v>
      </c>
      <c r="F10" s="9" t="n">
        <v>1.32</v>
      </c>
      <c r="G10" s="9" t="n">
        <v>1.33</v>
      </c>
      <c r="H10" s="9" t="n">
        <v>0.47</v>
      </c>
      <c r="I10" s="9" t="n">
        <v>2.18</v>
      </c>
      <c r="J10" s="9" t="n">
        <v>-0.85</v>
      </c>
      <c r="K10" s="9" t="n">
        <v>0.85</v>
      </c>
      <c r="L10" s="9" t="n">
        <v>-0.04</v>
      </c>
      <c r="M10" s="9" t="n">
        <v>-0.36</v>
      </c>
      <c r="N10" s="9" t="n">
        <v>-0.5600000000000001</v>
      </c>
      <c r="O10" s="9" t="n">
        <v>0.9399999999999999</v>
      </c>
      <c r="P10" s="9" t="n">
        <v>0.03</v>
      </c>
      <c r="Q10" s="9" t="n">
        <v>-0.18</v>
      </c>
      <c r="R10" s="9">
        <f>(H10-I10)-(F10-G10)</f>
        <v/>
      </c>
      <c r="S10" s="9">
        <f>(H10+I10)-(F10+G10)</f>
        <v/>
      </c>
      <c r="T10" s="9" t="n">
        <v>0.36</v>
      </c>
      <c r="U10" s="9" t="n">
        <v>1.36</v>
      </c>
      <c r="V10" s="9" t="n">
        <v>-1</v>
      </c>
      <c r="W10" s="9" t="n">
        <v>14.19</v>
      </c>
      <c r="X10" s="9" t="n">
        <v>11.59</v>
      </c>
    </row>
    <row r="11">
      <c r="A11" s="8" t="inlineStr">
        <is>
          <t>2026-10-10</t>
        </is>
      </c>
      <c r="B11" s="8" t="inlineStr">
        <is>
          <t>Gillingham</t>
        </is>
      </c>
      <c r="C11" s="8" t="inlineStr">
        <is>
          <t>Home</t>
        </is>
      </c>
      <c r="D11" s="8" t="n">
        <v>1</v>
      </c>
      <c r="E11" s="8" t="n">
        <v>4</v>
      </c>
      <c r="F11" s="10" t="n">
        <v>1.62</v>
      </c>
      <c r="G11" s="10" t="n">
        <v>1</v>
      </c>
      <c r="H11" s="10" t="n">
        <v>1.38</v>
      </c>
      <c r="I11" s="10" t="n">
        <v>1.86</v>
      </c>
      <c r="J11" s="10" t="n">
        <v>-0.24</v>
      </c>
      <c r="K11" s="10" t="n">
        <v>0.86</v>
      </c>
      <c r="L11" s="10" t="n">
        <v>-0.23</v>
      </c>
      <c r="M11" s="10" t="n">
        <v>-0.1</v>
      </c>
      <c r="N11" s="10" t="n">
        <v>-0.17</v>
      </c>
      <c r="O11" s="10" t="n">
        <v>0.87</v>
      </c>
      <c r="P11" s="10" t="n">
        <v>-0.14</v>
      </c>
      <c r="Q11" s="10" t="n">
        <v>0.09</v>
      </c>
      <c r="R11" s="10">
        <f>(H11-I11)-(F11-G11)</f>
        <v/>
      </c>
      <c r="S11" s="10">
        <f>(H11+I11)-(F11+G11)</f>
        <v/>
      </c>
      <c r="T11" s="10" t="n">
        <v>1.08</v>
      </c>
      <c r="U11" s="10" t="n">
        <v>1.8</v>
      </c>
      <c r="V11" s="10" t="n">
        <v>-0.72</v>
      </c>
      <c r="W11" s="10" t="n">
        <v>15.27</v>
      </c>
      <c r="X11" s="10" t="n">
        <v>13.39</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8</v>
      </c>
      <c r="D39" s="15" t="n">
        <v>10</v>
      </c>
      <c r="E39" s="19" t="n">
        <v>0.14</v>
      </c>
      <c r="F39" s="19" t="n">
        <v>-0.06</v>
      </c>
      <c r="G39" s="19" t="n">
        <v>0.37</v>
      </c>
      <c r="H39" s="19" t="n">
        <v>0.65</v>
      </c>
    </row>
    <row r="40">
      <c r="A40" s="15" t="inlineStr">
        <is>
          <t>Away</t>
        </is>
      </c>
      <c r="B40" s="15" t="n">
        <v>5</v>
      </c>
      <c r="C40" s="15" t="n">
        <v>4</v>
      </c>
      <c r="D40" s="15" t="n">
        <v>6</v>
      </c>
      <c r="E40" s="19" t="n">
        <v>0.48</v>
      </c>
      <c r="F40" s="19" t="n">
        <v>0.57</v>
      </c>
      <c r="G40" s="19" t="n">
        <v>-0.28</v>
      </c>
      <c r="H40" s="19" t="n">
        <v>-0.01</v>
      </c>
    </row>
    <row r="41">
      <c r="A41" s="20" t="inlineStr">
        <is>
          <t>Total</t>
        </is>
      </c>
      <c r="B41" s="20" t="n">
        <v>10</v>
      </c>
      <c r="C41" s="20" t="n">
        <v>12</v>
      </c>
      <c r="D41" s="20" t="n">
        <v>16</v>
      </c>
      <c r="E41" s="21" t="n">
        <v>0.31</v>
      </c>
      <c r="F41" s="21" t="n">
        <v>0.48</v>
      </c>
      <c r="G41" s="21" t="n">
        <v>0.04</v>
      </c>
      <c r="H41" s="21" t="n">
        <v>0.18</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Barnet</t>
        </is>
      </c>
      <c r="C2" s="6" t="inlineStr">
        <is>
          <t>Away</t>
        </is>
      </c>
      <c r="D2" s="6" t="n">
        <v>1</v>
      </c>
      <c r="E2" s="6" t="n">
        <v>3</v>
      </c>
      <c r="F2" s="9" t="n">
        <v>1.18</v>
      </c>
      <c r="G2" s="9" t="n">
        <v>1.42</v>
      </c>
      <c r="H2" s="9" t="n">
        <v>0.92</v>
      </c>
      <c r="I2" s="9" t="n">
        <v>1.62</v>
      </c>
      <c r="J2" s="9" t="n">
        <v>-0.26</v>
      </c>
      <c r="K2" s="9" t="n">
        <v>0.2</v>
      </c>
      <c r="L2" s="9" t="n">
        <v>-0.26</v>
      </c>
      <c r="M2" s="9" t="n">
        <v>0.2</v>
      </c>
      <c r="N2" s="9" t="n">
        <v>-0.68</v>
      </c>
      <c r="O2" s="9" t="n">
        <v>-0.08</v>
      </c>
      <c r="P2" s="9" t="n">
        <v>-0.68</v>
      </c>
      <c r="Q2" s="9" t="n">
        <v>-0.08</v>
      </c>
      <c r="R2" s="9">
        <f>(H2-I2)-(F2-G2)</f>
        <v/>
      </c>
      <c r="S2" s="9">
        <f>(H2+I2)-(F2+G2)</f>
        <v/>
      </c>
      <c r="T2" s="9" t="n">
        <v>0.89</v>
      </c>
      <c r="U2" s="9" t="n">
        <v>1.2</v>
      </c>
      <c r="V2" s="9" t="n">
        <v>-0.31</v>
      </c>
      <c r="W2" s="9" t="n">
        <v>0.89</v>
      </c>
      <c r="X2" s="9" t="n">
        <v>1.2</v>
      </c>
    </row>
    <row r="3">
      <c r="A3" s="8" t="inlineStr">
        <is>
          <t>2026-08-22</t>
        </is>
      </c>
      <c r="B3" s="8" t="inlineStr">
        <is>
          <t>Chesterfield</t>
        </is>
      </c>
      <c r="C3" s="8" t="inlineStr">
        <is>
          <t>Home</t>
        </is>
      </c>
      <c r="D3" s="8" t="n">
        <v>0</v>
      </c>
      <c r="E3" s="8" t="n">
        <v>1</v>
      </c>
      <c r="F3" s="10" t="n">
        <v>1.49</v>
      </c>
      <c r="G3" s="10" t="n">
        <v>1.02</v>
      </c>
      <c r="H3" s="10" t="n">
        <v>0.51</v>
      </c>
      <c r="I3" s="10" t="n">
        <v>2.27</v>
      </c>
      <c r="J3" s="10" t="n">
        <v>-0.98</v>
      </c>
      <c r="K3" s="10" t="n">
        <v>1.25</v>
      </c>
      <c r="L3" s="10" t="n">
        <v>-0.62</v>
      </c>
      <c r="M3" s="10" t="n">
        <v>0.73</v>
      </c>
      <c r="N3" s="10" t="n">
        <v>-1.11</v>
      </c>
      <c r="O3" s="10" t="n">
        <v>0.72</v>
      </c>
      <c r="P3" s="10" t="n">
        <v>-0.89</v>
      </c>
      <c r="Q3" s="10" t="n">
        <v>0.32</v>
      </c>
      <c r="R3" s="10">
        <f>(H3-I3)-(F3-G3)</f>
        <v/>
      </c>
      <c r="S3" s="10">
        <f>(H3+I3)-(F3+G3)</f>
        <v/>
      </c>
      <c r="T3" s="10" t="n">
        <v>0.36</v>
      </c>
      <c r="U3" s="10" t="n">
        <v>1.7</v>
      </c>
      <c r="V3" s="10" t="n">
        <v>-1.34</v>
      </c>
      <c r="W3" s="10" t="n">
        <v>1.25</v>
      </c>
      <c r="X3" s="10" t="n">
        <v>2.9</v>
      </c>
    </row>
    <row r="4">
      <c r="A4" s="6" t="inlineStr">
        <is>
          <t>2026-08-29</t>
        </is>
      </c>
      <c r="B4" s="6" t="inlineStr">
        <is>
          <t>Shrewsbury Town</t>
        </is>
      </c>
      <c r="C4" s="6" t="inlineStr">
        <is>
          <t>Away</t>
        </is>
      </c>
      <c r="D4" s="6" t="n">
        <v>0</v>
      </c>
      <c r="E4" s="6" t="n">
        <v>1</v>
      </c>
      <c r="F4" s="9" t="n">
        <v>1.58</v>
      </c>
      <c r="G4" s="9" t="n">
        <v>1.02</v>
      </c>
      <c r="H4" s="9" t="n">
        <v>0.98</v>
      </c>
      <c r="I4" s="9" t="n">
        <v>0.67</v>
      </c>
      <c r="J4" s="9" t="n">
        <v>-0.6</v>
      </c>
      <c r="K4" s="9" t="n">
        <v>-0.35</v>
      </c>
      <c r="L4" s="9" t="n">
        <v>-0.61</v>
      </c>
      <c r="M4" s="9" t="n">
        <v>0.37</v>
      </c>
      <c r="N4" s="9" t="n">
        <v>-0.23</v>
      </c>
      <c r="O4" s="9" t="n">
        <v>-0.5600000000000001</v>
      </c>
      <c r="P4" s="9" t="n">
        <v>-0.67</v>
      </c>
      <c r="Q4" s="9" t="n">
        <v>0.03</v>
      </c>
      <c r="R4" s="9">
        <f>(H4-I4)-(F4-G4)</f>
        <v/>
      </c>
      <c r="S4" s="9">
        <f>(H4+I4)-(F4+G4)</f>
        <v/>
      </c>
      <c r="T4" s="9" t="n">
        <v>1.59</v>
      </c>
      <c r="U4" s="9" t="n">
        <v>1.76</v>
      </c>
      <c r="V4" s="9" t="n">
        <v>-0.17</v>
      </c>
      <c r="W4" s="9" t="n">
        <v>2.84</v>
      </c>
      <c r="X4" s="9" t="n">
        <v>4.66</v>
      </c>
    </row>
    <row r="5">
      <c r="A5" s="8" t="inlineStr">
        <is>
          <t>2026-09-01</t>
        </is>
      </c>
      <c r="B5" s="8" t="inlineStr">
        <is>
          <t>Newport County</t>
        </is>
      </c>
      <c r="C5" s="8" t="inlineStr">
        <is>
          <t>Home</t>
        </is>
      </c>
      <c r="D5" s="8" t="n">
        <v>2</v>
      </c>
      <c r="E5" s="8" t="n">
        <v>1</v>
      </c>
      <c r="F5" s="10" t="n">
        <v>2.08</v>
      </c>
      <c r="G5" s="10" t="n">
        <v>0.95</v>
      </c>
      <c r="H5" s="10" t="n">
        <v>2.28</v>
      </c>
      <c r="I5" s="10" t="n">
        <v>0.42</v>
      </c>
      <c r="J5" s="10" t="n">
        <v>0.2</v>
      </c>
      <c r="K5" s="10" t="n">
        <v>-0.53</v>
      </c>
      <c r="L5" s="10" t="n">
        <v>-0.41</v>
      </c>
      <c r="M5" s="10" t="n">
        <v>0.14</v>
      </c>
      <c r="N5" s="10" t="n">
        <v>0.62</v>
      </c>
      <c r="O5" s="10" t="n">
        <v>-0.57</v>
      </c>
      <c r="P5" s="10" t="n">
        <v>-0.35</v>
      </c>
      <c r="Q5" s="10" t="n">
        <v>-0.12</v>
      </c>
      <c r="R5" s="10">
        <f>(H5-I5)-(F5-G5)</f>
        <v/>
      </c>
      <c r="S5" s="10">
        <f>(H5+I5)-(F5+G5)</f>
        <v/>
      </c>
      <c r="T5" s="10" t="n">
        <v>2.54</v>
      </c>
      <c r="U5" s="10" t="n">
        <v>2.11</v>
      </c>
      <c r="V5" s="10" t="n">
        <v>0.43</v>
      </c>
      <c r="W5" s="10" t="n">
        <v>5.38</v>
      </c>
      <c r="X5" s="10" t="n">
        <v>6.77</v>
      </c>
    </row>
    <row r="6">
      <c r="A6" s="6" t="inlineStr">
        <is>
          <t>2026-09-05</t>
        </is>
      </c>
      <c r="B6" s="6" t="inlineStr">
        <is>
          <t>Port Vale</t>
        </is>
      </c>
      <c r="C6" s="6" t="inlineStr">
        <is>
          <t>Home</t>
        </is>
      </c>
      <c r="D6" s="6" t="n">
        <v>1</v>
      </c>
      <c r="E6" s="6" t="n">
        <v>0</v>
      </c>
      <c r="F6" s="9" t="n">
        <v>1.64</v>
      </c>
      <c r="G6" s="9" t="n">
        <v>1.03</v>
      </c>
      <c r="H6" s="9" t="n">
        <v>0.32</v>
      </c>
      <c r="I6" s="9" t="n">
        <v>0.68</v>
      </c>
      <c r="J6" s="9" t="n">
        <v>-1.32</v>
      </c>
      <c r="K6" s="9" t="n">
        <v>-0.35</v>
      </c>
      <c r="L6" s="9" t="n">
        <v>-0.59</v>
      </c>
      <c r="M6" s="9" t="n">
        <v>0.05</v>
      </c>
      <c r="N6" s="9" t="n">
        <v>-1.24</v>
      </c>
      <c r="O6" s="9" t="n">
        <v>-0.35</v>
      </c>
      <c r="P6" s="9" t="n">
        <v>-0.53</v>
      </c>
      <c r="Q6" s="9" t="n">
        <v>-0.17</v>
      </c>
      <c r="R6" s="9">
        <f>(H6-I6)-(F6-G6)</f>
        <v/>
      </c>
      <c r="S6" s="9">
        <f>(H6+I6)-(F6+G6)</f>
        <v/>
      </c>
      <c r="T6" s="9" t="n">
        <v>0.91</v>
      </c>
      <c r="U6" s="9" t="n">
        <v>1.8</v>
      </c>
      <c r="V6" s="9" t="n">
        <v>-0.89</v>
      </c>
      <c r="W6" s="9" t="n">
        <v>6.3</v>
      </c>
      <c r="X6" s="9" t="n">
        <v>8.57</v>
      </c>
    </row>
    <row r="7">
      <c r="A7" s="8" t="inlineStr">
        <is>
          <t>2026-09-12</t>
        </is>
      </c>
      <c r="B7" s="8" t="inlineStr">
        <is>
          <t>Rotherham United</t>
        </is>
      </c>
      <c r="C7" s="8" t="inlineStr">
        <is>
          <t>Away</t>
        </is>
      </c>
      <c r="D7" s="8" t="n">
        <v>3</v>
      </c>
      <c r="E7" s="8" t="n">
        <v>3</v>
      </c>
      <c r="F7" s="10" t="n">
        <v>1.49</v>
      </c>
      <c r="G7" s="10" t="n">
        <v>1.34</v>
      </c>
      <c r="H7" s="10" t="n">
        <v>1.45</v>
      </c>
      <c r="I7" s="10" t="n">
        <v>2.46</v>
      </c>
      <c r="J7" s="10" t="n">
        <v>-0.04</v>
      </c>
      <c r="K7" s="10" t="n">
        <v>1.12</v>
      </c>
      <c r="L7" s="10" t="n">
        <v>-0.5</v>
      </c>
      <c r="M7" s="10" t="n">
        <v>0.22</v>
      </c>
      <c r="N7" s="10" t="n">
        <v>0.11</v>
      </c>
      <c r="O7" s="10" t="n">
        <v>1.05</v>
      </c>
      <c r="P7" s="10" t="n">
        <v>-0.42</v>
      </c>
      <c r="Q7" s="10" t="n">
        <v>0.03</v>
      </c>
      <c r="R7" s="10">
        <f>(H7-I7)-(F7-G7)</f>
        <v/>
      </c>
      <c r="S7" s="10">
        <f>(H7+I7)-(F7+G7)</f>
        <v/>
      </c>
      <c r="T7" s="10" t="n">
        <v>0.83</v>
      </c>
      <c r="U7" s="10" t="n">
        <v>1.47</v>
      </c>
      <c r="V7" s="10" t="n">
        <v>-0.64</v>
      </c>
      <c r="W7" s="10" t="n">
        <v>7.13</v>
      </c>
      <c r="X7" s="10" t="n">
        <v>10.04</v>
      </c>
    </row>
    <row r="8">
      <c r="A8" s="6" t="inlineStr">
        <is>
          <t>2026-09-19</t>
        </is>
      </c>
      <c r="B8" s="6" t="inlineStr">
        <is>
          <t>Swindon Town</t>
        </is>
      </c>
      <c r="C8" s="6" t="inlineStr">
        <is>
          <t>Home</t>
        </is>
      </c>
      <c r="D8" s="6" t="n">
        <v>1</v>
      </c>
      <c r="E8" s="6" t="n">
        <v>0</v>
      </c>
      <c r="F8" s="9" t="n">
        <v>2.08</v>
      </c>
      <c r="G8" s="9" t="n">
        <v>1.06</v>
      </c>
      <c r="H8" s="9" t="n">
        <v>1.25</v>
      </c>
      <c r="I8" s="9" t="n">
        <v>1.12</v>
      </c>
      <c r="J8" s="9" t="n">
        <v>-0.83</v>
      </c>
      <c r="K8" s="9" t="n">
        <v>0.06</v>
      </c>
      <c r="L8" s="9" t="n">
        <v>-0.6</v>
      </c>
      <c r="M8" s="9" t="n">
        <v>0.2</v>
      </c>
      <c r="N8" s="9" t="n">
        <v>-0.97</v>
      </c>
      <c r="O8" s="9" t="n">
        <v>0.28</v>
      </c>
      <c r="P8" s="9" t="n">
        <v>-0.47</v>
      </c>
      <c r="Q8" s="9" t="n">
        <v>0.1</v>
      </c>
      <c r="R8" s="9">
        <f>(H8-I8)-(F8-G8)</f>
        <v/>
      </c>
      <c r="S8" s="9">
        <f>(H8+I8)-(F8+G8)</f>
        <v/>
      </c>
      <c r="T8" s="9" t="n">
        <v>1.46</v>
      </c>
      <c r="U8" s="9" t="n">
        <v>2.04</v>
      </c>
      <c r="V8" s="9" t="n">
        <v>-0.58</v>
      </c>
      <c r="W8" s="9" t="n">
        <v>8.59</v>
      </c>
      <c r="X8" s="9" t="n">
        <v>12.08</v>
      </c>
    </row>
    <row r="9">
      <c r="A9" s="8" t="inlineStr">
        <is>
          <t>2026-09-26</t>
        </is>
      </c>
      <c r="B9" s="8" t="inlineStr">
        <is>
          <t>Oldham Athletic</t>
        </is>
      </c>
      <c r="C9" s="8" t="inlineStr">
        <is>
          <t>Away</t>
        </is>
      </c>
      <c r="D9" s="8" t="n">
        <v>4</v>
      </c>
      <c r="E9" s="8" t="n">
        <v>1</v>
      </c>
      <c r="F9" s="10" t="n">
        <v>1.41</v>
      </c>
      <c r="G9" s="10" t="n">
        <v>1.47</v>
      </c>
      <c r="H9" s="10" t="n">
        <v>1.67</v>
      </c>
      <c r="I9" s="10" t="n">
        <v>1.09</v>
      </c>
      <c r="J9" s="10" t="n">
        <v>0.26</v>
      </c>
      <c r="K9" s="10" t="n">
        <v>-0.38</v>
      </c>
      <c r="L9" s="10" t="n">
        <v>-0.39</v>
      </c>
      <c r="M9" s="10" t="n">
        <v>-0.07000000000000001</v>
      </c>
      <c r="N9" s="10" t="n">
        <v>0.31</v>
      </c>
      <c r="O9" s="10" t="n">
        <v>-0.34</v>
      </c>
      <c r="P9" s="10" t="n">
        <v>-0.23</v>
      </c>
      <c r="Q9" s="10" t="n">
        <v>-0.08</v>
      </c>
      <c r="R9" s="10">
        <f>(H9-I9)-(F9-G9)</f>
        <v/>
      </c>
      <c r="S9" s="10">
        <f>(H9+I9)-(F9+G9)</f>
        <v/>
      </c>
      <c r="T9" s="10" t="n">
        <v>1.77</v>
      </c>
      <c r="U9" s="10" t="n">
        <v>1.34</v>
      </c>
      <c r="V9" s="10" t="n">
        <v>0.43</v>
      </c>
      <c r="W9" s="10" t="n">
        <v>10.36</v>
      </c>
      <c r="X9" s="10" t="n">
        <v>13.41</v>
      </c>
    </row>
    <row r="10">
      <c r="A10" s="6" t="inlineStr">
        <is>
          <t>2026-10-03</t>
        </is>
      </c>
      <c r="B10" s="6" t="inlineStr">
        <is>
          <t>Fleetwood Town</t>
        </is>
      </c>
      <c r="C10" s="6" t="inlineStr">
        <is>
          <t>Home</t>
        </is>
      </c>
      <c r="D10" s="6" t="n">
        <v>1</v>
      </c>
      <c r="E10" s="6" t="n">
        <v>0</v>
      </c>
      <c r="F10" s="9" t="n">
        <v>1.86</v>
      </c>
      <c r="G10" s="9" t="n">
        <v>1.01</v>
      </c>
      <c r="H10" s="9" t="n">
        <v>2.04</v>
      </c>
      <c r="I10" s="9" t="n">
        <v>0.62</v>
      </c>
      <c r="J10" s="9" t="n">
        <v>0.18</v>
      </c>
      <c r="K10" s="9" t="n">
        <v>-0.39</v>
      </c>
      <c r="L10" s="9" t="n">
        <v>-0.26</v>
      </c>
      <c r="M10" s="9" t="n">
        <v>-0.08</v>
      </c>
      <c r="N10" s="9" t="n">
        <v>-0.26</v>
      </c>
      <c r="O10" s="9" t="n">
        <v>-0.28</v>
      </c>
      <c r="P10" s="9" t="n">
        <v>-0.24</v>
      </c>
      <c r="Q10" s="9" t="n">
        <v>-0.03</v>
      </c>
      <c r="R10" s="9">
        <f>(H10-I10)-(F10-G10)</f>
        <v/>
      </c>
      <c r="S10" s="9">
        <f>(H10+I10)-(F10+G10)</f>
        <v/>
      </c>
      <c r="T10" s="9" t="n">
        <v>2.31</v>
      </c>
      <c r="U10" s="9" t="n">
        <v>1.94</v>
      </c>
      <c r="V10" s="9" t="n">
        <v>0.37</v>
      </c>
      <c r="W10" s="9" t="n">
        <v>12.67</v>
      </c>
      <c r="X10" s="9" t="n">
        <v>15.36</v>
      </c>
    </row>
    <row r="11">
      <c r="A11" s="8" t="inlineStr">
        <is>
          <t>2026-10-10</t>
        </is>
      </c>
      <c r="B11" s="8" t="inlineStr">
        <is>
          <t>Cheltenham Town</t>
        </is>
      </c>
      <c r="C11" s="8" t="inlineStr">
        <is>
          <t>Away</t>
        </is>
      </c>
      <c r="D11" s="8" t="n">
        <v>2</v>
      </c>
      <c r="E11" s="8" t="n">
        <v>0</v>
      </c>
      <c r="F11" s="10" t="n">
        <v>1.77</v>
      </c>
      <c r="G11" s="10" t="n">
        <v>1.14</v>
      </c>
      <c r="H11" s="10" t="n">
        <v>1.11</v>
      </c>
      <c r="I11" s="10" t="n">
        <v>0.25</v>
      </c>
      <c r="J11" s="10" t="n">
        <v>-0.66</v>
      </c>
      <c r="K11" s="10" t="n">
        <v>-0.89</v>
      </c>
      <c r="L11" s="10" t="n">
        <v>-0.4</v>
      </c>
      <c r="M11" s="10" t="n">
        <v>-0.14</v>
      </c>
      <c r="N11" s="10" t="n">
        <v>-0.92</v>
      </c>
      <c r="O11" s="10" t="n">
        <v>-0.9</v>
      </c>
      <c r="P11" s="10" t="n">
        <v>-0.5</v>
      </c>
      <c r="Q11" s="10" t="n">
        <v>-0.09</v>
      </c>
      <c r="R11" s="10">
        <f>(H11-I11)-(F11-G11)</f>
        <v/>
      </c>
      <c r="S11" s="10">
        <f>(H11+I11)-(F11+G11)</f>
        <v/>
      </c>
      <c r="T11" s="10" t="n">
        <v>2.08</v>
      </c>
      <c r="U11" s="10" t="n">
        <v>1.8</v>
      </c>
      <c r="V11" s="10" t="n">
        <v>0.28</v>
      </c>
      <c r="W11" s="10" t="n">
        <v>14.76</v>
      </c>
      <c r="X11" s="10" t="n">
        <v>17.16</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5</v>
      </c>
      <c r="D39" s="15" t="n">
        <v>2</v>
      </c>
      <c r="E39" s="19" t="n">
        <v>-0.5600000000000001</v>
      </c>
      <c r="F39" s="19" t="n">
        <v>-0.9</v>
      </c>
      <c r="G39" s="19" t="n">
        <v>-0.54</v>
      </c>
      <c r="H39" s="19" t="n">
        <v>-0.33</v>
      </c>
    </row>
    <row r="40">
      <c r="A40" s="15" t="inlineStr">
        <is>
          <t>Away</t>
        </is>
      </c>
      <c r="B40" s="15" t="n">
        <v>5</v>
      </c>
      <c r="C40" s="15" t="n">
        <v>10</v>
      </c>
      <c r="D40" s="15" t="n">
        <v>8</v>
      </c>
      <c r="E40" s="19" t="n">
        <v>-0.2</v>
      </c>
      <c r="F40" s="19" t="n">
        <v>-0.25</v>
      </c>
      <c r="G40" s="19" t="n">
        <v>-0.32</v>
      </c>
      <c r="H40" s="19" t="n">
        <v>-0.11</v>
      </c>
    </row>
    <row r="41">
      <c r="A41" s="20" t="inlineStr">
        <is>
          <t>Total</t>
        </is>
      </c>
      <c r="B41" s="20" t="n">
        <v>10</v>
      </c>
      <c r="C41" s="20" t="n">
        <v>15</v>
      </c>
      <c r="D41" s="20" t="n">
        <v>10</v>
      </c>
      <c r="E41" s="21" t="n">
        <v>-0.38</v>
      </c>
      <c r="F41" s="21" t="n">
        <v>-0.35</v>
      </c>
      <c r="G41" s="21" t="n">
        <v>-0.43</v>
      </c>
      <c r="H41" s="21" t="n">
        <v>-0.27</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Tranmere Rovers</t>
        </is>
      </c>
      <c r="C2" s="6" t="inlineStr">
        <is>
          <t>Away</t>
        </is>
      </c>
      <c r="D2" s="6" t="n">
        <v>0</v>
      </c>
      <c r="E2" s="6" t="n">
        <v>2</v>
      </c>
      <c r="F2" s="9" t="n">
        <v>1.1</v>
      </c>
      <c r="G2" s="9" t="n">
        <v>1.4</v>
      </c>
      <c r="H2" s="9" t="n">
        <v>1.28</v>
      </c>
      <c r="I2" s="9" t="n">
        <v>1.16</v>
      </c>
      <c r="J2" s="9" t="n">
        <v>0.18</v>
      </c>
      <c r="K2" s="9" t="n">
        <v>-0.24</v>
      </c>
      <c r="L2" s="9" t="n">
        <v>0.18</v>
      </c>
      <c r="M2" s="9" t="n">
        <v>-0.24</v>
      </c>
      <c r="N2" s="9" t="n">
        <v>0.02</v>
      </c>
      <c r="O2" s="9" t="n">
        <v>-0.23</v>
      </c>
      <c r="P2" s="9" t="n">
        <v>0.02</v>
      </c>
      <c r="Q2" s="9" t="n">
        <v>-0.23</v>
      </c>
      <c r="R2" s="9">
        <f>(H2-I2)-(F2-G2)</f>
        <v/>
      </c>
      <c r="S2" s="9">
        <f>(H2+I2)-(F2+G2)</f>
        <v/>
      </c>
      <c r="T2" s="9" t="n">
        <v>1.45</v>
      </c>
      <c r="U2" s="9" t="n">
        <v>1.15</v>
      </c>
      <c r="V2" s="9" t="n">
        <v>0.3</v>
      </c>
      <c r="W2" s="9" t="n">
        <v>1.45</v>
      </c>
      <c r="X2" s="9" t="n">
        <v>1.15</v>
      </c>
    </row>
    <row r="3">
      <c r="A3" s="8" t="inlineStr">
        <is>
          <t>2026-08-22</t>
        </is>
      </c>
      <c r="B3" s="8" t="inlineStr">
        <is>
          <t>Barnet</t>
        </is>
      </c>
      <c r="C3" s="8" t="inlineStr">
        <is>
          <t>Home</t>
        </is>
      </c>
      <c r="D3" s="8" t="n">
        <v>1</v>
      </c>
      <c r="E3" s="8" t="n">
        <v>3</v>
      </c>
      <c r="F3" s="10" t="n">
        <v>1.02</v>
      </c>
      <c r="G3" s="10" t="n">
        <v>1.6</v>
      </c>
      <c r="H3" s="10" t="n">
        <v>1.78</v>
      </c>
      <c r="I3" s="10" t="n">
        <v>1.07</v>
      </c>
      <c r="J3" s="10" t="n">
        <v>0.76</v>
      </c>
      <c r="K3" s="10" t="n">
        <v>-0.53</v>
      </c>
      <c r="L3" s="10" t="n">
        <v>0.47</v>
      </c>
      <c r="M3" s="10" t="n">
        <v>-0.39</v>
      </c>
      <c r="N3" s="10" t="n">
        <v>0.48</v>
      </c>
      <c r="O3" s="10" t="n">
        <v>-0.92</v>
      </c>
      <c r="P3" s="10" t="n">
        <v>0.25</v>
      </c>
      <c r="Q3" s="10" t="n">
        <v>-0.57</v>
      </c>
      <c r="R3" s="10">
        <f>(H3-I3)-(F3-G3)</f>
        <v/>
      </c>
      <c r="S3" s="10">
        <f>(H3+I3)-(F3+G3)</f>
        <v/>
      </c>
      <c r="T3" s="10" t="n">
        <v>1.85</v>
      </c>
      <c r="U3" s="10" t="n">
        <v>0.98</v>
      </c>
      <c r="V3" s="10" t="n">
        <v>0.88</v>
      </c>
      <c r="W3" s="10" t="n">
        <v>3.3</v>
      </c>
      <c r="X3" s="10" t="n">
        <v>2.13</v>
      </c>
    </row>
    <row r="4">
      <c r="A4" s="6" t="inlineStr">
        <is>
          <t>2026-08-29</t>
        </is>
      </c>
      <c r="B4" s="6" t="inlineStr">
        <is>
          <t>Salford City</t>
        </is>
      </c>
      <c r="C4" s="6" t="inlineStr">
        <is>
          <t>Home</t>
        </is>
      </c>
      <c r="D4" s="6" t="n">
        <v>1</v>
      </c>
      <c r="E4" s="6" t="n">
        <v>0</v>
      </c>
      <c r="F4" s="9" t="n">
        <v>1.02</v>
      </c>
      <c r="G4" s="9" t="n">
        <v>1.58</v>
      </c>
      <c r="H4" s="9" t="n">
        <v>0.67</v>
      </c>
      <c r="I4" s="9" t="n">
        <v>0.98</v>
      </c>
      <c r="J4" s="9" t="n">
        <v>-0.35</v>
      </c>
      <c r="K4" s="9" t="n">
        <v>-0.6</v>
      </c>
      <c r="L4" s="9" t="n">
        <v>0.2</v>
      </c>
      <c r="M4" s="9" t="n">
        <v>-0.46</v>
      </c>
      <c r="N4" s="9" t="n">
        <v>-0.36</v>
      </c>
      <c r="O4" s="9" t="n">
        <v>-0.21</v>
      </c>
      <c r="P4" s="9" t="n">
        <v>0.05</v>
      </c>
      <c r="Q4" s="9" t="n">
        <v>-0.45</v>
      </c>
      <c r="R4" s="9">
        <f>(H4-I4)-(F4-G4)</f>
        <v/>
      </c>
      <c r="S4" s="9">
        <f>(H4+I4)-(F4+G4)</f>
        <v/>
      </c>
      <c r="T4" s="9" t="n">
        <v>1.07</v>
      </c>
      <c r="U4" s="9" t="n">
        <v>0.99</v>
      </c>
      <c r="V4" s="9" t="n">
        <v>0.08</v>
      </c>
      <c r="W4" s="9" t="n">
        <v>4.37</v>
      </c>
      <c r="X4" s="9" t="n">
        <v>3.12</v>
      </c>
    </row>
    <row r="5">
      <c r="A5" s="8" t="inlineStr">
        <is>
          <t>2026-09-01</t>
        </is>
      </c>
      <c r="B5" s="8" t="inlineStr">
        <is>
          <t>Rochdale</t>
        </is>
      </c>
      <c r="C5" s="8" t="inlineStr">
        <is>
          <t>Away</t>
        </is>
      </c>
      <c r="D5" s="8" t="n">
        <v>0</v>
      </c>
      <c r="E5" s="8" t="n">
        <v>3</v>
      </c>
      <c r="F5" s="10" t="n">
        <v>1.2</v>
      </c>
      <c r="G5" s="10" t="n">
        <v>1.48</v>
      </c>
      <c r="H5" s="10" t="n">
        <v>1.46</v>
      </c>
      <c r="I5" s="10" t="n">
        <v>0.77</v>
      </c>
      <c r="J5" s="10" t="n">
        <v>0.26</v>
      </c>
      <c r="K5" s="10" t="n">
        <v>-0.71</v>
      </c>
      <c r="L5" s="10" t="n">
        <v>0.21</v>
      </c>
      <c r="M5" s="10" t="n">
        <v>-0.52</v>
      </c>
      <c r="N5" s="10" t="n">
        <v>0.03</v>
      </c>
      <c r="O5" s="10" t="n">
        <v>-0.23</v>
      </c>
      <c r="P5" s="10" t="n">
        <v>0.04</v>
      </c>
      <c r="Q5" s="10" t="n">
        <v>-0.4</v>
      </c>
      <c r="R5" s="10">
        <f>(H5-I5)-(F5-G5)</f>
        <v/>
      </c>
      <c r="S5" s="10">
        <f>(H5+I5)-(F5+G5)</f>
        <v/>
      </c>
      <c r="T5" s="10" t="n">
        <v>1.87</v>
      </c>
      <c r="U5" s="10" t="n">
        <v>1.18</v>
      </c>
      <c r="V5" s="10" t="n">
        <v>0.7</v>
      </c>
      <c r="W5" s="10" t="n">
        <v>6.24</v>
      </c>
      <c r="X5" s="10" t="n">
        <v>4.29</v>
      </c>
    </row>
    <row r="6">
      <c r="A6" s="6" t="inlineStr">
        <is>
          <t>2026-09-05</t>
        </is>
      </c>
      <c r="B6" s="6" t="inlineStr">
        <is>
          <t>Fleetwood Town</t>
        </is>
      </c>
      <c r="C6" s="6" t="inlineStr">
        <is>
          <t>Away</t>
        </is>
      </c>
      <c r="D6" s="6" t="n">
        <v>0</v>
      </c>
      <c r="E6" s="6" t="n">
        <v>2</v>
      </c>
      <c r="F6" s="9" t="n">
        <v>0.99</v>
      </c>
      <c r="G6" s="9" t="n">
        <v>1.56</v>
      </c>
      <c r="H6" s="9" t="n">
        <v>0.71</v>
      </c>
      <c r="I6" s="9" t="n">
        <v>0.8</v>
      </c>
      <c r="J6" s="9" t="n">
        <v>-0.28</v>
      </c>
      <c r="K6" s="9" t="n">
        <v>-0.76</v>
      </c>
      <c r="L6" s="9" t="n">
        <v>0.11</v>
      </c>
      <c r="M6" s="9" t="n">
        <v>-0.57</v>
      </c>
      <c r="N6" s="9" t="n">
        <v>-0.77</v>
      </c>
      <c r="O6" s="9" t="n">
        <v>-0.7</v>
      </c>
      <c r="P6" s="9" t="n">
        <v>-0.12</v>
      </c>
      <c r="Q6" s="9" t="n">
        <v>-0.46</v>
      </c>
      <c r="R6" s="9">
        <f>(H6-I6)-(F6-G6)</f>
        <v/>
      </c>
      <c r="S6" s="9">
        <f>(H6+I6)-(F6+G6)</f>
        <v/>
      </c>
      <c r="T6" s="9" t="n">
        <v>1.24</v>
      </c>
      <c r="U6" s="9" t="n">
        <v>0.97</v>
      </c>
      <c r="V6" s="9" t="n">
        <v>0.27</v>
      </c>
      <c r="W6" s="9" t="n">
        <v>7.48</v>
      </c>
      <c r="X6" s="9" t="n">
        <v>5.26</v>
      </c>
    </row>
    <row r="7">
      <c r="A7" s="8" t="inlineStr">
        <is>
          <t>2026-09-12</t>
        </is>
      </c>
      <c r="B7" s="8" t="inlineStr">
        <is>
          <t>Northampton Town</t>
        </is>
      </c>
      <c r="C7" s="8" t="inlineStr">
        <is>
          <t>Home</t>
        </is>
      </c>
      <c r="D7" s="8" t="n">
        <v>2</v>
      </c>
      <c r="E7" s="8" t="n">
        <v>0</v>
      </c>
      <c r="F7" s="10" t="n">
        <v>1.2</v>
      </c>
      <c r="G7" s="10" t="n">
        <v>1.17</v>
      </c>
      <c r="H7" s="10" t="n">
        <v>0.87</v>
      </c>
      <c r="I7" s="10" t="n">
        <v>0.5</v>
      </c>
      <c r="J7" s="10" t="n">
        <v>-0.33</v>
      </c>
      <c r="K7" s="10" t="n">
        <v>-0.67</v>
      </c>
      <c r="L7" s="10" t="n">
        <v>0.04</v>
      </c>
      <c r="M7" s="10" t="n">
        <v>-0.59</v>
      </c>
      <c r="N7" s="10" t="n">
        <v>-0.23</v>
      </c>
      <c r="O7" s="10" t="n">
        <v>0</v>
      </c>
      <c r="P7" s="10" t="n">
        <v>-0.14</v>
      </c>
      <c r="Q7" s="10" t="n">
        <v>-0.38</v>
      </c>
      <c r="R7" s="10">
        <f>(H7-I7)-(F7-G7)</f>
        <v/>
      </c>
      <c r="S7" s="10">
        <f>(H7+I7)-(F7+G7)</f>
        <v/>
      </c>
      <c r="T7" s="10" t="n">
        <v>1.65</v>
      </c>
      <c r="U7" s="10" t="n">
        <v>1.38</v>
      </c>
      <c r="V7" s="10" t="n">
        <v>0.26</v>
      </c>
      <c r="W7" s="10" t="n">
        <v>9.130000000000001</v>
      </c>
      <c r="X7" s="10" t="n">
        <v>6.64</v>
      </c>
    </row>
    <row r="8">
      <c r="A8" s="6" t="inlineStr">
        <is>
          <t>2026-09-19</t>
        </is>
      </c>
      <c r="B8" s="6" t="inlineStr">
        <is>
          <t>Crewe Alexandra</t>
        </is>
      </c>
      <c r="C8" s="6" t="inlineStr">
        <is>
          <t>Away</t>
        </is>
      </c>
      <c r="D8" s="6" t="n">
        <v>1</v>
      </c>
      <c r="E8" s="6" t="n">
        <v>1</v>
      </c>
      <c r="F8" s="9" t="n">
        <v>1.05</v>
      </c>
      <c r="G8" s="9" t="n">
        <v>1.56</v>
      </c>
      <c r="H8" s="9" t="n">
        <v>2.25</v>
      </c>
      <c r="I8" s="9" t="n">
        <v>0.95</v>
      </c>
      <c r="J8" s="9" t="n">
        <v>1.2</v>
      </c>
      <c r="K8" s="9" t="n">
        <v>-0.61</v>
      </c>
      <c r="L8" s="9" t="n">
        <v>0.21</v>
      </c>
      <c r="M8" s="9" t="n">
        <v>-0.65</v>
      </c>
      <c r="N8" s="9" t="n">
        <v>1.47</v>
      </c>
      <c r="O8" s="9" t="n">
        <v>-0.48</v>
      </c>
      <c r="P8" s="9" t="n">
        <v>0.1</v>
      </c>
      <c r="Q8" s="9" t="n">
        <v>-0.42</v>
      </c>
      <c r="R8" s="9">
        <f>(H8-I8)-(F8-G8)</f>
        <v/>
      </c>
      <c r="S8" s="9">
        <f>(H8+I8)-(F8+G8)</f>
        <v/>
      </c>
      <c r="T8" s="9" t="n">
        <v>2.19</v>
      </c>
      <c r="U8" s="9" t="n">
        <v>1.01</v>
      </c>
      <c r="V8" s="9" t="n">
        <v>1.17</v>
      </c>
      <c r="W8" s="9" t="n">
        <v>11.32</v>
      </c>
      <c r="X8" s="9" t="n">
        <v>7.66</v>
      </c>
    </row>
    <row r="9">
      <c r="A9" s="8" t="inlineStr">
        <is>
          <t>2026-09-26</t>
        </is>
      </c>
      <c r="B9" s="8" t="inlineStr">
        <is>
          <t>Colchester United</t>
        </is>
      </c>
      <c r="C9" s="8" t="inlineStr">
        <is>
          <t>Home</t>
        </is>
      </c>
      <c r="D9" s="8" t="n">
        <v>2</v>
      </c>
      <c r="E9" s="8" t="n">
        <v>2</v>
      </c>
      <c r="F9" s="10" t="n">
        <v>1.32</v>
      </c>
      <c r="G9" s="10" t="n">
        <v>1.26</v>
      </c>
      <c r="H9" s="10" t="n">
        <v>1.38</v>
      </c>
      <c r="I9" s="10" t="n">
        <v>1.46</v>
      </c>
      <c r="J9" s="10" t="n">
        <v>0.06</v>
      </c>
      <c r="K9" s="10" t="n">
        <v>0.2</v>
      </c>
      <c r="L9" s="10" t="n">
        <v>0.1</v>
      </c>
      <c r="M9" s="10" t="n">
        <v>-0.52</v>
      </c>
      <c r="N9" s="10" t="n">
        <v>-0.18</v>
      </c>
      <c r="O9" s="10" t="n">
        <v>0.42</v>
      </c>
      <c r="P9" s="10" t="n">
        <v>-0.01</v>
      </c>
      <c r="Q9" s="10" t="n">
        <v>-0.2</v>
      </c>
      <c r="R9" s="10">
        <f>(H9-I9)-(F9-G9)</f>
        <v/>
      </c>
      <c r="S9" s="10">
        <f>(H9+I9)-(F9+G9)</f>
        <v/>
      </c>
      <c r="T9" s="10" t="n">
        <v>1.32</v>
      </c>
      <c r="U9" s="10" t="n">
        <v>1.41</v>
      </c>
      <c r="V9" s="10" t="n">
        <v>-0.09</v>
      </c>
      <c r="W9" s="10" t="n">
        <v>12.64</v>
      </c>
      <c r="X9" s="10" t="n">
        <v>9.07</v>
      </c>
    </row>
    <row r="10">
      <c r="A10" s="6" t="inlineStr">
        <is>
          <t>2026-10-03</t>
        </is>
      </c>
      <c r="B10" s="6" t="inlineStr">
        <is>
          <t>Grimsby Town</t>
        </is>
      </c>
      <c r="C10" s="6" t="inlineStr">
        <is>
          <t>Away</t>
        </is>
      </c>
      <c r="D10" s="6" t="n">
        <v>2</v>
      </c>
      <c r="E10" s="6" t="n">
        <v>1</v>
      </c>
      <c r="F10" s="9" t="n">
        <v>0.98</v>
      </c>
      <c r="G10" s="9" t="n">
        <v>1.84</v>
      </c>
      <c r="H10" s="9" t="n">
        <v>1.13</v>
      </c>
      <c r="I10" s="9" t="n">
        <v>1.56</v>
      </c>
      <c r="J10" s="9" t="n">
        <v>0.14</v>
      </c>
      <c r="K10" s="9" t="n">
        <v>-0.28</v>
      </c>
      <c r="L10" s="9" t="n">
        <v>0.18</v>
      </c>
      <c r="M10" s="9" t="n">
        <v>-0.47</v>
      </c>
      <c r="N10" s="9" t="n">
        <v>-0.16</v>
      </c>
      <c r="O10" s="9" t="n">
        <v>-0.6</v>
      </c>
      <c r="P10" s="9" t="n">
        <v>0.03</v>
      </c>
      <c r="Q10" s="9" t="n">
        <v>-0.26</v>
      </c>
      <c r="R10" s="9">
        <f>(H10-I10)-(F10-G10)</f>
        <v/>
      </c>
      <c r="S10" s="9">
        <f>(H10+I10)-(F10+G10)</f>
        <v/>
      </c>
      <c r="T10" s="9" t="n">
        <v>1.08</v>
      </c>
      <c r="U10" s="9" t="n">
        <v>0.82</v>
      </c>
      <c r="V10" s="9" t="n">
        <v>0.26</v>
      </c>
      <c r="W10" s="9" t="n">
        <v>13.72</v>
      </c>
      <c r="X10" s="9" t="n">
        <v>9.890000000000001</v>
      </c>
    </row>
    <row r="11">
      <c r="A11" s="8" t="inlineStr">
        <is>
          <t>2026-10-10</t>
        </is>
      </c>
      <c r="B11" s="8" t="inlineStr">
        <is>
          <t>Exeter</t>
        </is>
      </c>
      <c r="C11" s="8" t="inlineStr">
        <is>
          <t>Home</t>
        </is>
      </c>
      <c r="D11" s="8" t="n">
        <v>0</v>
      </c>
      <c r="E11" s="8" t="n">
        <v>1</v>
      </c>
      <c r="F11" s="10" t="n">
        <v>1.36</v>
      </c>
      <c r="G11" s="10" t="n">
        <v>1.08</v>
      </c>
      <c r="H11" s="10" t="n">
        <v>1.25</v>
      </c>
      <c r="I11" s="10" t="n">
        <v>1.43</v>
      </c>
      <c r="J11" s="10" t="n">
        <v>-0.11</v>
      </c>
      <c r="K11" s="10" t="n">
        <v>0.35</v>
      </c>
      <c r="L11" s="10" t="n">
        <v>0.11</v>
      </c>
      <c r="M11" s="10" t="n">
        <v>-0.3</v>
      </c>
      <c r="N11" s="10" t="n">
        <v>0.27</v>
      </c>
      <c r="O11" s="10" t="n">
        <v>0.39</v>
      </c>
      <c r="P11" s="10" t="n">
        <v>0.06</v>
      </c>
      <c r="Q11" s="10" t="n">
        <v>-0.16</v>
      </c>
      <c r="R11" s="10">
        <f>(H11-I11)-(F11-G11)</f>
        <v/>
      </c>
      <c r="S11" s="10">
        <f>(H11+I11)-(F11+G11)</f>
        <v/>
      </c>
      <c r="T11" s="10" t="n">
        <v>1.25</v>
      </c>
      <c r="U11" s="10" t="n">
        <v>1.57</v>
      </c>
      <c r="V11" s="10" t="n">
        <v>-0.32</v>
      </c>
      <c r="W11" s="10" t="n">
        <v>14.96</v>
      </c>
      <c r="X11" s="10" t="n">
        <v>11.46</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6</v>
      </c>
      <c r="D39" s="15" t="n">
        <v>6</v>
      </c>
      <c r="E39" s="19" t="n">
        <v>0.26</v>
      </c>
      <c r="F39" s="19" t="n">
        <v>0.25</v>
      </c>
      <c r="G39" s="19" t="n">
        <v>-0.25</v>
      </c>
      <c r="H39" s="19" t="n">
        <v>0.22</v>
      </c>
    </row>
    <row r="40">
      <c r="A40" s="15" t="inlineStr">
        <is>
          <t>Away</t>
        </is>
      </c>
      <c r="B40" s="15" t="n">
        <v>5</v>
      </c>
      <c r="C40" s="15" t="n">
        <v>3</v>
      </c>
      <c r="D40" s="15" t="n">
        <v>9</v>
      </c>
      <c r="E40" s="19" t="n">
        <v>0.82</v>
      </c>
      <c r="F40" s="19" t="n">
        <v>0.48</v>
      </c>
      <c r="G40" s="19" t="n">
        <v>-0.22</v>
      </c>
      <c r="H40" s="19" t="n">
        <v>-0.14</v>
      </c>
    </row>
    <row r="41">
      <c r="A41" s="20" t="inlineStr">
        <is>
          <t>Total</t>
        </is>
      </c>
      <c r="B41" s="20" t="n">
        <v>10</v>
      </c>
      <c r="C41" s="20" t="n">
        <v>9</v>
      </c>
      <c r="D41" s="20" t="n">
        <v>15</v>
      </c>
      <c r="E41" s="21" t="n">
        <v>0.54</v>
      </c>
      <c r="F41" s="21" t="n">
        <v>0.42</v>
      </c>
      <c r="G41" s="21" t="n">
        <v>-0.23</v>
      </c>
      <c r="H41" s="21" t="n">
        <v>-0.1</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Northampton Town</t>
        </is>
      </c>
      <c r="C2" s="6" t="inlineStr">
        <is>
          <t>Away</t>
        </is>
      </c>
      <c r="D2" s="6" t="n">
        <v>0</v>
      </c>
      <c r="E2" s="6" t="n">
        <v>0</v>
      </c>
      <c r="F2" s="9" t="n">
        <v>1.14</v>
      </c>
      <c r="G2" s="9" t="n">
        <v>1.51</v>
      </c>
      <c r="H2" s="9" t="n">
        <v>0.2</v>
      </c>
      <c r="I2" s="9" t="n">
        <v>0.76</v>
      </c>
      <c r="J2" s="9" t="n">
        <v>-0.9399999999999999</v>
      </c>
      <c r="K2" s="9" t="n">
        <v>-0.75</v>
      </c>
      <c r="L2" s="9" t="n">
        <v>-0.9399999999999999</v>
      </c>
      <c r="M2" s="9" t="n">
        <v>-0.75</v>
      </c>
      <c r="N2" s="9" t="n">
        <v>-0.92</v>
      </c>
      <c r="O2" s="9" t="n">
        <v>-0.09</v>
      </c>
      <c r="P2" s="9" t="n">
        <v>-0.92</v>
      </c>
      <c r="Q2" s="9" t="n">
        <v>-0.09</v>
      </c>
      <c r="R2" s="9">
        <f>(H2-I2)-(F2-G2)</f>
        <v/>
      </c>
      <c r="S2" s="9">
        <f>(H2+I2)-(F2+G2)</f>
        <v/>
      </c>
      <c r="T2" s="9" t="n">
        <v>0.72</v>
      </c>
      <c r="U2" s="9" t="n">
        <v>1.11</v>
      </c>
      <c r="V2" s="9" t="n">
        <v>-0.4</v>
      </c>
      <c r="W2" s="9" t="n">
        <v>0.72</v>
      </c>
      <c r="X2" s="9" t="n">
        <v>1.11</v>
      </c>
    </row>
    <row r="3">
      <c r="A3" s="8" t="inlineStr">
        <is>
          <t>2026-08-22</t>
        </is>
      </c>
      <c r="B3" s="8" t="inlineStr">
        <is>
          <t>Cheltenham Town</t>
        </is>
      </c>
      <c r="C3" s="8" t="inlineStr">
        <is>
          <t>Home</t>
        </is>
      </c>
      <c r="D3" s="8" t="n">
        <v>2</v>
      </c>
      <c r="E3" s="8" t="n">
        <v>1</v>
      </c>
      <c r="F3" s="10" t="n">
        <v>1.74</v>
      </c>
      <c r="G3" s="10" t="n">
        <v>1.04</v>
      </c>
      <c r="H3" s="10" t="n">
        <v>1.04</v>
      </c>
      <c r="I3" s="10" t="n">
        <v>1.1</v>
      </c>
      <c r="J3" s="10" t="n">
        <v>-0.7</v>
      </c>
      <c r="K3" s="10" t="n">
        <v>0.06</v>
      </c>
      <c r="L3" s="10" t="n">
        <v>-0.82</v>
      </c>
      <c r="M3" s="10" t="n">
        <v>-0.35</v>
      </c>
      <c r="N3" s="10" t="n">
        <v>-0.97</v>
      </c>
      <c r="O3" s="10" t="n">
        <v>0.15</v>
      </c>
      <c r="P3" s="10" t="n">
        <v>-0.95</v>
      </c>
      <c r="Q3" s="10" t="n">
        <v>0.03</v>
      </c>
      <c r="R3" s="10">
        <f>(H3-I3)-(F3-G3)</f>
        <v/>
      </c>
      <c r="S3" s="10">
        <f>(H3+I3)-(F3+G3)</f>
        <v/>
      </c>
      <c r="T3" s="10" t="n">
        <v>1.31</v>
      </c>
      <c r="U3" s="10" t="n">
        <v>1.85</v>
      </c>
      <c r="V3" s="10" t="n">
        <v>-0.54</v>
      </c>
      <c r="W3" s="10" t="n">
        <v>2.02</v>
      </c>
      <c r="X3" s="10" t="n">
        <v>2.96</v>
      </c>
    </row>
    <row r="4">
      <c r="A4" s="6" t="inlineStr">
        <is>
          <t>2026-08-29</t>
        </is>
      </c>
      <c r="B4" s="6" t="inlineStr">
        <is>
          <t>Oldham Athletic</t>
        </is>
      </c>
      <c r="C4" s="6" t="inlineStr">
        <is>
          <t>Away</t>
        </is>
      </c>
      <c r="D4" s="6" t="n">
        <v>0</v>
      </c>
      <c r="E4" s="6" t="n">
        <v>3</v>
      </c>
      <c r="F4" s="9" t="n">
        <v>1.09</v>
      </c>
      <c r="G4" s="9" t="n">
        <v>1.59</v>
      </c>
      <c r="H4" s="9" t="n">
        <v>0.07000000000000001</v>
      </c>
      <c r="I4" s="9" t="n">
        <v>2.73</v>
      </c>
      <c r="J4" s="9" t="n">
        <v>-1.02</v>
      </c>
      <c r="K4" s="9" t="n">
        <v>1.14</v>
      </c>
      <c r="L4" s="9" t="n">
        <v>-0.89</v>
      </c>
      <c r="M4" s="9" t="n">
        <v>0.15</v>
      </c>
      <c r="N4" s="9" t="n">
        <v>-1.13</v>
      </c>
      <c r="O4" s="9" t="n">
        <v>1.37</v>
      </c>
      <c r="P4" s="9" t="n">
        <v>-1.01</v>
      </c>
      <c r="Q4" s="9" t="n">
        <v>0.47</v>
      </c>
      <c r="R4" s="9">
        <f>(H4-I4)-(F4-G4)</f>
        <v/>
      </c>
      <c r="S4" s="9">
        <f>(H4+I4)-(F4+G4)</f>
        <v/>
      </c>
      <c r="T4" s="9" t="n">
        <v>0.09</v>
      </c>
      <c r="U4" s="9" t="n">
        <v>1.03</v>
      </c>
      <c r="V4" s="9" t="n">
        <v>-0.9399999999999999</v>
      </c>
      <c r="W4" s="9" t="n">
        <v>2.11</v>
      </c>
      <c r="X4" s="9" t="n">
        <v>3.99</v>
      </c>
    </row>
    <row r="5">
      <c r="A5" s="8" t="inlineStr">
        <is>
          <t>2026-09-01</t>
        </is>
      </c>
      <c r="B5" s="8" t="inlineStr">
        <is>
          <t>Port Vale</t>
        </is>
      </c>
      <c r="C5" s="8" t="inlineStr">
        <is>
          <t>Home</t>
        </is>
      </c>
      <c r="D5" s="8" t="n">
        <v>3</v>
      </c>
      <c r="E5" s="8" t="n">
        <v>1</v>
      </c>
      <c r="F5" s="10" t="n">
        <v>1.2</v>
      </c>
      <c r="G5" s="10" t="n">
        <v>1.56</v>
      </c>
      <c r="H5" s="10" t="n">
        <v>2.49</v>
      </c>
      <c r="I5" s="10" t="n">
        <v>1.03</v>
      </c>
      <c r="J5" s="10" t="n">
        <v>1.29</v>
      </c>
      <c r="K5" s="10" t="n">
        <v>-0.53</v>
      </c>
      <c r="L5" s="10" t="n">
        <v>-0.34</v>
      </c>
      <c r="M5" s="10" t="n">
        <v>-0.02</v>
      </c>
      <c r="N5" s="10" t="n">
        <v>1.75</v>
      </c>
      <c r="O5" s="10" t="n">
        <v>-0.5600000000000001</v>
      </c>
      <c r="P5" s="10" t="n">
        <v>-0.32</v>
      </c>
      <c r="Q5" s="10" t="n">
        <v>0.22</v>
      </c>
      <c r="R5" s="10">
        <f>(H5-I5)-(F5-G5)</f>
        <v/>
      </c>
      <c r="S5" s="10">
        <f>(H5+I5)-(F5+G5)</f>
        <v/>
      </c>
      <c r="T5" s="10" t="n">
        <v>2.25</v>
      </c>
      <c r="U5" s="10" t="n">
        <v>1.13</v>
      </c>
      <c r="V5" s="10" t="n">
        <v>1.12</v>
      </c>
      <c r="W5" s="10" t="n">
        <v>4.36</v>
      </c>
      <c r="X5" s="10" t="n">
        <v>5.12</v>
      </c>
    </row>
    <row r="6">
      <c r="A6" s="6" t="inlineStr">
        <is>
          <t>2026-09-05</t>
        </is>
      </c>
      <c r="B6" s="6" t="inlineStr">
        <is>
          <t>Colchester United</t>
        </is>
      </c>
      <c r="C6" s="6" t="inlineStr">
        <is>
          <t>Home</t>
        </is>
      </c>
      <c r="D6" s="6" t="n">
        <v>3</v>
      </c>
      <c r="E6" s="6" t="n">
        <v>1</v>
      </c>
      <c r="F6" s="9" t="n">
        <v>1.4</v>
      </c>
      <c r="G6" s="9" t="n">
        <v>1.34</v>
      </c>
      <c r="H6" s="9" t="n">
        <v>2.06</v>
      </c>
      <c r="I6" s="9" t="n">
        <v>1.49</v>
      </c>
      <c r="J6" s="9" t="n">
        <v>0.66</v>
      </c>
      <c r="K6" s="9" t="n">
        <v>0.15</v>
      </c>
      <c r="L6" s="9" t="n">
        <v>-0.14</v>
      </c>
      <c r="M6" s="9" t="n">
        <v>0.01</v>
      </c>
      <c r="N6" s="9" t="n">
        <v>0.49</v>
      </c>
      <c r="O6" s="9" t="n">
        <v>0.36</v>
      </c>
      <c r="P6" s="9" t="n">
        <v>-0.16</v>
      </c>
      <c r="Q6" s="9" t="n">
        <v>0.24</v>
      </c>
      <c r="R6" s="9">
        <f>(H6-I6)-(F6-G6)</f>
        <v/>
      </c>
      <c r="S6" s="9">
        <f>(H6+I6)-(F6+G6)</f>
        <v/>
      </c>
      <c r="T6" s="9" t="n">
        <v>1.74</v>
      </c>
      <c r="U6" s="9" t="n">
        <v>1.41</v>
      </c>
      <c r="V6" s="9" t="n">
        <v>0.32</v>
      </c>
      <c r="W6" s="9" t="n">
        <v>6.1</v>
      </c>
      <c r="X6" s="9" t="n">
        <v>6.54</v>
      </c>
    </row>
    <row r="7">
      <c r="A7" s="8" t="inlineStr">
        <is>
          <t>2026-09-12</t>
        </is>
      </c>
      <c r="B7" s="8" t="inlineStr">
        <is>
          <t>York</t>
        </is>
      </c>
      <c r="C7" s="8" t="inlineStr">
        <is>
          <t>Away</t>
        </is>
      </c>
      <c r="D7" s="8" t="n">
        <v>0</v>
      </c>
      <c r="E7" s="8" t="n">
        <v>4</v>
      </c>
      <c r="F7" s="10" t="n">
        <v>1.07</v>
      </c>
      <c r="G7" s="10" t="n">
        <v>2.02</v>
      </c>
      <c r="H7" s="10" t="n">
        <v>0.49</v>
      </c>
      <c r="I7" s="10" t="n">
        <v>2.59</v>
      </c>
      <c r="J7" s="10" t="n">
        <v>-0.58</v>
      </c>
      <c r="K7" s="10" t="n">
        <v>0.57</v>
      </c>
      <c r="L7" s="10" t="n">
        <v>-0.22</v>
      </c>
      <c r="M7" s="10" t="n">
        <v>0.1</v>
      </c>
      <c r="N7" s="10" t="n">
        <v>-0.62</v>
      </c>
      <c r="O7" s="10" t="n">
        <v>0.26</v>
      </c>
      <c r="P7" s="10" t="n">
        <v>-0.23</v>
      </c>
      <c r="Q7" s="10" t="n">
        <v>0.25</v>
      </c>
      <c r="R7" s="10">
        <f>(H7-I7)-(F7-G7)</f>
        <v/>
      </c>
      <c r="S7" s="10">
        <f>(H7+I7)-(F7+G7)</f>
        <v/>
      </c>
      <c r="T7" s="10" t="n">
        <v>0.28</v>
      </c>
      <c r="U7" s="10" t="n">
        <v>0.8</v>
      </c>
      <c r="V7" s="10" t="n">
        <v>-0.52</v>
      </c>
      <c r="W7" s="10" t="n">
        <v>6.37</v>
      </c>
      <c r="X7" s="10" t="n">
        <v>7.33</v>
      </c>
    </row>
    <row r="8">
      <c r="A8" s="6" t="inlineStr">
        <is>
          <t>2026-09-19</t>
        </is>
      </c>
      <c r="B8" s="6" t="inlineStr">
        <is>
          <t>Salford City</t>
        </is>
      </c>
      <c r="C8" s="6" t="inlineStr">
        <is>
          <t>Away</t>
        </is>
      </c>
      <c r="D8" s="6" t="n">
        <v>0</v>
      </c>
      <c r="E8" s="6" t="n">
        <v>1</v>
      </c>
      <c r="F8" s="9" t="n">
        <v>1.06</v>
      </c>
      <c r="G8" s="9" t="n">
        <v>2.08</v>
      </c>
      <c r="H8" s="9" t="n">
        <v>1.12</v>
      </c>
      <c r="I8" s="9" t="n">
        <v>1.25</v>
      </c>
      <c r="J8" s="9" t="n">
        <v>0.06</v>
      </c>
      <c r="K8" s="9" t="n">
        <v>-0.83</v>
      </c>
      <c r="L8" s="9" t="n">
        <v>-0.05</v>
      </c>
      <c r="M8" s="9" t="n">
        <v>0.09</v>
      </c>
      <c r="N8" s="9" t="n">
        <v>0.1</v>
      </c>
      <c r="O8" s="9" t="n">
        <v>-0.48</v>
      </c>
      <c r="P8" s="9" t="n">
        <v>-0.06</v>
      </c>
      <c r="Q8" s="9" t="n">
        <v>0.18</v>
      </c>
      <c r="R8" s="9">
        <f>(H8-I8)-(F8-G8)</f>
        <v/>
      </c>
      <c r="S8" s="9">
        <f>(H8+I8)-(F8+G8)</f>
        <v/>
      </c>
      <c r="T8" s="9" t="n">
        <v>1.27</v>
      </c>
      <c r="U8" s="9" t="n">
        <v>0.76</v>
      </c>
      <c r="V8" s="9" t="n">
        <v>0.51</v>
      </c>
      <c r="W8" s="9" t="n">
        <v>7.64</v>
      </c>
      <c r="X8" s="9" t="n">
        <v>8.09</v>
      </c>
    </row>
    <row r="9">
      <c r="A9" s="8" t="inlineStr">
        <is>
          <t>2026-09-26</t>
        </is>
      </c>
      <c r="B9" s="8" t="inlineStr">
        <is>
          <t>Accrington Stanley</t>
        </is>
      </c>
      <c r="C9" s="8" t="inlineStr">
        <is>
          <t>Home</t>
        </is>
      </c>
      <c r="D9" s="8" t="n">
        <v>1</v>
      </c>
      <c r="E9" s="8" t="n">
        <v>1</v>
      </c>
      <c r="F9" s="10" t="n">
        <v>1.54</v>
      </c>
      <c r="G9" s="10" t="n">
        <v>1.25</v>
      </c>
      <c r="H9" s="10" t="n">
        <v>1.83</v>
      </c>
      <c r="I9" s="10" t="n">
        <v>1.5</v>
      </c>
      <c r="J9" s="10" t="n">
        <v>0.29</v>
      </c>
      <c r="K9" s="10" t="n">
        <v>0.25</v>
      </c>
      <c r="L9" s="10" t="n">
        <v>0.12</v>
      </c>
      <c r="M9" s="10" t="n">
        <v>0.12</v>
      </c>
      <c r="N9" s="10" t="n">
        <v>0.39</v>
      </c>
      <c r="O9" s="10" t="n">
        <v>-0.16</v>
      </c>
      <c r="P9" s="10" t="n">
        <v>0.16</v>
      </c>
      <c r="Q9" s="10" t="n">
        <v>0.13</v>
      </c>
      <c r="R9" s="10">
        <f>(H9-I9)-(F9-G9)</f>
        <v/>
      </c>
      <c r="S9" s="10">
        <f>(H9+I9)-(F9+G9)</f>
        <v/>
      </c>
      <c r="T9" s="10" t="n">
        <v>1.59</v>
      </c>
      <c r="U9" s="10" t="n">
        <v>1.57</v>
      </c>
      <c r="V9" s="10" t="n">
        <v>0.02</v>
      </c>
      <c r="W9" s="10" t="n">
        <v>9.23</v>
      </c>
      <c r="X9" s="10" t="n">
        <v>9.66</v>
      </c>
    </row>
    <row r="10">
      <c r="A10" s="6" t="inlineStr">
        <is>
          <t>2026-10-03</t>
        </is>
      </c>
      <c r="B10" s="6" t="inlineStr">
        <is>
          <t>Rochdale</t>
        </is>
      </c>
      <c r="C10" s="6" t="inlineStr">
        <is>
          <t>Away</t>
        </is>
      </c>
      <c r="D10" s="6" t="n">
        <v>0</v>
      </c>
      <c r="E10" s="6" t="n">
        <v>1</v>
      </c>
      <c r="F10" s="9" t="n">
        <v>1.3</v>
      </c>
      <c r="G10" s="9" t="n">
        <v>1.51</v>
      </c>
      <c r="H10" s="9" t="n">
        <v>1.08</v>
      </c>
      <c r="I10" s="9" t="n">
        <v>1.64</v>
      </c>
      <c r="J10" s="9" t="n">
        <v>-0.22</v>
      </c>
      <c r="K10" s="9" t="n">
        <v>0.13</v>
      </c>
      <c r="L10" s="9" t="n">
        <v>0.25</v>
      </c>
      <c r="M10" s="9" t="n">
        <v>-0.04</v>
      </c>
      <c r="N10" s="9" t="n">
        <v>-0.51</v>
      </c>
      <c r="O10" s="9" t="n">
        <v>0.7</v>
      </c>
      <c r="P10" s="9" t="n">
        <v>0.27</v>
      </c>
      <c r="Q10" s="9" t="n">
        <v>0.02</v>
      </c>
      <c r="R10" s="9">
        <f>(H10-I10)-(F10-G10)</f>
        <v/>
      </c>
      <c r="S10" s="9">
        <f>(H10+I10)-(F10+G10)</f>
        <v/>
      </c>
      <c r="T10" s="9" t="n">
        <v>1</v>
      </c>
      <c r="U10" s="9" t="n">
        <v>1.23</v>
      </c>
      <c r="V10" s="9" t="n">
        <v>-0.23</v>
      </c>
      <c r="W10" s="9" t="n">
        <v>10.23</v>
      </c>
      <c r="X10" s="9" t="n">
        <v>10.89</v>
      </c>
    </row>
    <row r="11">
      <c r="A11" s="8" t="inlineStr">
        <is>
          <t>2026-10-10</t>
        </is>
      </c>
      <c r="B11" s="8" t="inlineStr">
        <is>
          <t>Crewe Alexandra</t>
        </is>
      </c>
      <c r="C11" s="8" t="inlineStr">
        <is>
          <t>Home</t>
        </is>
      </c>
      <c r="D11" s="8" t="n">
        <v>0</v>
      </c>
      <c r="E11" s="8" t="n">
        <v>1</v>
      </c>
      <c r="F11" s="10" t="n">
        <v>1.42</v>
      </c>
      <c r="G11" s="10" t="n">
        <v>1.45</v>
      </c>
      <c r="H11" s="10" t="n">
        <v>0.64</v>
      </c>
      <c r="I11" s="10" t="n">
        <v>1.61</v>
      </c>
      <c r="J11" s="10" t="n">
        <v>-0.78</v>
      </c>
      <c r="K11" s="10" t="n">
        <v>0.16</v>
      </c>
      <c r="L11" s="10" t="n">
        <v>-0.09</v>
      </c>
      <c r="M11" s="10" t="n">
        <v>0.07000000000000001</v>
      </c>
      <c r="N11" s="10" t="n">
        <v>-0.73</v>
      </c>
      <c r="O11" s="10" t="n">
        <v>0.38</v>
      </c>
      <c r="P11" s="10" t="n">
        <v>-0.15</v>
      </c>
      <c r="Q11" s="10" t="n">
        <v>0.18</v>
      </c>
      <c r="R11" s="10">
        <f>(H11-I11)-(F11-G11)</f>
        <v/>
      </c>
      <c r="S11" s="10">
        <f>(H11+I11)-(F11+G11)</f>
        <v/>
      </c>
      <c r="T11" s="10" t="n">
        <v>0.68</v>
      </c>
      <c r="U11" s="10" t="n">
        <v>1.35</v>
      </c>
      <c r="V11" s="10" t="n">
        <v>-0.67</v>
      </c>
      <c r="W11" s="10" t="n">
        <v>10.91</v>
      </c>
      <c r="X11" s="10" t="n">
        <v>12.25</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9</v>
      </c>
      <c r="D39" s="15" t="n">
        <v>5</v>
      </c>
      <c r="E39" s="19" t="n">
        <v>0.13</v>
      </c>
      <c r="F39" s="19" t="n">
        <v>0.04</v>
      </c>
      <c r="G39" s="19" t="n">
        <v>0.17</v>
      </c>
      <c r="H39" s="19" t="n">
        <v>0.55</v>
      </c>
    </row>
    <row r="40">
      <c r="A40" s="15" t="inlineStr">
        <is>
          <t>Away</t>
        </is>
      </c>
      <c r="B40" s="15" t="n">
        <v>5</v>
      </c>
      <c r="C40" s="15" t="n">
        <v>0</v>
      </c>
      <c r="D40" s="15" t="n">
        <v>9</v>
      </c>
      <c r="E40" s="19" t="n">
        <v>-0.59</v>
      </c>
      <c r="F40" s="19" t="n">
        <v>-0.35</v>
      </c>
      <c r="G40" s="19" t="n">
        <v>-0.49</v>
      </c>
      <c r="H40" s="19" t="n">
        <v>-0.09</v>
      </c>
    </row>
    <row r="41">
      <c r="A41" s="20" t="inlineStr">
        <is>
          <t>Total</t>
        </is>
      </c>
      <c r="B41" s="20" t="n">
        <v>10</v>
      </c>
      <c r="C41" s="20" t="n">
        <v>9</v>
      </c>
      <c r="D41" s="20" t="n">
        <v>14</v>
      </c>
      <c r="E41" s="21" t="n">
        <v>-0.23</v>
      </c>
      <c r="F41" s="21" t="n">
        <v>-0.27</v>
      </c>
      <c r="G41" s="21" t="n">
        <v>-0.16</v>
      </c>
      <c r="H41" s="21" t="n">
        <v>-0.05</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Shrewsbury Town</t>
        </is>
      </c>
      <c r="C2" s="6" t="inlineStr">
        <is>
          <t>Home</t>
        </is>
      </c>
      <c r="D2" s="6" t="n">
        <v>2</v>
      </c>
      <c r="E2" s="6" t="n">
        <v>0</v>
      </c>
      <c r="F2" s="9" t="n">
        <v>1.4</v>
      </c>
      <c r="G2" s="9" t="n">
        <v>1.1</v>
      </c>
      <c r="H2" s="9" t="n">
        <v>1.16</v>
      </c>
      <c r="I2" s="9" t="n">
        <v>1.28</v>
      </c>
      <c r="J2" s="9" t="n">
        <v>-0.24</v>
      </c>
      <c r="K2" s="9" t="n">
        <v>0.18</v>
      </c>
      <c r="L2" s="9" t="n">
        <v>-0.24</v>
      </c>
      <c r="M2" s="9" t="n">
        <v>0.18</v>
      </c>
      <c r="N2" s="9" t="n">
        <v>0.16</v>
      </c>
      <c r="O2" s="9" t="n">
        <v>0.03</v>
      </c>
      <c r="P2" s="9" t="n">
        <v>0.16</v>
      </c>
      <c r="Q2" s="9" t="n">
        <v>0.03</v>
      </c>
      <c r="R2" s="9">
        <f>(H2-I2)-(F2-G2)</f>
        <v/>
      </c>
      <c r="S2" s="9">
        <f>(H2+I2)-(F2+G2)</f>
        <v/>
      </c>
      <c r="T2" s="9" t="n">
        <v>1.28</v>
      </c>
      <c r="U2" s="9" t="n">
        <v>1.58</v>
      </c>
      <c r="V2" s="9" t="n">
        <v>-0.3</v>
      </c>
      <c r="W2" s="9" t="n">
        <v>1.28</v>
      </c>
      <c r="X2" s="9" t="n">
        <v>1.58</v>
      </c>
    </row>
    <row r="3">
      <c r="A3" s="8" t="inlineStr">
        <is>
          <t>2026-08-22</t>
        </is>
      </c>
      <c r="B3" s="8" t="inlineStr">
        <is>
          <t>Port Vale</t>
        </is>
      </c>
      <c r="C3" s="8" t="inlineStr">
        <is>
          <t>Away</t>
        </is>
      </c>
      <c r="D3" s="8" t="n">
        <v>1</v>
      </c>
      <c r="E3" s="8" t="n">
        <v>1</v>
      </c>
      <c r="F3" s="10" t="n">
        <v>0.87</v>
      </c>
      <c r="G3" s="10" t="n">
        <v>1.64</v>
      </c>
      <c r="H3" s="10" t="n">
        <v>0.71</v>
      </c>
      <c r="I3" s="10" t="n">
        <v>1.79</v>
      </c>
      <c r="J3" s="10" t="n">
        <v>-0.16</v>
      </c>
      <c r="K3" s="10" t="n">
        <v>0.15</v>
      </c>
      <c r="L3" s="10" t="n">
        <v>-0.2</v>
      </c>
      <c r="M3" s="10" t="n">
        <v>0.17</v>
      </c>
      <c r="N3" s="10" t="n">
        <v>0.09</v>
      </c>
      <c r="O3" s="10" t="n">
        <v>0.22</v>
      </c>
      <c r="P3" s="10" t="n">
        <v>0.12</v>
      </c>
      <c r="Q3" s="10" t="n">
        <v>0.12</v>
      </c>
      <c r="R3" s="10">
        <f>(H3-I3)-(F3-G3)</f>
        <v/>
      </c>
      <c r="S3" s="10">
        <f>(H3+I3)-(F3+G3)</f>
        <v/>
      </c>
      <c r="T3" s="10" t="n">
        <v>0.65</v>
      </c>
      <c r="U3" s="10" t="n">
        <v>0.84</v>
      </c>
      <c r="V3" s="10" t="n">
        <v>-0.19</v>
      </c>
      <c r="W3" s="10" t="n">
        <v>1.93</v>
      </c>
      <c r="X3" s="10" t="n">
        <v>2.42</v>
      </c>
    </row>
    <row r="4">
      <c r="A4" s="6" t="inlineStr">
        <is>
          <t>2026-08-29</t>
        </is>
      </c>
      <c r="B4" s="6" t="inlineStr">
        <is>
          <t>Newport County</t>
        </is>
      </c>
      <c r="C4" s="6" t="inlineStr">
        <is>
          <t>Away</t>
        </is>
      </c>
      <c r="D4" s="6" t="n">
        <v>2</v>
      </c>
      <c r="E4" s="6" t="n">
        <v>2</v>
      </c>
      <c r="F4" s="9" t="n">
        <v>1.23</v>
      </c>
      <c r="G4" s="9" t="n">
        <v>1.27</v>
      </c>
      <c r="H4" s="9" t="n">
        <v>0.9399999999999999</v>
      </c>
      <c r="I4" s="9" t="n">
        <v>1.06</v>
      </c>
      <c r="J4" s="9" t="n">
        <v>-0.29</v>
      </c>
      <c r="K4" s="9" t="n">
        <v>-0.21</v>
      </c>
      <c r="L4" s="9" t="n">
        <v>-0.23</v>
      </c>
      <c r="M4" s="9" t="n">
        <v>0.04</v>
      </c>
      <c r="N4" s="9" t="n">
        <v>0.08</v>
      </c>
      <c r="O4" s="9" t="n">
        <v>-0.21</v>
      </c>
      <c r="P4" s="9" t="n">
        <v>0.11</v>
      </c>
      <c r="Q4" s="9" t="n">
        <v>0.01</v>
      </c>
      <c r="R4" s="9">
        <f>(H4-I4)-(F4-G4)</f>
        <v/>
      </c>
      <c r="S4" s="9">
        <f>(H4+I4)-(F4+G4)</f>
        <v/>
      </c>
      <c r="T4" s="9" t="n">
        <v>1.25</v>
      </c>
      <c r="U4" s="9" t="n">
        <v>1.33</v>
      </c>
      <c r="V4" s="9" t="n">
        <v>-0.08</v>
      </c>
      <c r="W4" s="9" t="n">
        <v>3.18</v>
      </c>
      <c r="X4" s="9" t="n">
        <v>3.76</v>
      </c>
    </row>
    <row r="5">
      <c r="A5" s="8" t="inlineStr">
        <is>
          <t>2026-09-01</t>
        </is>
      </c>
      <c r="B5" s="8" t="inlineStr">
        <is>
          <t>Rotherham United</t>
        </is>
      </c>
      <c r="C5" s="8" t="inlineStr">
        <is>
          <t>Home</t>
        </is>
      </c>
      <c r="D5" s="8" t="n">
        <v>2</v>
      </c>
      <c r="E5" s="8" t="n">
        <v>2</v>
      </c>
      <c r="F5" s="10" t="n">
        <v>1.41</v>
      </c>
      <c r="G5" s="10" t="n">
        <v>1.12</v>
      </c>
      <c r="H5" s="10" t="n">
        <v>0.74</v>
      </c>
      <c r="I5" s="10" t="n">
        <v>2.02</v>
      </c>
      <c r="J5" s="10" t="n">
        <v>-0.67</v>
      </c>
      <c r="K5" s="10" t="n">
        <v>0.9</v>
      </c>
      <c r="L5" s="10" t="n">
        <v>-0.34</v>
      </c>
      <c r="M5" s="10" t="n">
        <v>0.26</v>
      </c>
      <c r="N5" s="10" t="n">
        <v>-0.6</v>
      </c>
      <c r="O5" s="10" t="n">
        <v>0.8100000000000001</v>
      </c>
      <c r="P5" s="10" t="n">
        <v>-0.07000000000000001</v>
      </c>
      <c r="Q5" s="10" t="n">
        <v>0.21</v>
      </c>
      <c r="R5" s="10">
        <f>(H5-I5)-(F5-G5)</f>
        <v/>
      </c>
      <c r="S5" s="10">
        <f>(H5+I5)-(F5+G5)</f>
        <v/>
      </c>
      <c r="T5" s="10" t="n">
        <v>0.58</v>
      </c>
      <c r="U5" s="10" t="n">
        <v>1.58</v>
      </c>
      <c r="V5" s="10" t="n">
        <v>-1</v>
      </c>
      <c r="W5" s="10" t="n">
        <v>3.76</v>
      </c>
      <c r="X5" s="10" t="n">
        <v>5.34</v>
      </c>
    </row>
    <row r="6">
      <c r="A6" s="6" t="inlineStr">
        <is>
          <t>2026-09-05</t>
        </is>
      </c>
      <c r="B6" s="6" t="inlineStr">
        <is>
          <t>Oldham Athletic</t>
        </is>
      </c>
      <c r="C6" s="6" t="inlineStr">
        <is>
          <t>Home</t>
        </is>
      </c>
      <c r="D6" s="6" t="n">
        <v>2</v>
      </c>
      <c r="E6" s="6" t="n">
        <v>0</v>
      </c>
      <c r="F6" s="9" t="n">
        <v>1.15</v>
      </c>
      <c r="G6" s="9" t="n">
        <v>1.41</v>
      </c>
      <c r="H6" s="9" t="n">
        <v>1.96</v>
      </c>
      <c r="I6" s="9" t="n">
        <v>1.94</v>
      </c>
      <c r="J6" s="9" t="n">
        <v>0.8100000000000001</v>
      </c>
      <c r="K6" s="9" t="n">
        <v>0.53</v>
      </c>
      <c r="L6" s="9" t="n">
        <v>-0.11</v>
      </c>
      <c r="M6" s="9" t="n">
        <v>0.31</v>
      </c>
      <c r="N6" s="9" t="n">
        <v>0.93</v>
      </c>
      <c r="O6" s="9" t="n">
        <v>0.68</v>
      </c>
      <c r="P6" s="9" t="n">
        <v>0.13</v>
      </c>
      <c r="Q6" s="9" t="n">
        <v>0.3</v>
      </c>
      <c r="R6" s="9">
        <f>(H6-I6)-(F6-G6)</f>
        <v/>
      </c>
      <c r="S6" s="9">
        <f>(H6+I6)-(F6+G6)</f>
        <v/>
      </c>
      <c r="T6" s="9" t="n">
        <v>1.41</v>
      </c>
      <c r="U6" s="9" t="n">
        <v>1.19</v>
      </c>
      <c r="V6" s="9" t="n">
        <v>0.22</v>
      </c>
      <c r="W6" s="9" t="n">
        <v>5.17</v>
      </c>
      <c r="X6" s="9" t="n">
        <v>6.52</v>
      </c>
    </row>
    <row r="7">
      <c r="A7" s="8" t="inlineStr">
        <is>
          <t>2026-09-12</t>
        </is>
      </c>
      <c r="B7" s="8" t="inlineStr">
        <is>
          <t>Gillingham</t>
        </is>
      </c>
      <c r="C7" s="8" t="inlineStr">
        <is>
          <t>Away</t>
        </is>
      </c>
      <c r="D7" s="8" t="n">
        <v>0</v>
      </c>
      <c r="E7" s="8" t="n">
        <v>2</v>
      </c>
      <c r="F7" s="10" t="n">
        <v>1.26</v>
      </c>
      <c r="G7" s="10" t="n">
        <v>1.28</v>
      </c>
      <c r="H7" s="10" t="n">
        <v>1.25</v>
      </c>
      <c r="I7" s="10" t="n">
        <v>1.49</v>
      </c>
      <c r="J7" s="10" t="n">
        <v>-0.01</v>
      </c>
      <c r="K7" s="10" t="n">
        <v>0.21</v>
      </c>
      <c r="L7" s="10" t="n">
        <v>-0.09</v>
      </c>
      <c r="M7" s="10" t="n">
        <v>0.29</v>
      </c>
      <c r="N7" s="10" t="n">
        <v>0.09</v>
      </c>
      <c r="O7" s="10" t="n">
        <v>0.16</v>
      </c>
      <c r="P7" s="10" t="n">
        <v>0.12</v>
      </c>
      <c r="Q7" s="10" t="n">
        <v>0.28</v>
      </c>
      <c r="R7" s="10">
        <f>(H7-I7)-(F7-G7)</f>
        <v/>
      </c>
      <c r="S7" s="10">
        <f>(H7+I7)-(F7+G7)</f>
        <v/>
      </c>
      <c r="T7" s="10" t="n">
        <v>1.21</v>
      </c>
      <c r="U7" s="10" t="n">
        <v>1.35</v>
      </c>
      <c r="V7" s="10" t="n">
        <v>-0.14</v>
      </c>
      <c r="W7" s="10" t="n">
        <v>6.38</v>
      </c>
      <c r="X7" s="10" t="n">
        <v>7.87</v>
      </c>
    </row>
    <row r="8">
      <c r="A8" s="6" t="inlineStr">
        <is>
          <t>2026-09-19</t>
        </is>
      </c>
      <c r="B8" s="6" t="inlineStr">
        <is>
          <t>Exeter</t>
        </is>
      </c>
      <c r="C8" s="6" t="inlineStr">
        <is>
          <t>Away</t>
        </is>
      </c>
      <c r="D8" s="6" t="n">
        <v>0</v>
      </c>
      <c r="E8" s="6" t="n">
        <v>0</v>
      </c>
      <c r="F8" s="9" t="n">
        <v>1.16</v>
      </c>
      <c r="G8" s="9" t="n">
        <v>1.45</v>
      </c>
      <c r="H8" s="9" t="n">
        <v>0.88</v>
      </c>
      <c r="I8" s="9" t="n">
        <v>0.73</v>
      </c>
      <c r="J8" s="9" t="n">
        <v>-0.28</v>
      </c>
      <c r="K8" s="9" t="n">
        <v>-0.72</v>
      </c>
      <c r="L8" s="9" t="n">
        <v>-0.1</v>
      </c>
      <c r="M8" s="9" t="n">
        <v>0.14</v>
      </c>
      <c r="N8" s="9" t="n">
        <v>0.08</v>
      </c>
      <c r="O8" s="9" t="n">
        <v>-0.8</v>
      </c>
      <c r="P8" s="9" t="n">
        <v>0.11</v>
      </c>
      <c r="Q8" s="9" t="n">
        <v>0.14</v>
      </c>
      <c r="R8" s="9">
        <f>(H8-I8)-(F8-G8)</f>
        <v/>
      </c>
      <c r="S8" s="9">
        <f>(H8+I8)-(F8+G8)</f>
        <v/>
      </c>
      <c r="T8" s="9" t="n">
        <v>1.45</v>
      </c>
      <c r="U8" s="9" t="n">
        <v>1.17</v>
      </c>
      <c r="V8" s="9" t="n">
        <v>0.28</v>
      </c>
      <c r="W8" s="9" t="n">
        <v>7.83</v>
      </c>
      <c r="X8" s="9" t="n">
        <v>9.039999999999999</v>
      </c>
    </row>
    <row r="9">
      <c r="A9" s="8" t="inlineStr">
        <is>
          <t>2026-09-26</t>
        </is>
      </c>
      <c r="B9" s="8" t="inlineStr">
        <is>
          <t>Walsall</t>
        </is>
      </c>
      <c r="C9" s="8" t="inlineStr">
        <is>
          <t>Home</t>
        </is>
      </c>
      <c r="D9" s="8" t="n">
        <v>1</v>
      </c>
      <c r="E9" s="8" t="n">
        <v>1</v>
      </c>
      <c r="F9" s="10" t="n">
        <v>1.38</v>
      </c>
      <c r="G9" s="10" t="n">
        <v>1.32</v>
      </c>
      <c r="H9" s="10" t="n">
        <v>2.26</v>
      </c>
      <c r="I9" s="10" t="n">
        <v>0.8100000000000001</v>
      </c>
      <c r="J9" s="10" t="n">
        <v>0.88</v>
      </c>
      <c r="K9" s="10" t="n">
        <v>-0.51</v>
      </c>
      <c r="L9" s="10" t="n">
        <v>0.07000000000000001</v>
      </c>
      <c r="M9" s="10" t="n">
        <v>0.03</v>
      </c>
      <c r="N9" s="10" t="n">
        <v>0.91</v>
      </c>
      <c r="O9" s="10" t="n">
        <v>-0.67</v>
      </c>
      <c r="P9" s="10" t="n">
        <v>0.25</v>
      </c>
      <c r="Q9" s="10" t="n">
        <v>-0.01</v>
      </c>
      <c r="R9" s="10">
        <f>(H9-I9)-(F9-G9)</f>
        <v/>
      </c>
      <c r="S9" s="10">
        <f>(H9+I9)-(F9+G9)</f>
        <v/>
      </c>
      <c r="T9" s="10" t="n">
        <v>2.29</v>
      </c>
      <c r="U9" s="10" t="n">
        <v>1.41</v>
      </c>
      <c r="V9" s="10" t="n">
        <v>0.88</v>
      </c>
      <c r="W9" s="10" t="n">
        <v>10.12</v>
      </c>
      <c r="X9" s="10" t="n">
        <v>10.45</v>
      </c>
    </row>
    <row r="10">
      <c r="A10" s="6" t="inlineStr">
        <is>
          <t>2026-10-03</t>
        </is>
      </c>
      <c r="B10" s="6" t="inlineStr">
        <is>
          <t>Chesterfield</t>
        </is>
      </c>
      <c r="C10" s="6" t="inlineStr">
        <is>
          <t>Away</t>
        </is>
      </c>
      <c r="D10" s="6" t="n">
        <v>2</v>
      </c>
      <c r="E10" s="6" t="n">
        <v>4</v>
      </c>
      <c r="F10" s="9" t="n">
        <v>1.03</v>
      </c>
      <c r="G10" s="9" t="n">
        <v>1.91</v>
      </c>
      <c r="H10" s="9" t="n">
        <v>0.52</v>
      </c>
      <c r="I10" s="9" t="n">
        <v>3.13</v>
      </c>
      <c r="J10" s="9" t="n">
        <v>-0.51</v>
      </c>
      <c r="K10" s="9" t="n">
        <v>1.22</v>
      </c>
      <c r="L10" s="9" t="n">
        <v>0.04</v>
      </c>
      <c r="M10" s="9" t="n">
        <v>0.27</v>
      </c>
      <c r="N10" s="9" t="n">
        <v>-0.58</v>
      </c>
      <c r="O10" s="9" t="n">
        <v>0.6899999999999999</v>
      </c>
      <c r="P10" s="9" t="n">
        <v>0.14</v>
      </c>
      <c r="Q10" s="9" t="n">
        <v>0.14</v>
      </c>
      <c r="R10" s="9">
        <f>(H10-I10)-(F10-G10)</f>
        <v/>
      </c>
      <c r="S10" s="9">
        <f>(H10+I10)-(F10+G10)</f>
        <v/>
      </c>
      <c r="T10" s="9" t="n">
        <v>0.19</v>
      </c>
      <c r="U10" s="9" t="n">
        <v>0.82</v>
      </c>
      <c r="V10" s="9" t="n">
        <v>-0.63</v>
      </c>
      <c r="W10" s="9" t="n">
        <v>10.31</v>
      </c>
      <c r="X10" s="9" t="n">
        <v>11.27</v>
      </c>
    </row>
    <row r="11">
      <c r="A11" s="8" t="inlineStr">
        <is>
          <t>2026-10-10</t>
        </is>
      </c>
      <c r="B11" s="8" t="inlineStr">
        <is>
          <t>Rochdale</t>
        </is>
      </c>
      <c r="C11" s="8" t="inlineStr">
        <is>
          <t>Home</t>
        </is>
      </c>
      <c r="D11" s="8" t="n">
        <v>1</v>
      </c>
      <c r="E11" s="8" t="n">
        <v>1</v>
      </c>
      <c r="F11" s="10" t="n">
        <v>1.59</v>
      </c>
      <c r="G11" s="10" t="n">
        <v>1.06</v>
      </c>
      <c r="H11" s="10" t="n">
        <v>1.68</v>
      </c>
      <c r="I11" s="10" t="n">
        <v>0.97</v>
      </c>
      <c r="J11" s="10" t="n">
        <v>0.09</v>
      </c>
      <c r="K11" s="10" t="n">
        <v>-0.09</v>
      </c>
      <c r="L11" s="10" t="n">
        <v>0.16</v>
      </c>
      <c r="M11" s="10" t="n">
        <v>0.1</v>
      </c>
      <c r="N11" s="10" t="n">
        <v>-0.16</v>
      </c>
      <c r="O11" s="10" t="n">
        <v>0.45</v>
      </c>
      <c r="P11" s="10" t="n">
        <v>0.21</v>
      </c>
      <c r="Q11" s="10" t="n">
        <v>0.08</v>
      </c>
      <c r="R11" s="10">
        <f>(H11-I11)-(F11-G11)</f>
        <v/>
      </c>
      <c r="S11" s="10">
        <f>(H11+I11)-(F11+G11)</f>
        <v/>
      </c>
      <c r="T11" s="10" t="n">
        <v>1.86</v>
      </c>
      <c r="U11" s="10" t="n">
        <v>1.74</v>
      </c>
      <c r="V11" s="10" t="n">
        <v>0.13</v>
      </c>
      <c r="W11" s="10" t="n">
        <v>12.17</v>
      </c>
      <c r="X11" s="10" t="n">
        <v>13.01</v>
      </c>
    </row>
    <row r="13">
      <c r="A13" s="12"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2"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8</v>
      </c>
      <c r="D39" s="15" t="n">
        <v>4</v>
      </c>
      <c r="E39" s="19" t="n">
        <v>-0.03</v>
      </c>
      <c r="F39" s="19" t="n">
        <v>0.18</v>
      </c>
      <c r="G39" s="19" t="n">
        <v>0.37</v>
      </c>
      <c r="H39" s="19" t="n">
        <v>0.23</v>
      </c>
    </row>
    <row r="40">
      <c r="A40" s="15" t="inlineStr">
        <is>
          <t>Away</t>
        </is>
      </c>
      <c r="B40" s="15" t="n">
        <v>5</v>
      </c>
      <c r="C40" s="15" t="n">
        <v>5</v>
      </c>
      <c r="D40" s="15" t="n">
        <v>9</v>
      </c>
      <c r="E40" s="19" t="n">
        <v>-0.38</v>
      </c>
      <c r="F40" s="19" t="n">
        <v>-0.22</v>
      </c>
      <c r="G40" s="19" t="n">
        <v>-0.12</v>
      </c>
      <c r="H40" s="19" t="n">
        <v>-0.01</v>
      </c>
    </row>
    <row r="41">
      <c r="A41" s="20" t="inlineStr">
        <is>
          <t>Total</t>
        </is>
      </c>
      <c r="B41" s="20" t="n">
        <v>10</v>
      </c>
      <c r="C41" s="20" t="n">
        <v>13</v>
      </c>
      <c r="D41" s="20" t="n">
        <v>13</v>
      </c>
      <c r="E41" s="21" t="n">
        <v>-0.21</v>
      </c>
      <c r="F41" s="21" t="n">
        <v>-0.15</v>
      </c>
      <c r="G41" s="21" t="n">
        <v>0.13</v>
      </c>
      <c r="H41" s="21" t="n">
        <v>0.1</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Gillingham</t>
        </is>
      </c>
      <c r="C2" s="6" t="inlineStr">
        <is>
          <t>Away</t>
        </is>
      </c>
      <c r="D2" s="6" t="n">
        <v>3</v>
      </c>
      <c r="E2" s="6" t="n">
        <v>0</v>
      </c>
      <c r="F2" s="9" t="n">
        <v>1.15</v>
      </c>
      <c r="G2" s="9" t="n">
        <v>1.43</v>
      </c>
      <c r="H2" s="9" t="n">
        <v>3.1</v>
      </c>
      <c r="I2" s="9" t="n">
        <v>1.45</v>
      </c>
      <c r="J2" s="9" t="n">
        <v>1.95</v>
      </c>
      <c r="K2" s="9" t="n">
        <v>0.02</v>
      </c>
      <c r="L2" s="9" t="n">
        <v>1.95</v>
      </c>
      <c r="M2" s="9" t="n">
        <v>0.02</v>
      </c>
      <c r="N2" s="9" t="n">
        <v>2.27</v>
      </c>
      <c r="O2" s="9" t="n">
        <v>-0.06</v>
      </c>
      <c r="P2" s="9" t="n">
        <v>2.27</v>
      </c>
      <c r="Q2" s="9" t="n">
        <v>-0.06</v>
      </c>
      <c r="R2" s="9">
        <f>(H2-I2)-(F2-G2)</f>
        <v/>
      </c>
      <c r="S2" s="9">
        <f>(H2+I2)-(F2+G2)</f>
        <v/>
      </c>
      <c r="T2" s="9" t="n">
        <v>2.26</v>
      </c>
      <c r="U2" s="9" t="n">
        <v>1.17</v>
      </c>
      <c r="V2" s="9" t="n">
        <v>1.09</v>
      </c>
      <c r="W2" s="9" t="n">
        <v>2.26</v>
      </c>
      <c r="X2" s="9" t="n">
        <v>1.17</v>
      </c>
    </row>
    <row r="3">
      <c r="A3" s="8" t="inlineStr">
        <is>
          <t>2026-08-22</t>
        </is>
      </c>
      <c r="B3" s="8" t="inlineStr">
        <is>
          <t>Grimsby Town</t>
        </is>
      </c>
      <c r="C3" s="8" t="inlineStr">
        <is>
          <t>Home</t>
        </is>
      </c>
      <c r="D3" s="8" t="n">
        <v>0</v>
      </c>
      <c r="E3" s="8" t="n">
        <v>0</v>
      </c>
      <c r="F3" s="10" t="n">
        <v>1.21</v>
      </c>
      <c r="G3" s="10" t="n">
        <v>1.31</v>
      </c>
      <c r="H3" s="10" t="n">
        <v>1.21</v>
      </c>
      <c r="I3" s="10" t="n">
        <v>0.9</v>
      </c>
      <c r="J3" s="10" t="n">
        <v>0</v>
      </c>
      <c r="K3" s="10" t="n">
        <v>-0.41</v>
      </c>
      <c r="L3" s="10" t="n">
        <v>0.98</v>
      </c>
      <c r="M3" s="10" t="n">
        <v>-0.2</v>
      </c>
      <c r="N3" s="10" t="n">
        <v>-0.32</v>
      </c>
      <c r="O3" s="10" t="n">
        <v>-0.74</v>
      </c>
      <c r="P3" s="10" t="n">
        <v>0.98</v>
      </c>
      <c r="Q3" s="10" t="n">
        <v>-0.4</v>
      </c>
      <c r="R3" s="10">
        <f>(H3-I3)-(F3-G3)</f>
        <v/>
      </c>
      <c r="S3" s="10">
        <f>(H3+I3)-(F3+G3)</f>
        <v/>
      </c>
      <c r="T3" s="10" t="n">
        <v>1.59</v>
      </c>
      <c r="U3" s="10" t="n">
        <v>1.29</v>
      </c>
      <c r="V3" s="10" t="n">
        <v>0.3</v>
      </c>
      <c r="W3" s="10" t="n">
        <v>3.85</v>
      </c>
      <c r="X3" s="10" t="n">
        <v>2.46</v>
      </c>
    </row>
    <row r="4">
      <c r="A4" s="6" t="inlineStr">
        <is>
          <t>2026-08-29</t>
        </is>
      </c>
      <c r="B4" s="6" t="inlineStr">
        <is>
          <t>Accrington Stanley</t>
        </is>
      </c>
      <c r="C4" s="6" t="inlineStr">
        <is>
          <t>Home</t>
        </is>
      </c>
      <c r="D4" s="6" t="n">
        <v>3</v>
      </c>
      <c r="E4" s="6" t="n">
        <v>2</v>
      </c>
      <c r="F4" s="9" t="n">
        <v>1.58</v>
      </c>
      <c r="G4" s="9" t="n">
        <v>0.97</v>
      </c>
      <c r="H4" s="9" t="n">
        <v>2.22</v>
      </c>
      <c r="I4" s="9" t="n">
        <v>2.29</v>
      </c>
      <c r="J4" s="9" t="n">
        <v>0.64</v>
      </c>
      <c r="K4" s="9" t="n">
        <v>1.32</v>
      </c>
      <c r="L4" s="9" t="n">
        <v>0.87</v>
      </c>
      <c r="M4" s="9" t="n">
        <v>0.31</v>
      </c>
      <c r="N4" s="9" t="n">
        <v>0.78</v>
      </c>
      <c r="O4" s="9" t="n">
        <v>1.02</v>
      </c>
      <c r="P4" s="9" t="n">
        <v>0.91</v>
      </c>
      <c r="Q4" s="9" t="n">
        <v>0.08</v>
      </c>
      <c r="R4" s="9">
        <f>(H4-I4)-(F4-G4)</f>
        <v/>
      </c>
      <c r="S4" s="9">
        <f>(H4+I4)-(F4+G4)</f>
        <v/>
      </c>
      <c r="T4" s="9" t="n">
        <v>1.36</v>
      </c>
      <c r="U4" s="9" t="n">
        <v>1.8</v>
      </c>
      <c r="V4" s="9" t="n">
        <v>-0.44</v>
      </c>
      <c r="W4" s="9" t="n">
        <v>5.21</v>
      </c>
      <c r="X4" s="9" t="n">
        <v>4.26</v>
      </c>
    </row>
    <row r="5">
      <c r="A5" s="8" t="inlineStr">
        <is>
          <t>2026-09-01</t>
        </is>
      </c>
      <c r="B5" s="8" t="inlineStr">
        <is>
          <t>Crewe Alexandra</t>
        </is>
      </c>
      <c r="C5" s="8" t="inlineStr">
        <is>
          <t>Away</t>
        </is>
      </c>
      <c r="D5" s="8" t="n">
        <v>2</v>
      </c>
      <c r="E5" s="8" t="n">
        <v>2</v>
      </c>
      <c r="F5" s="10" t="n">
        <v>1.27</v>
      </c>
      <c r="G5" s="10" t="n">
        <v>1.52</v>
      </c>
      <c r="H5" s="10" t="n">
        <v>1.82</v>
      </c>
      <c r="I5" s="10" t="n">
        <v>1.49</v>
      </c>
      <c r="J5" s="10" t="n">
        <v>0.55</v>
      </c>
      <c r="K5" s="10" t="n">
        <v>-0.03</v>
      </c>
      <c r="L5" s="10" t="n">
        <v>0.79</v>
      </c>
      <c r="M5" s="10" t="n">
        <v>0.23</v>
      </c>
      <c r="N5" s="10" t="n">
        <v>0.74</v>
      </c>
      <c r="O5" s="10" t="n">
        <v>0.17</v>
      </c>
      <c r="P5" s="10" t="n">
        <v>0.87</v>
      </c>
      <c r="Q5" s="10" t="n">
        <v>0.1</v>
      </c>
      <c r="R5" s="10">
        <f>(H5-I5)-(F5-G5)</f>
        <v/>
      </c>
      <c r="S5" s="10">
        <f>(H5+I5)-(F5+G5)</f>
        <v/>
      </c>
      <c r="T5" s="10" t="n">
        <v>1.59</v>
      </c>
      <c r="U5" s="10" t="n">
        <v>1.21</v>
      </c>
      <c r="V5" s="10" t="n">
        <v>0.39</v>
      </c>
      <c r="W5" s="10" t="n">
        <v>6.81</v>
      </c>
      <c r="X5" s="10" t="n">
        <v>5.47</v>
      </c>
    </row>
    <row r="6">
      <c r="A6" s="6" t="inlineStr">
        <is>
          <t>2026-09-05</t>
        </is>
      </c>
      <c r="B6" s="6" t="inlineStr">
        <is>
          <t>Exeter</t>
        </is>
      </c>
      <c r="C6" s="6" t="inlineStr">
        <is>
          <t>Away</t>
        </is>
      </c>
      <c r="D6" s="6" t="n">
        <v>0</v>
      </c>
      <c r="E6" s="6" t="n">
        <v>0</v>
      </c>
      <c r="F6" s="9" t="n">
        <v>1.35</v>
      </c>
      <c r="G6" s="9" t="n">
        <v>1.41</v>
      </c>
      <c r="H6" s="9" t="n">
        <v>0.4</v>
      </c>
      <c r="I6" s="9" t="n">
        <v>1.52</v>
      </c>
      <c r="J6" s="9" t="n">
        <v>-0.95</v>
      </c>
      <c r="K6" s="9" t="n">
        <v>0.11</v>
      </c>
      <c r="L6" s="9" t="n">
        <v>0.44</v>
      </c>
      <c r="M6" s="9" t="n">
        <v>0.2</v>
      </c>
      <c r="N6" s="9" t="n">
        <v>-0.66</v>
      </c>
      <c r="O6" s="9" t="n">
        <v>0.12</v>
      </c>
      <c r="P6" s="9" t="n">
        <v>0.5600000000000001</v>
      </c>
      <c r="Q6" s="9" t="n">
        <v>0.1</v>
      </c>
      <c r="R6" s="9">
        <f>(H6-I6)-(F6-G6)</f>
        <v/>
      </c>
      <c r="S6" s="9">
        <f>(H6+I6)-(F6+G6)</f>
        <v/>
      </c>
      <c r="T6" s="9" t="n">
        <v>0.53</v>
      </c>
      <c r="U6" s="9" t="n">
        <v>1.33</v>
      </c>
      <c r="V6" s="9" t="n">
        <v>-0.8</v>
      </c>
      <c r="W6" s="9" t="n">
        <v>7.34</v>
      </c>
      <c r="X6" s="9" t="n">
        <v>6.8</v>
      </c>
    </row>
    <row r="7">
      <c r="A7" s="8" t="inlineStr">
        <is>
          <t>2026-09-12</t>
        </is>
      </c>
      <c r="B7" s="8" t="inlineStr">
        <is>
          <t>Rochdale</t>
        </is>
      </c>
      <c r="C7" s="8" t="inlineStr">
        <is>
          <t>Home</t>
        </is>
      </c>
      <c r="D7" s="8" t="n">
        <v>0</v>
      </c>
      <c r="E7" s="8" t="n">
        <v>0</v>
      </c>
      <c r="F7" s="10" t="n">
        <v>1.82</v>
      </c>
      <c r="G7" s="10" t="n">
        <v>1.02</v>
      </c>
      <c r="H7" s="10" t="n">
        <v>1.76</v>
      </c>
      <c r="I7" s="10" t="n">
        <v>0.43</v>
      </c>
      <c r="J7" s="10" t="n">
        <v>-0.06</v>
      </c>
      <c r="K7" s="10" t="n">
        <v>-0.59</v>
      </c>
      <c r="L7" s="10" t="n">
        <v>0.36</v>
      </c>
      <c r="M7" s="10" t="n">
        <v>0.07000000000000001</v>
      </c>
      <c r="N7" s="10" t="n">
        <v>-0.33</v>
      </c>
      <c r="O7" s="10" t="n">
        <v>-0.1</v>
      </c>
      <c r="P7" s="10" t="n">
        <v>0.41</v>
      </c>
      <c r="Q7" s="10" t="n">
        <v>0.07000000000000001</v>
      </c>
      <c r="R7" s="10">
        <f>(H7-I7)-(F7-G7)</f>
        <v/>
      </c>
      <c r="S7" s="10">
        <f>(H7+I7)-(F7+G7)</f>
        <v/>
      </c>
      <c r="T7" s="10" t="n">
        <v>2.32</v>
      </c>
      <c r="U7" s="10" t="n">
        <v>1.92</v>
      </c>
      <c r="V7" s="10" t="n">
        <v>0.41</v>
      </c>
      <c r="W7" s="10" t="n">
        <v>9.66</v>
      </c>
      <c r="X7" s="10" t="n">
        <v>8.710000000000001</v>
      </c>
    </row>
    <row r="8">
      <c r="A8" s="6" t="inlineStr">
        <is>
          <t>2026-09-19</t>
        </is>
      </c>
      <c r="B8" s="6" t="inlineStr">
        <is>
          <t>Port Vale</t>
        </is>
      </c>
      <c r="C8" s="6" t="inlineStr">
        <is>
          <t>Home</t>
        </is>
      </c>
      <c r="D8" s="6" t="n">
        <v>2</v>
      </c>
      <c r="E8" s="6" t="n">
        <v>0</v>
      </c>
      <c r="F8" s="9" t="n">
        <v>1.36</v>
      </c>
      <c r="G8" s="9" t="n">
        <v>1.26</v>
      </c>
      <c r="H8" s="9" t="n">
        <v>0.87</v>
      </c>
      <c r="I8" s="9" t="n">
        <v>0.54</v>
      </c>
      <c r="J8" s="9" t="n">
        <v>-0.49</v>
      </c>
      <c r="K8" s="9" t="n">
        <v>-0.72</v>
      </c>
      <c r="L8" s="9" t="n">
        <v>-0.05</v>
      </c>
      <c r="M8" s="9" t="n">
        <v>-0.05</v>
      </c>
      <c r="N8" s="9" t="n">
        <v>-0.29</v>
      </c>
      <c r="O8" s="9" t="n">
        <v>-0.77</v>
      </c>
      <c r="P8" s="9" t="n">
        <v>-0.01</v>
      </c>
      <c r="Q8" s="9" t="n">
        <v>-0.05</v>
      </c>
      <c r="R8" s="9">
        <f>(H8-I8)-(F8-G8)</f>
        <v/>
      </c>
      <c r="S8" s="9">
        <f>(H8+I8)-(F8+G8)</f>
        <v/>
      </c>
      <c r="T8" s="9" t="n">
        <v>1.61</v>
      </c>
      <c r="U8" s="9" t="n">
        <v>1.44</v>
      </c>
      <c r="V8" s="9" t="n">
        <v>0.17</v>
      </c>
      <c r="W8" s="9" t="n">
        <v>11.27</v>
      </c>
      <c r="X8" s="9" t="n">
        <v>10.15</v>
      </c>
    </row>
    <row r="9">
      <c r="A9" s="8" t="inlineStr">
        <is>
          <t>2026-09-26</t>
        </is>
      </c>
      <c r="B9" s="8" t="inlineStr">
        <is>
          <t>Tranmere Rovers</t>
        </is>
      </c>
      <c r="C9" s="8" t="inlineStr">
        <is>
          <t>Away</t>
        </is>
      </c>
      <c r="D9" s="8" t="n">
        <v>1</v>
      </c>
      <c r="E9" s="8" t="n">
        <v>1</v>
      </c>
      <c r="F9" s="10" t="n">
        <v>1.32</v>
      </c>
      <c r="G9" s="10" t="n">
        <v>1.38</v>
      </c>
      <c r="H9" s="10" t="n">
        <v>0.8100000000000001</v>
      </c>
      <c r="I9" s="10" t="n">
        <v>2.26</v>
      </c>
      <c r="J9" s="10" t="n">
        <v>-0.51</v>
      </c>
      <c r="K9" s="10" t="n">
        <v>0.88</v>
      </c>
      <c r="L9" s="10" t="n">
        <v>-0.14</v>
      </c>
      <c r="M9" s="10" t="n">
        <v>0.16</v>
      </c>
      <c r="N9" s="10" t="n">
        <v>-0.76</v>
      </c>
      <c r="O9" s="10" t="n">
        <v>1.02</v>
      </c>
      <c r="P9" s="10" t="n">
        <v>-0.09</v>
      </c>
      <c r="Q9" s="10" t="n">
        <v>0.24</v>
      </c>
      <c r="R9" s="10">
        <f>(H9-I9)-(F9-G9)</f>
        <v/>
      </c>
      <c r="S9" s="10">
        <f>(H9+I9)-(F9+G9)</f>
        <v/>
      </c>
      <c r="T9" s="10" t="n">
        <v>0.54</v>
      </c>
      <c r="U9" s="10" t="n">
        <v>1.33</v>
      </c>
      <c r="V9" s="10" t="n">
        <v>-0.8</v>
      </c>
      <c r="W9" s="10" t="n">
        <v>11.8</v>
      </c>
      <c r="X9" s="10" t="n">
        <v>11.49</v>
      </c>
    </row>
    <row r="10">
      <c r="A10" s="6" t="inlineStr">
        <is>
          <t>2026-10-10</t>
        </is>
      </c>
      <c r="B10" s="6" t="inlineStr">
        <is>
          <t>Fleetwood Town</t>
        </is>
      </c>
      <c r="C10" s="6" t="inlineStr">
        <is>
          <t>Away</t>
        </is>
      </c>
      <c r="D10" s="6" t="n">
        <v>1</v>
      </c>
      <c r="E10" s="6" t="n">
        <v>1</v>
      </c>
      <c r="F10" s="9" t="n">
        <v>1.25</v>
      </c>
      <c r="G10" s="9" t="n">
        <v>1.5</v>
      </c>
      <c r="H10" s="9" t="n">
        <v>0.89</v>
      </c>
      <c r="I10" s="9" t="n">
        <v>1.57</v>
      </c>
      <c r="J10" s="9" t="n">
        <v>-0.36</v>
      </c>
      <c r="K10" s="9" t="n">
        <v>0.07000000000000001</v>
      </c>
      <c r="L10" s="9" t="n">
        <v>-0.31</v>
      </c>
      <c r="M10" s="9" t="n">
        <v>-0.05</v>
      </c>
      <c r="N10" s="9" t="n">
        <v>-0.87</v>
      </c>
      <c r="O10" s="9" t="n">
        <v>0.23</v>
      </c>
      <c r="P10" s="9" t="n">
        <v>-0.36</v>
      </c>
      <c r="Q10" s="9" t="n">
        <v>0.11</v>
      </c>
      <c r="R10" s="9">
        <f>(H10-I10)-(F10-G10)</f>
        <v/>
      </c>
      <c r="S10" s="9">
        <f>(H10+I10)-(F10+G10)</f>
        <v/>
      </c>
      <c r="T10" s="9" t="n">
        <v>0.89</v>
      </c>
      <c r="U10" s="9" t="n">
        <v>1.2</v>
      </c>
      <c r="V10" s="9" t="n">
        <v>-0.31</v>
      </c>
      <c r="W10" s="9" t="n">
        <v>12.7</v>
      </c>
      <c r="X10" s="9" t="n">
        <v>12.69</v>
      </c>
    </row>
    <row r="12">
      <c r="A12" s="12"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2"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4</v>
      </c>
      <c r="C38" s="15" t="n">
        <v>5</v>
      </c>
      <c r="D38" s="15" t="n">
        <v>2</v>
      </c>
      <c r="E38" s="19" t="n">
        <v>0.12</v>
      </c>
      <c r="F38" s="19" t="n">
        <v>0.32</v>
      </c>
      <c r="G38" s="19" t="n">
        <v>-0.08</v>
      </c>
      <c r="H38" s="19" t="n">
        <v>-0.53</v>
      </c>
    </row>
    <row r="39">
      <c r="A39" s="15" t="inlineStr">
        <is>
          <t>Away</t>
        </is>
      </c>
      <c r="B39" s="15" t="n">
        <v>5</v>
      </c>
      <c r="C39" s="15" t="n">
        <v>7</v>
      </c>
      <c r="D39" s="15" t="n">
        <v>4</v>
      </c>
      <c r="E39" s="19" t="n">
        <v>-0.07000000000000001</v>
      </c>
      <c r="F39" s="19" t="n">
        <v>-0.43</v>
      </c>
      <c r="G39" s="19" t="n">
        <v>0.34</v>
      </c>
      <c r="H39" s="19" t="n">
        <v>0.36</v>
      </c>
    </row>
    <row r="40">
      <c r="A40" s="20" t="inlineStr">
        <is>
          <t>Total</t>
        </is>
      </c>
      <c r="B40" s="20" t="n">
        <v>9</v>
      </c>
      <c r="C40" s="20" t="n">
        <v>12</v>
      </c>
      <c r="D40" s="20" t="n">
        <v>6</v>
      </c>
      <c r="E40" s="21" t="n">
        <v>0.01</v>
      </c>
      <c r="F40" s="21" t="n">
        <v>0.22</v>
      </c>
      <c r="G40" s="21" t="n">
        <v>0.16</v>
      </c>
      <c r="H40" s="21" t="n">
        <v>-0.29</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Bristol Rvs</t>
        </is>
      </c>
      <c r="C2" s="6" t="inlineStr">
        <is>
          <t>Home</t>
        </is>
      </c>
      <c r="D2" s="6" t="n">
        <v>3</v>
      </c>
      <c r="E2" s="6" t="n">
        <v>2</v>
      </c>
      <c r="F2" s="9" t="n">
        <v>1.41</v>
      </c>
      <c r="G2" s="9" t="n">
        <v>1.09</v>
      </c>
      <c r="H2" s="9" t="n">
        <v>1.93</v>
      </c>
      <c r="I2" s="9" t="n">
        <v>1.83</v>
      </c>
      <c r="J2" s="9" t="n">
        <v>0.52</v>
      </c>
      <c r="K2" s="9" t="n">
        <v>0.74</v>
      </c>
      <c r="L2" s="9" t="n">
        <v>0.52</v>
      </c>
      <c r="M2" s="9" t="n">
        <v>0.74</v>
      </c>
      <c r="N2" s="9" t="n">
        <v>0.46</v>
      </c>
      <c r="O2" s="9" t="n">
        <v>0.6899999999999999</v>
      </c>
      <c r="P2" s="9" t="n">
        <v>0.46</v>
      </c>
      <c r="Q2" s="9" t="n">
        <v>0.6899999999999999</v>
      </c>
      <c r="R2" s="9">
        <f>(H2-I2)-(F2-G2)</f>
        <v/>
      </c>
      <c r="S2" s="9">
        <f>(H2+I2)-(F2+G2)</f>
        <v/>
      </c>
      <c r="T2" s="9" t="n">
        <v>1.45</v>
      </c>
      <c r="U2" s="9" t="n">
        <v>1.59</v>
      </c>
      <c r="V2" s="9" t="n">
        <v>-0.14</v>
      </c>
      <c r="W2" s="9" t="n">
        <v>1.45</v>
      </c>
      <c r="X2" s="9" t="n">
        <v>1.59</v>
      </c>
    </row>
    <row r="3">
      <c r="A3" s="8" t="inlineStr">
        <is>
          <t>2026-08-22</t>
        </is>
      </c>
      <c r="B3" s="8" t="inlineStr">
        <is>
          <t>Rotherham United</t>
        </is>
      </c>
      <c r="C3" s="8" t="inlineStr">
        <is>
          <t>Away</t>
        </is>
      </c>
      <c r="D3" s="8" t="n">
        <v>1</v>
      </c>
      <c r="E3" s="8" t="n">
        <v>1</v>
      </c>
      <c r="F3" s="10" t="n">
        <v>1.3</v>
      </c>
      <c r="G3" s="10" t="n">
        <v>1.37</v>
      </c>
      <c r="H3" s="10" t="n">
        <v>2.32</v>
      </c>
      <c r="I3" s="10" t="n">
        <v>1</v>
      </c>
      <c r="J3" s="10" t="n">
        <v>1.02</v>
      </c>
      <c r="K3" s="10" t="n">
        <v>-0.37</v>
      </c>
      <c r="L3" s="10" t="n">
        <v>0.77</v>
      </c>
      <c r="M3" s="10" t="n">
        <v>0.18</v>
      </c>
      <c r="N3" s="10" t="n">
        <v>1.28</v>
      </c>
      <c r="O3" s="10" t="n">
        <v>-0.61</v>
      </c>
      <c r="P3" s="10" t="n">
        <v>0.87</v>
      </c>
      <c r="Q3" s="10" t="n">
        <v>0.04</v>
      </c>
      <c r="R3" s="10">
        <f>(H3-I3)-(F3-G3)</f>
        <v/>
      </c>
      <c r="S3" s="10">
        <f>(H3+I3)-(F3+G3)</f>
        <v/>
      </c>
      <c r="T3" s="10" t="n">
        <v>2.19</v>
      </c>
      <c r="U3" s="10" t="n">
        <v>1.32</v>
      </c>
      <c r="V3" s="10" t="n">
        <v>0.87</v>
      </c>
      <c r="W3" s="10" t="n">
        <v>3.64</v>
      </c>
      <c r="X3" s="10" t="n">
        <v>2.91</v>
      </c>
    </row>
    <row r="4">
      <c r="A4" s="6" t="inlineStr">
        <is>
          <t>2026-08-29</t>
        </is>
      </c>
      <c r="B4" s="6" t="inlineStr">
        <is>
          <t>Exeter</t>
        </is>
      </c>
      <c r="C4" s="6" t="inlineStr">
        <is>
          <t>Home</t>
        </is>
      </c>
      <c r="D4" s="6" t="n">
        <v>2</v>
      </c>
      <c r="E4" s="6" t="n">
        <v>1</v>
      </c>
      <c r="F4" s="9" t="n">
        <v>1.8</v>
      </c>
      <c r="G4" s="9" t="n">
        <v>0.96</v>
      </c>
      <c r="H4" s="9" t="n">
        <v>1.18</v>
      </c>
      <c r="I4" s="9" t="n">
        <v>0.89</v>
      </c>
      <c r="J4" s="9" t="n">
        <v>-0.62</v>
      </c>
      <c r="K4" s="9" t="n">
        <v>-0.07000000000000001</v>
      </c>
      <c r="L4" s="9" t="n">
        <v>0.31</v>
      </c>
      <c r="M4" s="9" t="n">
        <v>0.1</v>
      </c>
      <c r="N4" s="9" t="n">
        <v>-0.3</v>
      </c>
      <c r="O4" s="9" t="n">
        <v>-0.08</v>
      </c>
      <c r="P4" s="9" t="n">
        <v>0.48</v>
      </c>
      <c r="Q4" s="9" t="n">
        <v>0</v>
      </c>
      <c r="R4" s="9">
        <f>(H4-I4)-(F4-G4)</f>
        <v/>
      </c>
      <c r="S4" s="9">
        <f>(H4+I4)-(F4+G4)</f>
        <v/>
      </c>
      <c r="T4" s="9" t="n">
        <v>1.57</v>
      </c>
      <c r="U4" s="9" t="n">
        <v>1.95</v>
      </c>
      <c r="V4" s="9" t="n">
        <v>-0.37</v>
      </c>
      <c r="W4" s="9" t="n">
        <v>5.22</v>
      </c>
      <c r="X4" s="9" t="n">
        <v>4.86</v>
      </c>
    </row>
    <row r="5">
      <c r="A5" s="8" t="inlineStr">
        <is>
          <t>2026-09-01</t>
        </is>
      </c>
      <c r="B5" s="8" t="inlineStr">
        <is>
          <t>Cheltenham Town</t>
        </is>
      </c>
      <c r="C5" s="8" t="inlineStr">
        <is>
          <t>Away</t>
        </is>
      </c>
      <c r="D5" s="8" t="n">
        <v>2</v>
      </c>
      <c r="E5" s="8" t="n">
        <v>3</v>
      </c>
      <c r="F5" s="10" t="n">
        <v>1.7</v>
      </c>
      <c r="G5" s="10" t="n">
        <v>1.1</v>
      </c>
      <c r="H5" s="10" t="n">
        <v>2.59</v>
      </c>
      <c r="I5" s="10" t="n">
        <v>1.36</v>
      </c>
      <c r="J5" s="10" t="n">
        <v>0.89</v>
      </c>
      <c r="K5" s="10" t="n">
        <v>0.26</v>
      </c>
      <c r="L5" s="10" t="n">
        <v>0.45</v>
      </c>
      <c r="M5" s="10" t="n">
        <v>0.14</v>
      </c>
      <c r="N5" s="10" t="n">
        <v>0.8</v>
      </c>
      <c r="O5" s="10" t="n">
        <v>0.37</v>
      </c>
      <c r="P5" s="10" t="n">
        <v>0.5600000000000001</v>
      </c>
      <c r="Q5" s="10" t="n">
        <v>0.09</v>
      </c>
      <c r="R5" s="10">
        <f>(H5-I5)-(F5-G5)</f>
        <v/>
      </c>
      <c r="S5" s="10">
        <f>(H5+I5)-(F5+G5)</f>
        <v/>
      </c>
      <c r="T5" s="10" t="n">
        <v>2.09</v>
      </c>
      <c r="U5" s="10" t="n">
        <v>1.78</v>
      </c>
      <c r="V5" s="10" t="n">
        <v>0.31</v>
      </c>
      <c r="W5" s="10" t="n">
        <v>7.31</v>
      </c>
      <c r="X5" s="10" t="n">
        <v>6.64</v>
      </c>
    </row>
    <row r="6">
      <c r="A6" s="6" t="inlineStr">
        <is>
          <t>2026-09-05</t>
        </is>
      </c>
      <c r="B6" s="6" t="inlineStr">
        <is>
          <t>Crewe Alexandra</t>
        </is>
      </c>
      <c r="C6" s="6" t="inlineStr">
        <is>
          <t>Away</t>
        </is>
      </c>
      <c r="D6" s="6" t="n">
        <v>1</v>
      </c>
      <c r="E6" s="6" t="n">
        <v>1</v>
      </c>
      <c r="F6" s="9" t="n">
        <v>1.44</v>
      </c>
      <c r="G6" s="9" t="n">
        <v>1.28</v>
      </c>
      <c r="H6" s="9" t="n">
        <v>2.51</v>
      </c>
      <c r="I6" s="9" t="n">
        <v>1.14</v>
      </c>
      <c r="J6" s="9" t="n">
        <v>1.07</v>
      </c>
      <c r="K6" s="9" t="n">
        <v>-0.14</v>
      </c>
      <c r="L6" s="9" t="n">
        <v>0.58</v>
      </c>
      <c r="M6" s="9" t="n">
        <v>0.08</v>
      </c>
      <c r="N6" s="9" t="n">
        <v>1.32</v>
      </c>
      <c r="O6" s="9" t="n">
        <v>0.05</v>
      </c>
      <c r="P6" s="9" t="n">
        <v>0.71</v>
      </c>
      <c r="Q6" s="9" t="n">
        <v>0.09</v>
      </c>
      <c r="R6" s="9">
        <f>(H6-I6)-(F6-G6)</f>
        <v/>
      </c>
      <c r="S6" s="9">
        <f>(H6+I6)-(F6+G6)</f>
        <v/>
      </c>
      <c r="T6" s="9" t="n">
        <v>2.19</v>
      </c>
      <c r="U6" s="9" t="n">
        <v>1.48</v>
      </c>
      <c r="V6" s="9" t="n">
        <v>0.71</v>
      </c>
      <c r="W6" s="9" t="n">
        <v>9.5</v>
      </c>
      <c r="X6" s="9" t="n">
        <v>8.119999999999999</v>
      </c>
    </row>
    <row r="7">
      <c r="A7" s="8" t="inlineStr">
        <is>
          <t>2026-09-12</t>
        </is>
      </c>
      <c r="B7" s="8" t="inlineStr">
        <is>
          <t>Swindon Town</t>
        </is>
      </c>
      <c r="C7" s="8" t="inlineStr">
        <is>
          <t>Home</t>
        </is>
      </c>
      <c r="D7" s="8" t="n">
        <v>4</v>
      </c>
      <c r="E7" s="8" t="n">
        <v>0</v>
      </c>
      <c r="F7" s="10" t="n">
        <v>2.02</v>
      </c>
      <c r="G7" s="10" t="n">
        <v>1.07</v>
      </c>
      <c r="H7" s="10" t="n">
        <v>2.59</v>
      </c>
      <c r="I7" s="10" t="n">
        <v>0.49</v>
      </c>
      <c r="J7" s="10" t="n">
        <v>0.57</v>
      </c>
      <c r="K7" s="10" t="n">
        <v>-0.58</v>
      </c>
      <c r="L7" s="10" t="n">
        <v>0.58</v>
      </c>
      <c r="M7" s="10" t="n">
        <v>-0.03</v>
      </c>
      <c r="N7" s="10" t="n">
        <v>0.6</v>
      </c>
      <c r="O7" s="10" t="n">
        <v>-0.43</v>
      </c>
      <c r="P7" s="10" t="n">
        <v>0.6899999999999999</v>
      </c>
      <c r="Q7" s="10" t="n">
        <v>-0</v>
      </c>
      <c r="R7" s="10">
        <f>(H7-I7)-(F7-G7)</f>
        <v/>
      </c>
      <c r="S7" s="10">
        <f>(H7+I7)-(F7+G7)</f>
        <v/>
      </c>
      <c r="T7" s="10" t="n">
        <v>2.6</v>
      </c>
      <c r="U7" s="10" t="n">
        <v>1.99</v>
      </c>
      <c r="V7" s="10" t="n">
        <v>0.61</v>
      </c>
      <c r="W7" s="10" t="n">
        <v>12.1</v>
      </c>
      <c r="X7" s="10" t="n">
        <v>10.11</v>
      </c>
    </row>
    <row r="8">
      <c r="A8" s="6" t="inlineStr">
        <is>
          <t>2026-09-19</t>
        </is>
      </c>
      <c r="B8" s="6" t="inlineStr">
        <is>
          <t>Chesterfield</t>
        </is>
      </c>
      <c r="C8" s="6" t="inlineStr">
        <is>
          <t>Away</t>
        </is>
      </c>
      <c r="D8" s="6" t="n">
        <v>0</v>
      </c>
      <c r="E8" s="6" t="n">
        <v>2</v>
      </c>
      <c r="F8" s="9" t="n">
        <v>1.41</v>
      </c>
      <c r="G8" s="9" t="n">
        <v>1.5</v>
      </c>
      <c r="H8" s="9" t="n">
        <v>0.4</v>
      </c>
      <c r="I8" s="9" t="n">
        <v>2.11</v>
      </c>
      <c r="J8" s="9" t="n">
        <v>-1.01</v>
      </c>
      <c r="K8" s="9" t="n">
        <v>0.61</v>
      </c>
      <c r="L8" s="9" t="n">
        <v>0.32</v>
      </c>
      <c r="M8" s="9" t="n">
        <v>-0.05</v>
      </c>
      <c r="N8" s="9" t="n">
        <v>-1.14</v>
      </c>
      <c r="O8" s="9" t="n">
        <v>0.01</v>
      </c>
      <c r="P8" s="9" t="n">
        <v>0.43</v>
      </c>
      <c r="Q8" s="9" t="n">
        <v>-0.11</v>
      </c>
      <c r="R8" s="9">
        <f>(H8-I8)-(F8-G8)</f>
        <v/>
      </c>
      <c r="S8" s="9">
        <f>(H8+I8)-(F8+G8)</f>
        <v/>
      </c>
      <c r="T8" s="9" t="n">
        <v>0.34</v>
      </c>
      <c r="U8" s="9" t="n">
        <v>1.31</v>
      </c>
      <c r="V8" s="9" t="n">
        <v>-0.97</v>
      </c>
      <c r="W8" s="9" t="n">
        <v>12.44</v>
      </c>
      <c r="X8" s="9" t="n">
        <v>11.42</v>
      </c>
    </row>
    <row r="9">
      <c r="A9" s="8" t="inlineStr">
        <is>
          <t>2026-09-26</t>
        </is>
      </c>
      <c r="B9" s="8" t="inlineStr">
        <is>
          <t>Gillingham</t>
        </is>
      </c>
      <c r="C9" s="8" t="inlineStr">
        <is>
          <t>Home</t>
        </is>
      </c>
      <c r="D9" s="8" t="n">
        <v>3</v>
      </c>
      <c r="E9" s="8" t="n">
        <v>0</v>
      </c>
      <c r="F9" s="10" t="n">
        <v>2.08</v>
      </c>
      <c r="G9" s="10" t="n">
        <v>1</v>
      </c>
      <c r="H9" s="10" t="n">
        <v>2.21</v>
      </c>
      <c r="I9" s="10" t="n">
        <v>0.26</v>
      </c>
      <c r="J9" s="10" t="n">
        <v>0.13</v>
      </c>
      <c r="K9" s="10" t="n">
        <v>-0.74</v>
      </c>
      <c r="L9" s="10" t="n">
        <v>0.17</v>
      </c>
      <c r="M9" s="10" t="n">
        <v>-0.11</v>
      </c>
      <c r="N9" s="10" t="n">
        <v>0.25</v>
      </c>
      <c r="O9" s="10" t="n">
        <v>-0.9</v>
      </c>
      <c r="P9" s="10" t="n">
        <v>0.25</v>
      </c>
      <c r="Q9" s="10" t="n">
        <v>-0.16</v>
      </c>
      <c r="R9" s="10">
        <f>(H9-I9)-(F9-G9)</f>
        <v/>
      </c>
      <c r="S9" s="10">
        <f>(H9+I9)-(F9+G9)</f>
        <v/>
      </c>
      <c r="T9" s="10" t="n">
        <v>2.62</v>
      </c>
      <c r="U9" s="10" t="n">
        <v>2.08</v>
      </c>
      <c r="V9" s="10" t="n">
        <v>0.55</v>
      </c>
      <c r="W9" s="10" t="n">
        <v>15.06</v>
      </c>
      <c r="X9" s="10" t="n">
        <v>13.5</v>
      </c>
    </row>
    <row r="10">
      <c r="A10" s="6" t="inlineStr">
        <is>
          <t>2026-10-10</t>
        </is>
      </c>
      <c r="B10" s="6" t="inlineStr">
        <is>
          <t>Northampton Town</t>
        </is>
      </c>
      <c r="C10" s="6" t="inlineStr">
        <is>
          <t>Home</t>
        </is>
      </c>
      <c r="D10" s="6" t="n">
        <v>1</v>
      </c>
      <c r="E10" s="6" t="n">
        <v>1</v>
      </c>
      <c r="F10" s="9" t="n">
        <v>1.83</v>
      </c>
      <c r="G10" s="9" t="n">
        <v>0.95</v>
      </c>
      <c r="H10" s="9" t="n">
        <v>2.31</v>
      </c>
      <c r="I10" s="9" t="n">
        <v>0.98</v>
      </c>
      <c r="J10" s="9" t="n">
        <v>0.48</v>
      </c>
      <c r="K10" s="9" t="n">
        <v>0.03</v>
      </c>
      <c r="L10" s="9" t="n">
        <v>0.36</v>
      </c>
      <c r="M10" s="9" t="n">
        <v>-0.09</v>
      </c>
      <c r="N10" s="9" t="n">
        <v>0.71</v>
      </c>
      <c r="O10" s="9" t="n">
        <v>0.8</v>
      </c>
      <c r="P10" s="9" t="n">
        <v>0.42</v>
      </c>
      <c r="Q10" s="9" t="n">
        <v>-0.02</v>
      </c>
      <c r="R10" s="9">
        <f>(H10-I10)-(F10-G10)</f>
        <v/>
      </c>
      <c r="S10" s="9">
        <f>(H10+I10)-(F10+G10)</f>
        <v/>
      </c>
      <c r="T10" s="9" t="n">
        <v>2.2</v>
      </c>
      <c r="U10" s="9" t="n">
        <v>1.97</v>
      </c>
      <c r="V10" s="9" t="n">
        <v>0.23</v>
      </c>
      <c r="W10" s="9" t="n">
        <v>17.26</v>
      </c>
      <c r="X10" s="9" t="n">
        <v>15.46</v>
      </c>
    </row>
    <row r="12">
      <c r="A12" s="12"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2"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13</v>
      </c>
      <c r="D38" s="15" t="n">
        <v>4</v>
      </c>
      <c r="E38" s="19" t="n">
        <v>0.34</v>
      </c>
      <c r="F38" s="19" t="n">
        <v>0.45</v>
      </c>
      <c r="G38" s="19" t="n">
        <v>0.09</v>
      </c>
      <c r="H38" s="19" t="n">
        <v>-0.01</v>
      </c>
    </row>
    <row r="39">
      <c r="A39" s="15" t="inlineStr">
        <is>
          <t>Away</t>
        </is>
      </c>
      <c r="B39" s="15" t="n">
        <v>4</v>
      </c>
      <c r="C39" s="15" t="n">
        <v>4</v>
      </c>
      <c r="D39" s="15" t="n">
        <v>7</v>
      </c>
      <c r="E39" s="19" t="n">
        <v>0.41</v>
      </c>
      <c r="F39" s="19" t="n">
        <v>0.93</v>
      </c>
      <c r="G39" s="19" t="n">
        <v>0.58</v>
      </c>
      <c r="H39" s="19" t="n">
        <v>0.79</v>
      </c>
    </row>
    <row r="40">
      <c r="A40" s="20" t="inlineStr">
        <is>
          <t>Total</t>
        </is>
      </c>
      <c r="B40" s="20" t="n">
        <v>9</v>
      </c>
      <c r="C40" s="20" t="n">
        <v>17</v>
      </c>
      <c r="D40" s="20" t="n">
        <v>11</v>
      </c>
      <c r="E40" s="21" t="n">
        <v>0.37</v>
      </c>
      <c r="F40" s="21" t="n">
        <v>0.63</v>
      </c>
      <c r="G40" s="21" t="n">
        <v>0.31</v>
      </c>
      <c r="H40" s="21" t="n">
        <v>0.51</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cols>
    <col width="11" customWidth="1" min="1" max="1"/>
    <col width="19" customWidth="1" min="2" max="2"/>
    <col width="19"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2026-08-15</t>
        </is>
      </c>
      <c r="B2" t="inlineStr">
        <is>
          <t>Newport County</t>
        </is>
      </c>
      <c r="C2" t="inlineStr">
        <is>
          <t>Rochdale</t>
        </is>
      </c>
      <c r="D2" t="n">
        <v>3</v>
      </c>
      <c r="E2" t="n">
        <v>0</v>
      </c>
    </row>
    <row r="3">
      <c r="A3" t="inlineStr">
        <is>
          <t>2026-08-15</t>
        </is>
      </c>
      <c r="B3" t="inlineStr">
        <is>
          <t>Oldham Athletic</t>
        </is>
      </c>
      <c r="C3" t="inlineStr">
        <is>
          <t>Port Vale</t>
        </is>
      </c>
      <c r="D3" t="n">
        <v>2</v>
      </c>
      <c r="E3" t="n">
        <v>0</v>
      </c>
    </row>
    <row r="4">
      <c r="A4" t="inlineStr">
        <is>
          <t>2026-08-15</t>
        </is>
      </c>
      <c r="B4" t="inlineStr">
        <is>
          <t>Accrington Stanley</t>
        </is>
      </c>
      <c r="C4" t="inlineStr">
        <is>
          <t>Colchester United</t>
        </is>
      </c>
      <c r="D4" t="n">
        <v>2</v>
      </c>
      <c r="E4" t="n">
        <v>2</v>
      </c>
    </row>
    <row r="5">
      <c r="A5" t="inlineStr">
        <is>
          <t>2026-08-15</t>
        </is>
      </c>
      <c r="B5" t="inlineStr">
        <is>
          <t>Barnet</t>
        </is>
      </c>
      <c r="C5" t="inlineStr">
        <is>
          <t>Salford City</t>
        </is>
      </c>
      <c r="D5" t="n">
        <v>3</v>
      </c>
      <c r="E5" t="n">
        <v>1</v>
      </c>
    </row>
    <row r="6">
      <c r="A6" t="inlineStr">
        <is>
          <t>2026-08-15</t>
        </is>
      </c>
      <c r="B6" t="inlineStr">
        <is>
          <t>Cheltenham Town</t>
        </is>
      </c>
      <c r="C6" t="inlineStr">
        <is>
          <t>Rotherham United</t>
        </is>
      </c>
      <c r="D6" t="n">
        <v>2</v>
      </c>
      <c r="E6" t="n">
        <v>1</v>
      </c>
    </row>
    <row r="7">
      <c r="A7" t="inlineStr">
        <is>
          <t>2026-08-15</t>
        </is>
      </c>
      <c r="B7" t="inlineStr">
        <is>
          <t>Chesterfield</t>
        </is>
      </c>
      <c r="C7" t="inlineStr">
        <is>
          <t>Fleetwood Town</t>
        </is>
      </c>
      <c r="D7" t="n">
        <v>0</v>
      </c>
      <c r="E7" t="n">
        <v>1</v>
      </c>
    </row>
    <row r="8">
      <c r="A8" t="inlineStr">
        <is>
          <t>2026-08-15</t>
        </is>
      </c>
      <c r="B8" t="inlineStr">
        <is>
          <t>Crawley Town</t>
        </is>
      </c>
      <c r="C8" t="inlineStr">
        <is>
          <t>Crewe Alexandra</t>
        </is>
      </c>
      <c r="D8" t="n">
        <v>0</v>
      </c>
      <c r="E8" t="n">
        <v>1</v>
      </c>
    </row>
    <row r="9">
      <c r="A9" t="inlineStr">
        <is>
          <t>2026-08-15</t>
        </is>
      </c>
      <c r="B9" t="inlineStr">
        <is>
          <t>Gillingham</t>
        </is>
      </c>
      <c r="C9" t="inlineStr">
        <is>
          <t>Walsall</t>
        </is>
      </c>
      <c r="D9" t="n">
        <v>0</v>
      </c>
      <c r="E9" t="n">
        <v>3</v>
      </c>
    </row>
    <row r="10">
      <c r="A10" t="inlineStr">
        <is>
          <t>2026-08-15</t>
        </is>
      </c>
      <c r="B10" t="inlineStr">
        <is>
          <t>Grimsby Town</t>
        </is>
      </c>
      <c r="C10" t="inlineStr">
        <is>
          <t>Exeter</t>
        </is>
      </c>
      <c r="D10" t="n">
        <v>1</v>
      </c>
      <c r="E10" t="n">
        <v>0</v>
      </c>
    </row>
    <row r="11">
      <c r="A11" t="inlineStr">
        <is>
          <t>2026-08-15</t>
        </is>
      </c>
      <c r="B11" t="inlineStr">
        <is>
          <t>Northampton Town</t>
        </is>
      </c>
      <c r="C11" t="inlineStr">
        <is>
          <t>Swindon Town</t>
        </is>
      </c>
      <c r="D11" t="n">
        <v>0</v>
      </c>
      <c r="E11" t="n">
        <v>0</v>
      </c>
    </row>
    <row r="12">
      <c r="A12" t="inlineStr">
        <is>
          <t>2026-08-15</t>
        </is>
      </c>
      <c r="B12" t="inlineStr">
        <is>
          <t>Tranmere Rovers</t>
        </is>
      </c>
      <c r="C12" t="inlineStr">
        <is>
          <t>Shrewsbury Town</t>
        </is>
      </c>
      <c r="D12" t="n">
        <v>2</v>
      </c>
      <c r="E12" t="n">
        <v>0</v>
      </c>
    </row>
    <row r="13">
      <c r="A13" t="inlineStr">
        <is>
          <t>2026-08-15</t>
        </is>
      </c>
      <c r="B13" t="inlineStr">
        <is>
          <t>York</t>
        </is>
      </c>
      <c r="C13" t="inlineStr">
        <is>
          <t>Bristol Rvs</t>
        </is>
      </c>
      <c r="D13" t="n">
        <v>3</v>
      </c>
      <c r="E13" t="n">
        <v>2</v>
      </c>
    </row>
    <row r="14">
      <c r="A14" t="inlineStr">
        <is>
          <t>2026-08-22</t>
        </is>
      </c>
      <c r="B14" t="inlineStr">
        <is>
          <t>Bristol Rvs</t>
        </is>
      </c>
      <c r="C14" t="inlineStr">
        <is>
          <t>Newport County</t>
        </is>
      </c>
      <c r="D14" t="n">
        <v>5</v>
      </c>
      <c r="E14" t="n">
        <v>3</v>
      </c>
    </row>
    <row r="15">
      <c r="A15" t="inlineStr">
        <is>
          <t>2026-08-22</t>
        </is>
      </c>
      <c r="B15" t="inlineStr">
        <is>
          <t>Salford City</t>
        </is>
      </c>
      <c r="C15" t="inlineStr">
        <is>
          <t>Chesterfield</t>
        </is>
      </c>
      <c r="D15" t="n">
        <v>0</v>
      </c>
      <c r="E15" t="n">
        <v>1</v>
      </c>
    </row>
    <row r="16">
      <c r="A16" t="inlineStr">
        <is>
          <t>2026-08-22</t>
        </is>
      </c>
      <c r="B16" t="inlineStr">
        <is>
          <t>Walsall</t>
        </is>
      </c>
      <c r="C16" t="inlineStr">
        <is>
          <t>Grimsby Town</t>
        </is>
      </c>
      <c r="D16" t="n">
        <v>0</v>
      </c>
      <c r="E16" t="n">
        <v>0</v>
      </c>
    </row>
    <row r="17">
      <c r="A17" t="inlineStr">
        <is>
          <t>2026-08-22</t>
        </is>
      </c>
      <c r="B17" t="inlineStr">
        <is>
          <t>Colchester United</t>
        </is>
      </c>
      <c r="C17" t="inlineStr">
        <is>
          <t>Oldham Athletic</t>
        </is>
      </c>
      <c r="D17" t="n">
        <v>2</v>
      </c>
      <c r="E17" t="n">
        <v>1</v>
      </c>
    </row>
    <row r="18">
      <c r="A18" t="inlineStr">
        <is>
          <t>2026-08-22</t>
        </is>
      </c>
      <c r="B18" t="inlineStr">
        <is>
          <t>Crewe Alexandra</t>
        </is>
      </c>
      <c r="C18" t="inlineStr">
        <is>
          <t>Northampton Town</t>
        </is>
      </c>
      <c r="D18" t="n">
        <v>1</v>
      </c>
      <c r="E18" t="n">
        <v>0</v>
      </c>
    </row>
    <row r="19">
      <c r="A19" t="inlineStr">
        <is>
          <t>2026-08-22</t>
        </is>
      </c>
      <c r="B19" t="inlineStr">
        <is>
          <t>Exeter</t>
        </is>
      </c>
      <c r="C19" t="inlineStr">
        <is>
          <t>Accrington Stanley</t>
        </is>
      </c>
      <c r="D19" t="n">
        <v>2</v>
      </c>
      <c r="E19" t="n">
        <v>0</v>
      </c>
    </row>
    <row r="20">
      <c r="A20" t="inlineStr">
        <is>
          <t>2026-08-22</t>
        </is>
      </c>
      <c r="B20" t="inlineStr">
        <is>
          <t>Fleetwood Town</t>
        </is>
      </c>
      <c r="C20" t="inlineStr">
        <is>
          <t>Gillingham</t>
        </is>
      </c>
      <c r="D20" t="n">
        <v>0</v>
      </c>
      <c r="E20" t="n">
        <v>0</v>
      </c>
    </row>
    <row r="21">
      <c r="A21" t="inlineStr">
        <is>
          <t>2026-08-22</t>
        </is>
      </c>
      <c r="B21" t="inlineStr">
        <is>
          <t>Port Vale</t>
        </is>
      </c>
      <c r="C21" t="inlineStr">
        <is>
          <t>Tranmere Rovers</t>
        </is>
      </c>
      <c r="D21" t="n">
        <v>1</v>
      </c>
      <c r="E21" t="n">
        <v>1</v>
      </c>
    </row>
    <row r="22">
      <c r="A22" t="inlineStr">
        <is>
          <t>2026-08-22</t>
        </is>
      </c>
      <c r="B22" t="inlineStr">
        <is>
          <t>Rochdale</t>
        </is>
      </c>
      <c r="C22" t="inlineStr">
        <is>
          <t>Crawley Town</t>
        </is>
      </c>
      <c r="D22" t="n">
        <v>1</v>
      </c>
      <c r="E22" t="n">
        <v>2</v>
      </c>
    </row>
    <row r="23">
      <c r="A23" t="inlineStr">
        <is>
          <t>2026-08-22</t>
        </is>
      </c>
      <c r="B23" t="inlineStr">
        <is>
          <t>Rotherham United</t>
        </is>
      </c>
      <c r="C23" t="inlineStr">
        <is>
          <t>York</t>
        </is>
      </c>
      <c r="D23" t="n">
        <v>1</v>
      </c>
      <c r="E23" t="n">
        <v>1</v>
      </c>
    </row>
    <row r="24">
      <c r="A24" t="inlineStr">
        <is>
          <t>2026-08-22</t>
        </is>
      </c>
      <c r="B24" t="inlineStr">
        <is>
          <t>Shrewsbury Town</t>
        </is>
      </c>
      <c r="C24" t="inlineStr">
        <is>
          <t>Barnet</t>
        </is>
      </c>
      <c r="D24" t="n">
        <v>1</v>
      </c>
      <c r="E24" t="n">
        <v>3</v>
      </c>
    </row>
    <row r="25">
      <c r="A25" t="inlineStr">
        <is>
          <t>2026-08-22</t>
        </is>
      </c>
      <c r="B25" t="inlineStr">
        <is>
          <t>Swindon Town</t>
        </is>
      </c>
      <c r="C25" t="inlineStr">
        <is>
          <t>Cheltenham Town</t>
        </is>
      </c>
      <c r="D25" t="n">
        <v>2</v>
      </c>
      <c r="E25" t="n">
        <v>1</v>
      </c>
    </row>
    <row r="26">
      <c r="A26" t="inlineStr">
        <is>
          <t>2026-08-29</t>
        </is>
      </c>
      <c r="B26" t="inlineStr">
        <is>
          <t>Barnet</t>
        </is>
      </c>
      <c r="C26" t="inlineStr">
        <is>
          <t>Cheltenham Town</t>
        </is>
      </c>
      <c r="D26" t="n">
        <v>2</v>
      </c>
      <c r="E26" t="n">
        <v>2</v>
      </c>
    </row>
    <row r="27">
      <c r="A27" t="inlineStr">
        <is>
          <t>2026-08-29</t>
        </is>
      </c>
      <c r="B27" t="inlineStr">
        <is>
          <t>Port Vale</t>
        </is>
      </c>
      <c r="C27" t="inlineStr">
        <is>
          <t>Crewe Alexandra</t>
        </is>
      </c>
      <c r="D27" t="n">
        <v>0</v>
      </c>
      <c r="E27" t="n">
        <v>0</v>
      </c>
    </row>
    <row r="28">
      <c r="A28" t="inlineStr">
        <is>
          <t>2026-08-29</t>
        </is>
      </c>
      <c r="B28" t="inlineStr">
        <is>
          <t>Rotherham United</t>
        </is>
      </c>
      <c r="C28" t="inlineStr">
        <is>
          <t>Chesterfield</t>
        </is>
      </c>
      <c r="D28" t="n">
        <v>2</v>
      </c>
      <c r="E28" t="n">
        <v>1</v>
      </c>
    </row>
    <row r="29">
      <c r="A29" t="inlineStr">
        <is>
          <t>2026-08-29</t>
        </is>
      </c>
      <c r="B29" t="inlineStr">
        <is>
          <t>Colchester United</t>
        </is>
      </c>
      <c r="C29" t="inlineStr">
        <is>
          <t>Rochdale</t>
        </is>
      </c>
      <c r="D29" t="n">
        <v>1</v>
      </c>
      <c r="E29" t="n">
        <v>0</v>
      </c>
    </row>
    <row r="30">
      <c r="A30" t="inlineStr">
        <is>
          <t>2026-08-29</t>
        </is>
      </c>
      <c r="B30" t="inlineStr">
        <is>
          <t>Crawley Town</t>
        </is>
      </c>
      <c r="C30" t="inlineStr">
        <is>
          <t>Bristol Rvs</t>
        </is>
      </c>
      <c r="D30" t="n">
        <v>0</v>
      </c>
      <c r="E30" t="n">
        <v>2</v>
      </c>
    </row>
    <row r="31">
      <c r="A31" t="inlineStr">
        <is>
          <t>2026-08-29</t>
        </is>
      </c>
      <c r="B31" t="inlineStr">
        <is>
          <t>Gillingham</t>
        </is>
      </c>
      <c r="C31" t="inlineStr">
        <is>
          <t>Northampton Town</t>
        </is>
      </c>
      <c r="D31" t="n">
        <v>1</v>
      </c>
      <c r="E31" t="n">
        <v>1</v>
      </c>
    </row>
    <row r="32">
      <c r="A32" t="inlineStr">
        <is>
          <t>2026-08-29</t>
        </is>
      </c>
      <c r="B32" t="inlineStr">
        <is>
          <t>Grimsby Town</t>
        </is>
      </c>
      <c r="C32" t="inlineStr">
        <is>
          <t>Fleetwood Town</t>
        </is>
      </c>
      <c r="D32" t="n">
        <v>2</v>
      </c>
      <c r="E32" t="n">
        <v>2</v>
      </c>
    </row>
    <row r="33">
      <c r="A33" t="inlineStr">
        <is>
          <t>2026-08-29</t>
        </is>
      </c>
      <c r="B33" t="inlineStr">
        <is>
          <t>Newport County</t>
        </is>
      </c>
      <c r="C33" t="inlineStr">
        <is>
          <t>Tranmere Rovers</t>
        </is>
      </c>
      <c r="D33" t="n">
        <v>2</v>
      </c>
      <c r="E33" t="n">
        <v>2</v>
      </c>
    </row>
    <row r="34">
      <c r="A34" t="inlineStr">
        <is>
          <t>2026-08-29</t>
        </is>
      </c>
      <c r="B34" t="inlineStr">
        <is>
          <t>Oldham Athletic</t>
        </is>
      </c>
      <c r="C34" t="inlineStr">
        <is>
          <t>Swindon Town</t>
        </is>
      </c>
      <c r="D34" t="n">
        <v>3</v>
      </c>
      <c r="E34" t="n">
        <v>0</v>
      </c>
    </row>
    <row r="35">
      <c r="A35" t="inlineStr">
        <is>
          <t>2026-08-29</t>
        </is>
      </c>
      <c r="B35" t="inlineStr">
        <is>
          <t>Shrewsbury Town</t>
        </is>
      </c>
      <c r="C35" t="inlineStr">
        <is>
          <t>Salford City</t>
        </is>
      </c>
      <c r="D35" t="n">
        <v>1</v>
      </c>
      <c r="E35" t="n">
        <v>0</v>
      </c>
    </row>
    <row r="36">
      <c r="A36" t="inlineStr">
        <is>
          <t>2026-08-29</t>
        </is>
      </c>
      <c r="B36" t="inlineStr">
        <is>
          <t>Walsall</t>
        </is>
      </c>
      <c r="C36" t="inlineStr">
        <is>
          <t>Accrington Stanley</t>
        </is>
      </c>
      <c r="D36" t="n">
        <v>3</v>
      </c>
      <c r="E36" t="n">
        <v>2</v>
      </c>
    </row>
    <row r="37">
      <c r="A37" t="inlineStr">
        <is>
          <t>2026-08-29</t>
        </is>
      </c>
      <c r="B37" t="inlineStr">
        <is>
          <t>York</t>
        </is>
      </c>
      <c r="C37" t="inlineStr">
        <is>
          <t>Exeter</t>
        </is>
      </c>
      <c r="D37" t="n">
        <v>2</v>
      </c>
      <c r="E37" t="n">
        <v>1</v>
      </c>
    </row>
    <row r="38">
      <c r="A38" t="inlineStr">
        <is>
          <t>2026-09-01</t>
        </is>
      </c>
      <c r="B38" t="inlineStr">
        <is>
          <t>Accrington Stanley</t>
        </is>
      </c>
      <c r="C38" t="inlineStr">
        <is>
          <t>Grimsby Town</t>
        </is>
      </c>
      <c r="D38" t="n">
        <v>2</v>
      </c>
      <c r="E38" t="n">
        <v>2</v>
      </c>
    </row>
    <row r="39">
      <c r="A39" t="inlineStr">
        <is>
          <t>2026-09-01</t>
        </is>
      </c>
      <c r="B39" t="inlineStr">
        <is>
          <t>Bristol Rvs</t>
        </is>
      </c>
      <c r="C39" t="inlineStr">
        <is>
          <t>Colchester United</t>
        </is>
      </c>
      <c r="D39" t="n">
        <v>2</v>
      </c>
      <c r="E39" t="n">
        <v>0</v>
      </c>
    </row>
    <row r="40">
      <c r="A40" t="inlineStr">
        <is>
          <t>2026-09-01</t>
        </is>
      </c>
      <c r="B40" t="inlineStr">
        <is>
          <t>Cheltenham Town</t>
        </is>
      </c>
      <c r="C40" t="inlineStr">
        <is>
          <t>York</t>
        </is>
      </c>
      <c r="D40" t="n">
        <v>3</v>
      </c>
      <c r="E40" t="n">
        <v>2</v>
      </c>
    </row>
    <row r="41">
      <c r="A41" t="inlineStr">
        <is>
          <t>2026-09-01</t>
        </is>
      </c>
      <c r="B41" t="inlineStr">
        <is>
          <t>Chesterfield</t>
        </is>
      </c>
      <c r="C41" t="inlineStr">
        <is>
          <t>Gillingham</t>
        </is>
      </c>
      <c r="D41" t="n">
        <v>1</v>
      </c>
      <c r="E41" t="n">
        <v>1</v>
      </c>
    </row>
    <row r="42">
      <c r="A42" t="inlineStr">
        <is>
          <t>2026-09-01</t>
        </is>
      </c>
      <c r="B42" t="inlineStr">
        <is>
          <t>Crewe Alexandra</t>
        </is>
      </c>
      <c r="C42" t="inlineStr">
        <is>
          <t>Walsall</t>
        </is>
      </c>
      <c r="D42" t="n">
        <v>2</v>
      </c>
      <c r="E42" t="n">
        <v>2</v>
      </c>
    </row>
    <row r="43">
      <c r="A43" t="inlineStr">
        <is>
          <t>2026-09-01</t>
        </is>
      </c>
      <c r="B43" t="inlineStr">
        <is>
          <t>Exeter</t>
        </is>
      </c>
      <c r="C43" t="inlineStr">
        <is>
          <t>Barnet</t>
        </is>
      </c>
      <c r="D43" t="n">
        <v>1</v>
      </c>
      <c r="E43" t="n">
        <v>1</v>
      </c>
    </row>
    <row r="44">
      <c r="A44" t="inlineStr">
        <is>
          <t>2026-09-01</t>
        </is>
      </c>
      <c r="B44" t="inlineStr">
        <is>
          <t>Fleetwood Town</t>
        </is>
      </c>
      <c r="C44" t="inlineStr">
        <is>
          <t>Oldham Athletic</t>
        </is>
      </c>
      <c r="D44" t="n">
        <v>1</v>
      </c>
      <c r="E44" t="n">
        <v>1</v>
      </c>
    </row>
    <row r="45">
      <c r="A45" t="inlineStr">
        <is>
          <t>2026-09-01</t>
        </is>
      </c>
      <c r="B45" t="inlineStr">
        <is>
          <t>Northampton Town</t>
        </is>
      </c>
      <c r="C45" t="inlineStr">
        <is>
          <t>Crawley Town</t>
        </is>
      </c>
      <c r="D45" t="n">
        <v>1</v>
      </c>
      <c r="E45" t="n">
        <v>1</v>
      </c>
    </row>
    <row r="46">
      <c r="A46" t="inlineStr">
        <is>
          <t>2026-09-01</t>
        </is>
      </c>
      <c r="B46" t="inlineStr">
        <is>
          <t>Rochdale</t>
        </is>
      </c>
      <c r="C46" t="inlineStr">
        <is>
          <t>Shrewsbury Town</t>
        </is>
      </c>
      <c r="D46" t="n">
        <v>3</v>
      </c>
      <c r="E46" t="n">
        <v>0</v>
      </c>
    </row>
    <row r="47">
      <c r="A47" t="inlineStr">
        <is>
          <t>2026-09-01</t>
        </is>
      </c>
      <c r="B47" t="inlineStr">
        <is>
          <t>Salford City</t>
        </is>
      </c>
      <c r="C47" t="inlineStr">
        <is>
          <t>Newport County</t>
        </is>
      </c>
      <c r="D47" t="n">
        <v>2</v>
      </c>
      <c r="E47" t="n">
        <v>1</v>
      </c>
    </row>
    <row r="48">
      <c r="A48" t="inlineStr">
        <is>
          <t>2026-09-01</t>
        </is>
      </c>
      <c r="B48" t="inlineStr">
        <is>
          <t>Swindon Town</t>
        </is>
      </c>
      <c r="C48" t="inlineStr">
        <is>
          <t>Port Vale</t>
        </is>
      </c>
      <c r="D48" t="n">
        <v>3</v>
      </c>
      <c r="E48" t="n">
        <v>1</v>
      </c>
    </row>
    <row r="49">
      <c r="A49" t="inlineStr">
        <is>
          <t>2026-09-01</t>
        </is>
      </c>
      <c r="B49" t="inlineStr">
        <is>
          <t>Tranmere Rovers</t>
        </is>
      </c>
      <c r="C49" t="inlineStr">
        <is>
          <t>Rotherham United</t>
        </is>
      </c>
      <c r="D49" t="n">
        <v>2</v>
      </c>
      <c r="E49" t="n">
        <v>2</v>
      </c>
    </row>
    <row r="50">
      <c r="A50" t="inlineStr">
        <is>
          <t>2026-09-05</t>
        </is>
      </c>
      <c r="B50" t="inlineStr">
        <is>
          <t>Fleetwood Town</t>
        </is>
      </c>
      <c r="C50" t="inlineStr">
        <is>
          <t>Shrewsbury Town</t>
        </is>
      </c>
      <c r="D50" t="n">
        <v>2</v>
      </c>
      <c r="E50" t="n">
        <v>0</v>
      </c>
    </row>
    <row r="51">
      <c r="A51" t="inlineStr">
        <is>
          <t>2026-09-05</t>
        </is>
      </c>
      <c r="B51" t="inlineStr">
        <is>
          <t>Salford City</t>
        </is>
      </c>
      <c r="C51" t="inlineStr">
        <is>
          <t>Port Vale</t>
        </is>
      </c>
      <c r="D51" t="n">
        <v>1</v>
      </c>
      <c r="E51" t="n">
        <v>0</v>
      </c>
    </row>
    <row r="52">
      <c r="A52" t="inlineStr">
        <is>
          <t>2026-09-05</t>
        </is>
      </c>
      <c r="B52" t="inlineStr">
        <is>
          <t>Accrington Stanley</t>
        </is>
      </c>
      <c r="C52" t="inlineStr">
        <is>
          <t>Crawley Town</t>
        </is>
      </c>
      <c r="D52" t="n">
        <v>3</v>
      </c>
      <c r="E52" t="n">
        <v>2</v>
      </c>
    </row>
    <row r="53">
      <c r="A53" t="inlineStr">
        <is>
          <t>2026-09-05</t>
        </is>
      </c>
      <c r="B53" t="inlineStr">
        <is>
          <t>Bristol Rvs</t>
        </is>
      </c>
      <c r="C53" t="inlineStr">
        <is>
          <t>Rotherham United</t>
        </is>
      </c>
      <c r="D53" t="n">
        <v>1</v>
      </c>
      <c r="E53" t="n">
        <v>0</v>
      </c>
    </row>
    <row r="54">
      <c r="A54" t="inlineStr">
        <is>
          <t>2026-09-05</t>
        </is>
      </c>
      <c r="B54" t="inlineStr">
        <is>
          <t>Cheltenham Town</t>
        </is>
      </c>
      <c r="C54" t="inlineStr">
        <is>
          <t>Grimsby Town</t>
        </is>
      </c>
      <c r="D54" t="n">
        <v>2</v>
      </c>
      <c r="E54" t="n">
        <v>2</v>
      </c>
    </row>
    <row r="55">
      <c r="A55" t="inlineStr">
        <is>
          <t>2026-09-05</t>
        </is>
      </c>
      <c r="B55" t="inlineStr">
        <is>
          <t>Chesterfield</t>
        </is>
      </c>
      <c r="C55" t="inlineStr">
        <is>
          <t>Barnet</t>
        </is>
      </c>
      <c r="D55" t="n">
        <v>3</v>
      </c>
      <c r="E55" t="n">
        <v>3</v>
      </c>
    </row>
    <row r="56">
      <c r="A56" t="inlineStr">
        <is>
          <t>2026-09-05</t>
        </is>
      </c>
      <c r="B56" t="inlineStr">
        <is>
          <t>Crewe Alexandra</t>
        </is>
      </c>
      <c r="C56" t="inlineStr">
        <is>
          <t>York</t>
        </is>
      </c>
      <c r="D56" t="n">
        <v>1</v>
      </c>
      <c r="E56" t="n">
        <v>1</v>
      </c>
    </row>
    <row r="57">
      <c r="A57" t="inlineStr">
        <is>
          <t>2026-09-05</t>
        </is>
      </c>
      <c r="B57" t="inlineStr">
        <is>
          <t>Exeter</t>
        </is>
      </c>
      <c r="C57" t="inlineStr">
        <is>
          <t>Walsall</t>
        </is>
      </c>
      <c r="D57" t="n">
        <v>0</v>
      </c>
      <c r="E57" t="n">
        <v>0</v>
      </c>
    </row>
    <row r="58">
      <c r="A58" t="inlineStr">
        <is>
          <t>2026-09-05</t>
        </is>
      </c>
      <c r="B58" t="inlineStr">
        <is>
          <t>Northampton Town</t>
        </is>
      </c>
      <c r="C58" t="inlineStr">
        <is>
          <t>Newport County</t>
        </is>
      </c>
      <c r="D58" t="n">
        <v>1</v>
      </c>
      <c r="E58" t="n">
        <v>0</v>
      </c>
    </row>
    <row r="59">
      <c r="A59" t="inlineStr">
        <is>
          <t>2026-09-05</t>
        </is>
      </c>
      <c r="B59" t="inlineStr">
        <is>
          <t>Rochdale</t>
        </is>
      </c>
      <c r="C59" t="inlineStr">
        <is>
          <t>Gillingham</t>
        </is>
      </c>
      <c r="D59" t="n">
        <v>1</v>
      </c>
      <c r="E59" t="n">
        <v>4</v>
      </c>
    </row>
    <row r="60">
      <c r="A60" t="inlineStr">
        <is>
          <t>2026-09-05</t>
        </is>
      </c>
      <c r="B60" t="inlineStr">
        <is>
          <t>Swindon Town</t>
        </is>
      </c>
      <c r="C60" t="inlineStr">
        <is>
          <t>Colchester United</t>
        </is>
      </c>
      <c r="D60" t="n">
        <v>3</v>
      </c>
      <c r="E60" t="n">
        <v>1</v>
      </c>
    </row>
    <row r="61">
      <c r="A61" t="inlineStr">
        <is>
          <t>2026-09-05</t>
        </is>
      </c>
      <c r="B61" t="inlineStr">
        <is>
          <t>Tranmere Rovers</t>
        </is>
      </c>
      <c r="C61" t="inlineStr">
        <is>
          <t>Oldham Athletic</t>
        </is>
      </c>
      <c r="D61" t="n">
        <v>2</v>
      </c>
      <c r="E61" t="n">
        <v>0</v>
      </c>
    </row>
    <row r="62">
      <c r="A62" t="inlineStr">
        <is>
          <t>2026-09-12</t>
        </is>
      </c>
      <c r="B62" t="inlineStr">
        <is>
          <t>Crawley Town</t>
        </is>
      </c>
      <c r="C62" t="inlineStr">
        <is>
          <t>Cheltenham Town</t>
        </is>
      </c>
      <c r="D62" t="n">
        <v>1</v>
      </c>
      <c r="E62" t="n">
        <v>3</v>
      </c>
    </row>
    <row r="63">
      <c r="A63" t="inlineStr">
        <is>
          <t>2026-09-12</t>
        </is>
      </c>
      <c r="B63" t="inlineStr">
        <is>
          <t>Grimsby Town</t>
        </is>
      </c>
      <c r="C63" t="inlineStr">
        <is>
          <t>Bristol Rvs</t>
        </is>
      </c>
      <c r="D63" t="n">
        <v>2</v>
      </c>
      <c r="E63" t="n">
        <v>0</v>
      </c>
    </row>
    <row r="64">
      <c r="A64" t="inlineStr">
        <is>
          <t>2026-09-12</t>
        </is>
      </c>
      <c r="B64" t="inlineStr">
        <is>
          <t>Barnet</t>
        </is>
      </c>
      <c r="C64" t="inlineStr">
        <is>
          <t>Accrington Stanley</t>
        </is>
      </c>
      <c r="D64" t="n">
        <v>2</v>
      </c>
      <c r="E64" t="n">
        <v>1</v>
      </c>
    </row>
    <row r="65">
      <c r="A65" t="inlineStr">
        <is>
          <t>2026-09-12</t>
        </is>
      </c>
      <c r="B65" t="inlineStr">
        <is>
          <t>Colchester United</t>
        </is>
      </c>
      <c r="C65" t="inlineStr">
        <is>
          <t>Crewe Alexandra</t>
        </is>
      </c>
      <c r="D65" t="n">
        <v>1</v>
      </c>
      <c r="E65" t="n">
        <v>1</v>
      </c>
    </row>
    <row r="66">
      <c r="A66" t="inlineStr">
        <is>
          <t>2026-09-12</t>
        </is>
      </c>
      <c r="B66" t="inlineStr">
        <is>
          <t>Gillingham</t>
        </is>
      </c>
      <c r="C66" t="inlineStr">
        <is>
          <t>Tranmere Rovers</t>
        </is>
      </c>
      <c r="D66" t="n">
        <v>2</v>
      </c>
      <c r="E66" t="n">
        <v>0</v>
      </c>
    </row>
    <row r="67">
      <c r="A67" t="inlineStr">
        <is>
          <t>2026-09-12</t>
        </is>
      </c>
      <c r="B67" t="inlineStr">
        <is>
          <t>Newport County</t>
        </is>
      </c>
      <c r="C67" t="inlineStr">
        <is>
          <t>Fleetwood Town</t>
        </is>
      </c>
      <c r="D67" t="n">
        <v>1</v>
      </c>
      <c r="E67" t="n">
        <v>1</v>
      </c>
    </row>
    <row r="68">
      <c r="A68" t="inlineStr">
        <is>
          <t>2026-09-12</t>
        </is>
      </c>
      <c r="B68" t="inlineStr">
        <is>
          <t>Oldham Athletic</t>
        </is>
      </c>
      <c r="C68" t="inlineStr">
        <is>
          <t>Chesterfield</t>
        </is>
      </c>
      <c r="D68" t="n">
        <v>1</v>
      </c>
      <c r="E68" t="n">
        <v>2</v>
      </c>
    </row>
    <row r="69">
      <c r="A69" t="inlineStr">
        <is>
          <t>2026-09-12</t>
        </is>
      </c>
      <c r="B69" t="inlineStr">
        <is>
          <t>Port Vale</t>
        </is>
      </c>
      <c r="C69" t="inlineStr">
        <is>
          <t>Exeter</t>
        </is>
      </c>
      <c r="D69" t="n">
        <v>1</v>
      </c>
      <c r="E69" t="n">
        <v>0</v>
      </c>
    </row>
    <row r="70">
      <c r="A70" t="inlineStr">
        <is>
          <t>2026-09-12</t>
        </is>
      </c>
      <c r="B70" t="inlineStr">
        <is>
          <t>Rotherham United</t>
        </is>
      </c>
      <c r="C70" t="inlineStr">
        <is>
          <t>Salford City</t>
        </is>
      </c>
      <c r="D70" t="n">
        <v>3</v>
      </c>
      <c r="E70" t="n">
        <v>3</v>
      </c>
    </row>
    <row r="71">
      <c r="A71" t="inlineStr">
        <is>
          <t>2026-09-12</t>
        </is>
      </c>
      <c r="B71" t="inlineStr">
        <is>
          <t>Shrewsbury Town</t>
        </is>
      </c>
      <c r="C71" t="inlineStr">
        <is>
          <t>Northampton Town</t>
        </is>
      </c>
      <c r="D71" t="n">
        <v>2</v>
      </c>
      <c r="E71" t="n">
        <v>0</v>
      </c>
    </row>
    <row r="72">
      <c r="A72" t="inlineStr">
        <is>
          <t>2026-09-12</t>
        </is>
      </c>
      <c r="B72" t="inlineStr">
        <is>
          <t>Walsall</t>
        </is>
      </c>
      <c r="C72" t="inlineStr">
        <is>
          <t>Rochdale</t>
        </is>
      </c>
      <c r="D72" t="n">
        <v>0</v>
      </c>
      <c r="E72" t="n">
        <v>0</v>
      </c>
    </row>
    <row r="73">
      <c r="A73" t="inlineStr">
        <is>
          <t>2026-09-12</t>
        </is>
      </c>
      <c r="B73" t="inlineStr">
        <is>
          <t>York</t>
        </is>
      </c>
      <c r="C73" t="inlineStr">
        <is>
          <t>Swindon Town</t>
        </is>
      </c>
      <c r="D73" t="n">
        <v>4</v>
      </c>
      <c r="E73" t="n">
        <v>0</v>
      </c>
    </row>
    <row r="74">
      <c r="A74" t="inlineStr">
        <is>
          <t>2026-09-19</t>
        </is>
      </c>
      <c r="B74" t="inlineStr">
        <is>
          <t>Rochdale</t>
        </is>
      </c>
      <c r="C74" t="inlineStr">
        <is>
          <t>Oldham Athletic</t>
        </is>
      </c>
      <c r="D74" t="n">
        <v>2</v>
      </c>
      <c r="E74" t="n">
        <v>0</v>
      </c>
    </row>
    <row r="75">
      <c r="A75" t="inlineStr">
        <is>
          <t>2026-09-19</t>
        </is>
      </c>
      <c r="B75" t="inlineStr">
        <is>
          <t>Walsall</t>
        </is>
      </c>
      <c r="C75" t="inlineStr">
        <is>
          <t>Port Vale</t>
        </is>
      </c>
      <c r="D75" t="n">
        <v>2</v>
      </c>
      <c r="E75" t="n">
        <v>0</v>
      </c>
    </row>
    <row r="76">
      <c r="A76" t="inlineStr">
        <is>
          <t>2026-09-19</t>
        </is>
      </c>
      <c r="B76" t="inlineStr">
        <is>
          <t>Accrington Stanley</t>
        </is>
      </c>
      <c r="C76" t="inlineStr">
        <is>
          <t>Newport County</t>
        </is>
      </c>
      <c r="D76" t="n">
        <v>0</v>
      </c>
      <c r="E76" t="n">
        <v>0</v>
      </c>
    </row>
    <row r="77">
      <c r="A77" t="inlineStr">
        <is>
          <t>2026-09-19</t>
        </is>
      </c>
      <c r="B77" t="inlineStr">
        <is>
          <t>Barnet</t>
        </is>
      </c>
      <c r="C77" t="inlineStr">
        <is>
          <t>Fleetwood Town</t>
        </is>
      </c>
      <c r="D77" t="n">
        <v>3</v>
      </c>
      <c r="E77" t="n">
        <v>1</v>
      </c>
    </row>
    <row r="78">
      <c r="A78" t="inlineStr">
        <is>
          <t>2026-09-19</t>
        </is>
      </c>
      <c r="B78" t="inlineStr">
        <is>
          <t>Chesterfield</t>
        </is>
      </c>
      <c r="C78" t="inlineStr">
        <is>
          <t>York</t>
        </is>
      </c>
      <c r="D78" t="n">
        <v>2</v>
      </c>
      <c r="E78" t="n">
        <v>0</v>
      </c>
    </row>
    <row r="79">
      <c r="A79" t="inlineStr">
        <is>
          <t>2026-09-19</t>
        </is>
      </c>
      <c r="B79" t="inlineStr">
        <is>
          <t>Colchester United</t>
        </is>
      </c>
      <c r="C79" t="inlineStr">
        <is>
          <t>Cheltenham Town</t>
        </is>
      </c>
      <c r="D79" t="n">
        <v>1</v>
      </c>
      <c r="E79" t="n">
        <v>1</v>
      </c>
    </row>
    <row r="80">
      <c r="A80" t="inlineStr">
        <is>
          <t>2026-09-19</t>
        </is>
      </c>
      <c r="B80" t="inlineStr">
        <is>
          <t>Crewe Alexandra</t>
        </is>
      </c>
      <c r="C80" t="inlineStr">
        <is>
          <t>Shrewsbury Town</t>
        </is>
      </c>
      <c r="D80" t="n">
        <v>1</v>
      </c>
      <c r="E80" t="n">
        <v>1</v>
      </c>
    </row>
    <row r="81">
      <c r="A81" t="inlineStr">
        <is>
          <t>2026-09-19</t>
        </is>
      </c>
      <c r="B81" t="inlineStr">
        <is>
          <t>Exeter</t>
        </is>
      </c>
      <c r="C81" t="inlineStr">
        <is>
          <t>Tranmere Rovers</t>
        </is>
      </c>
      <c r="D81" t="n">
        <v>0</v>
      </c>
      <c r="E81" t="n">
        <v>0</v>
      </c>
    </row>
    <row r="82">
      <c r="A82" t="inlineStr">
        <is>
          <t>2026-09-19</t>
        </is>
      </c>
      <c r="B82" t="inlineStr">
        <is>
          <t>Gillingham</t>
        </is>
      </c>
      <c r="C82" t="inlineStr">
        <is>
          <t>Bristol Rvs</t>
        </is>
      </c>
      <c r="D82" t="n">
        <v>3</v>
      </c>
      <c r="E82" t="n">
        <v>0</v>
      </c>
    </row>
    <row r="83">
      <c r="A83" t="inlineStr">
        <is>
          <t>2026-09-19</t>
        </is>
      </c>
      <c r="B83" t="inlineStr">
        <is>
          <t>Grimsby Town</t>
        </is>
      </c>
      <c r="C83" t="inlineStr">
        <is>
          <t>Crawley Town</t>
        </is>
      </c>
      <c r="D83" t="n">
        <v>2</v>
      </c>
      <c r="E83" t="n">
        <v>0</v>
      </c>
    </row>
    <row r="84">
      <c r="A84" t="inlineStr">
        <is>
          <t>2026-09-19</t>
        </is>
      </c>
      <c r="B84" t="inlineStr">
        <is>
          <t>Northampton Town</t>
        </is>
      </c>
      <c r="C84" t="inlineStr">
        <is>
          <t>Rotherham United</t>
        </is>
      </c>
      <c r="D84" t="n">
        <v>0</v>
      </c>
      <c r="E84" t="n">
        <v>1</v>
      </c>
    </row>
    <row r="85">
      <c r="A85" t="inlineStr">
        <is>
          <t>2026-09-19</t>
        </is>
      </c>
      <c r="B85" t="inlineStr">
        <is>
          <t>Salford City</t>
        </is>
      </c>
      <c r="C85" t="inlineStr">
        <is>
          <t>Swindon Town</t>
        </is>
      </c>
      <c r="D85" t="n">
        <v>1</v>
      </c>
      <c r="E85" t="n">
        <v>0</v>
      </c>
    </row>
    <row r="86">
      <c r="A86" t="inlineStr">
        <is>
          <t>2026-09-26</t>
        </is>
      </c>
      <c r="B86" t="inlineStr">
        <is>
          <t>Bristol Rvs</t>
        </is>
      </c>
      <c r="C86" t="inlineStr">
        <is>
          <t>Exeter</t>
        </is>
      </c>
      <c r="D86" t="n">
        <v>1</v>
      </c>
      <c r="E86" t="n">
        <v>0</v>
      </c>
    </row>
    <row r="87">
      <c r="A87" t="inlineStr">
        <is>
          <t>2026-09-26</t>
        </is>
      </c>
      <c r="B87" t="inlineStr">
        <is>
          <t>Cheltenham Town</t>
        </is>
      </c>
      <c r="C87" t="inlineStr">
        <is>
          <t>Chesterfield</t>
        </is>
      </c>
      <c r="D87" t="n">
        <v>2</v>
      </c>
      <c r="E87" t="n">
        <v>1</v>
      </c>
    </row>
    <row r="88">
      <c r="A88" t="inlineStr">
        <is>
          <t>2026-09-26</t>
        </is>
      </c>
      <c r="B88" t="inlineStr">
        <is>
          <t>Fleetwood Town</t>
        </is>
      </c>
      <c r="C88" t="inlineStr">
        <is>
          <t>Rochdale</t>
        </is>
      </c>
      <c r="D88" t="n">
        <v>1</v>
      </c>
      <c r="E88" t="n">
        <v>2</v>
      </c>
    </row>
    <row r="89">
      <c r="A89" t="inlineStr">
        <is>
          <t>2026-09-26</t>
        </is>
      </c>
      <c r="B89" t="inlineStr">
        <is>
          <t>Newport County</t>
        </is>
      </c>
      <c r="C89" t="inlineStr">
        <is>
          <t>Grimsby Town</t>
        </is>
      </c>
      <c r="D89" t="n">
        <v>2</v>
      </c>
      <c r="E89" t="n">
        <v>1</v>
      </c>
    </row>
    <row r="90">
      <c r="A90" t="inlineStr">
        <is>
          <t>2026-09-26</t>
        </is>
      </c>
      <c r="B90" t="inlineStr">
        <is>
          <t>Rotherham United</t>
        </is>
      </c>
      <c r="C90" t="inlineStr">
        <is>
          <t>Crewe Alexandra</t>
        </is>
      </c>
      <c r="D90" t="n">
        <v>1</v>
      </c>
      <c r="E90" t="n">
        <v>1</v>
      </c>
    </row>
    <row r="91">
      <c r="A91" t="inlineStr">
        <is>
          <t>2026-09-26</t>
        </is>
      </c>
      <c r="B91" t="inlineStr">
        <is>
          <t>Shrewsbury Town</t>
        </is>
      </c>
      <c r="C91" t="inlineStr">
        <is>
          <t>Colchester United</t>
        </is>
      </c>
      <c r="D91" t="n">
        <v>2</v>
      </c>
      <c r="E91" t="n">
        <v>2</v>
      </c>
    </row>
    <row r="92">
      <c r="A92" t="inlineStr">
        <is>
          <t>2026-09-26</t>
        </is>
      </c>
      <c r="B92" t="inlineStr">
        <is>
          <t>Swindon Town</t>
        </is>
      </c>
      <c r="C92" t="inlineStr">
        <is>
          <t>Accrington Stanley</t>
        </is>
      </c>
      <c r="D92" t="n">
        <v>1</v>
      </c>
      <c r="E92" t="n">
        <v>1</v>
      </c>
    </row>
    <row r="93">
      <c r="A93" t="inlineStr">
        <is>
          <t>2026-09-26</t>
        </is>
      </c>
      <c r="B93" t="inlineStr">
        <is>
          <t>Tranmere Rovers</t>
        </is>
      </c>
      <c r="C93" t="inlineStr">
        <is>
          <t>Walsall</t>
        </is>
      </c>
      <c r="D93" t="n">
        <v>1</v>
      </c>
      <c r="E93" t="n">
        <v>1</v>
      </c>
    </row>
    <row r="94">
      <c r="A94" t="inlineStr">
        <is>
          <t>2026-09-26</t>
        </is>
      </c>
      <c r="B94" t="inlineStr">
        <is>
          <t>York</t>
        </is>
      </c>
      <c r="C94" t="inlineStr">
        <is>
          <t>Gillingham</t>
        </is>
      </c>
      <c r="D94" t="n">
        <v>3</v>
      </c>
      <c r="E94" t="n">
        <v>0</v>
      </c>
    </row>
    <row r="95">
      <c r="A95" t="inlineStr">
        <is>
          <t>2026-09-26</t>
        </is>
      </c>
      <c r="B95" t="inlineStr">
        <is>
          <t>Oldham Athletic</t>
        </is>
      </c>
      <c r="C95" t="inlineStr">
        <is>
          <t>Salford City</t>
        </is>
      </c>
      <c r="D95" t="n">
        <v>1</v>
      </c>
      <c r="E95" t="n">
        <v>4</v>
      </c>
    </row>
    <row r="96">
      <c r="A96" t="inlineStr">
        <is>
          <t>2026-10-03</t>
        </is>
      </c>
      <c r="B96" t="inlineStr">
        <is>
          <t>Chesterfield</t>
        </is>
      </c>
      <c r="C96" t="inlineStr">
        <is>
          <t>Tranmere Rovers</t>
        </is>
      </c>
      <c r="D96" t="n">
        <v>4</v>
      </c>
      <c r="E96" t="n">
        <v>2</v>
      </c>
    </row>
    <row r="97">
      <c r="A97" t="inlineStr">
        <is>
          <t>2026-10-03</t>
        </is>
      </c>
      <c r="B97" t="inlineStr">
        <is>
          <t>Accrington Stanley</t>
        </is>
      </c>
      <c r="C97" t="inlineStr">
        <is>
          <t>Cheltenham Town</t>
        </is>
      </c>
      <c r="D97" t="n">
        <v>2</v>
      </c>
      <c r="E97" t="n">
        <v>0</v>
      </c>
    </row>
    <row r="98">
      <c r="A98" t="inlineStr">
        <is>
          <t>2026-10-03</t>
        </is>
      </c>
      <c r="B98" t="inlineStr">
        <is>
          <t>Crewe Alexandra</t>
        </is>
      </c>
      <c r="C98" t="inlineStr">
        <is>
          <t>Bristol Rvs</t>
        </is>
      </c>
      <c r="D98" t="n">
        <v>3</v>
      </c>
      <c r="E98" t="n">
        <v>1</v>
      </c>
    </row>
    <row r="99">
      <c r="A99" t="inlineStr">
        <is>
          <t>2026-10-03</t>
        </is>
      </c>
      <c r="B99" t="inlineStr">
        <is>
          <t>Exeter</t>
        </is>
      </c>
      <c r="C99" t="inlineStr">
        <is>
          <t>Rotherham United</t>
        </is>
      </c>
      <c r="D99" t="n">
        <v>1</v>
      </c>
      <c r="E99" t="n">
        <v>0</v>
      </c>
    </row>
    <row r="100">
      <c r="A100" t="inlineStr">
        <is>
          <t>2026-10-03</t>
        </is>
      </c>
      <c r="B100" t="inlineStr">
        <is>
          <t>Gillingham</t>
        </is>
      </c>
      <c r="C100" t="inlineStr">
        <is>
          <t>Newport County</t>
        </is>
      </c>
      <c r="D100" t="n">
        <v>0</v>
      </c>
      <c r="E100" t="n">
        <v>0</v>
      </c>
    </row>
    <row r="101">
      <c r="A101" t="inlineStr">
        <is>
          <t>2026-10-03</t>
        </is>
      </c>
      <c r="B101" t="inlineStr">
        <is>
          <t>Grimsby Town</t>
        </is>
      </c>
      <c r="C101" t="inlineStr">
        <is>
          <t>Shrewsbury Town</t>
        </is>
      </c>
      <c r="D101" t="n">
        <v>1</v>
      </c>
      <c r="E101" t="n">
        <v>2</v>
      </c>
    </row>
    <row r="102">
      <c r="A102" t="inlineStr">
        <is>
          <t>2026-10-03</t>
        </is>
      </c>
      <c r="B102" t="inlineStr">
        <is>
          <t>Rochdale</t>
        </is>
      </c>
      <c r="C102" t="inlineStr">
        <is>
          <t>Swindon Town</t>
        </is>
      </c>
      <c r="D102" t="n">
        <v>1</v>
      </c>
      <c r="E102" t="n">
        <v>0</v>
      </c>
    </row>
    <row r="103">
      <c r="A103" t="inlineStr">
        <is>
          <t>2026-10-03</t>
        </is>
      </c>
      <c r="B103" t="inlineStr">
        <is>
          <t>Salford City</t>
        </is>
      </c>
      <c r="C103" t="inlineStr">
        <is>
          <t>Fleetwood Town</t>
        </is>
      </c>
      <c r="D103" t="n">
        <v>1</v>
      </c>
      <c r="E103" t="n">
        <v>0</v>
      </c>
    </row>
    <row r="104">
      <c r="A104" t="inlineStr">
        <is>
          <t>2026-10-10</t>
        </is>
      </c>
      <c r="B104" t="inlineStr">
        <is>
          <t>Oldham Athletic</t>
        </is>
      </c>
      <c r="C104" t="inlineStr">
        <is>
          <t>Accrington Stanley</t>
        </is>
      </c>
      <c r="D104" t="n">
        <v>0</v>
      </c>
      <c r="E104" t="n">
        <v>0</v>
      </c>
    </row>
    <row r="105">
      <c r="A105" t="inlineStr">
        <is>
          <t>2026-10-10</t>
        </is>
      </c>
      <c r="B105" t="inlineStr">
        <is>
          <t>Swindon Town</t>
        </is>
      </c>
      <c r="C105" t="inlineStr">
        <is>
          <t>Crewe Alexandra</t>
        </is>
      </c>
      <c r="D105" t="n">
        <v>0</v>
      </c>
      <c r="E105" t="n">
        <v>1</v>
      </c>
    </row>
    <row r="106">
      <c r="A106" t="inlineStr">
        <is>
          <t>2026-10-10</t>
        </is>
      </c>
      <c r="B106" t="inlineStr">
        <is>
          <t>Bristol Rvs</t>
        </is>
      </c>
      <c r="C106" t="inlineStr">
        <is>
          <t>Barnet</t>
        </is>
      </c>
      <c r="D106" t="n">
        <v>1</v>
      </c>
      <c r="E106" t="n">
        <v>3</v>
      </c>
    </row>
    <row r="107">
      <c r="A107" t="inlineStr">
        <is>
          <t>2026-10-10</t>
        </is>
      </c>
      <c r="B107" t="inlineStr">
        <is>
          <t>Cheltenham Town</t>
        </is>
      </c>
      <c r="C107" t="inlineStr">
        <is>
          <t>Salford City</t>
        </is>
      </c>
      <c r="D107" t="n">
        <v>0</v>
      </c>
      <c r="E107" t="n">
        <v>2</v>
      </c>
    </row>
    <row r="108">
      <c r="A108" t="inlineStr">
        <is>
          <t>2026-10-10</t>
        </is>
      </c>
      <c r="B108" t="inlineStr">
        <is>
          <t>Crawley Town</t>
        </is>
      </c>
      <c r="C108" t="inlineStr">
        <is>
          <t>Chesterfield</t>
        </is>
      </c>
      <c r="D108" t="n">
        <v>2</v>
      </c>
      <c r="E108" t="n">
        <v>2</v>
      </c>
    </row>
    <row r="109">
      <c r="A109" t="inlineStr">
        <is>
          <t>2026-10-10</t>
        </is>
      </c>
      <c r="B109" t="inlineStr">
        <is>
          <t>Fleetwood Town</t>
        </is>
      </c>
      <c r="C109" t="inlineStr">
        <is>
          <t>Walsall</t>
        </is>
      </c>
      <c r="D109" t="n">
        <v>1</v>
      </c>
      <c r="E109" t="n">
        <v>1</v>
      </c>
    </row>
    <row r="110">
      <c r="A110" t="inlineStr">
        <is>
          <t>2026-10-10</t>
        </is>
      </c>
      <c r="B110" t="inlineStr">
        <is>
          <t>Newport County</t>
        </is>
      </c>
      <c r="C110" t="inlineStr">
        <is>
          <t>Colchester United</t>
        </is>
      </c>
      <c r="D110" t="n">
        <v>1</v>
      </c>
      <c r="E110" t="n">
        <v>0</v>
      </c>
    </row>
    <row r="111">
      <c r="A111" t="inlineStr">
        <is>
          <t>2026-10-10</t>
        </is>
      </c>
      <c r="B111" t="inlineStr">
        <is>
          <t>Port Vale</t>
        </is>
      </c>
      <c r="C111" t="inlineStr">
        <is>
          <t>Grimsby Town</t>
        </is>
      </c>
      <c r="D111" t="n">
        <v>1</v>
      </c>
      <c r="E111" t="n">
        <v>0</v>
      </c>
    </row>
    <row r="112">
      <c r="A112" t="inlineStr">
        <is>
          <t>2026-10-10</t>
        </is>
      </c>
      <c r="B112" t="inlineStr">
        <is>
          <t>Rotherham United</t>
        </is>
      </c>
      <c r="C112" t="inlineStr">
        <is>
          <t>Gillingham</t>
        </is>
      </c>
      <c r="D112" t="n">
        <v>1</v>
      </c>
      <c r="E112" t="n">
        <v>4</v>
      </c>
    </row>
    <row r="113">
      <c r="A113" t="inlineStr">
        <is>
          <t>2026-10-10</t>
        </is>
      </c>
      <c r="B113" t="inlineStr">
        <is>
          <t>Shrewsbury Town</t>
        </is>
      </c>
      <c r="C113" t="inlineStr">
        <is>
          <t>Exeter</t>
        </is>
      </c>
      <c r="D113" t="n">
        <v>0</v>
      </c>
      <c r="E113" t="n">
        <v>1</v>
      </c>
    </row>
    <row r="114">
      <c r="A114" t="inlineStr">
        <is>
          <t>2026-10-10</t>
        </is>
      </c>
      <c r="B114" t="inlineStr">
        <is>
          <t>Tranmere Rovers</t>
        </is>
      </c>
      <c r="C114" t="inlineStr">
        <is>
          <t>Rochdale</t>
        </is>
      </c>
      <c r="D114" t="n">
        <v>1</v>
      </c>
      <c r="E114" t="n">
        <v>1</v>
      </c>
    </row>
    <row r="115">
      <c r="A115" t="inlineStr">
        <is>
          <t>2026-10-10</t>
        </is>
      </c>
      <c r="B115" t="inlineStr">
        <is>
          <t>York</t>
        </is>
      </c>
      <c r="C115" t="inlineStr">
        <is>
          <t>Northampton Town</t>
        </is>
      </c>
      <c r="D115" t="n">
        <v>1</v>
      </c>
      <c r="E1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2026-10-13T14:27:55Z</dcterms:created>
  <dcterms:modified xsi:type="dcterms:W3CDTF">2026-10-13T14:27:55Z</dcterms:modified>
</cp:coreProperties>
</file>