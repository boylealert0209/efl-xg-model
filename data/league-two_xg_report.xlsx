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ague Table" sheetId="1" state="visible" r:id="rId1"/>
    <sheet name="Overview" sheetId="2" state="visible" r:id="rId2"/>
    <sheet name="Supremacy Delta" sheetId="3" state="visible" r:id="rId3"/>
    <sheet name="Total xG Delta" sheetId="4" state="visible" r:id="rId4"/>
    <sheet name="Accrington Stanley" sheetId="5" state="visible" r:id="rId5"/>
    <sheet name="Barnet" sheetId="6" state="visible" r:id="rId6"/>
    <sheet name="Bristol Rvs" sheetId="7" state="visible" r:id="rId7"/>
    <sheet name="Cheltenham Town" sheetId="8" state="visible" r:id="rId8"/>
    <sheet name="Chesterfield" sheetId="9" state="visible" r:id="rId9"/>
    <sheet name="Colchester United" sheetId="10" state="visible" r:id="rId10"/>
    <sheet name="Crawley Town" sheetId="11" state="visible" r:id="rId11"/>
    <sheet name="Crewe Alexandra" sheetId="12" state="visible" r:id="rId12"/>
    <sheet name="Exeter" sheetId="13" state="visible" r:id="rId13"/>
    <sheet name="Fleetwood Town" sheetId="14" state="visible" r:id="rId14"/>
    <sheet name="Gillingham" sheetId="15" state="visible" r:id="rId15"/>
    <sheet name="Grimsby Town" sheetId="16" state="visible" r:id="rId16"/>
    <sheet name="Newport County" sheetId="17" state="visible" r:id="rId17"/>
    <sheet name="Northampton Town" sheetId="18" state="visible" r:id="rId18"/>
    <sheet name="Oldham Athletic" sheetId="19" state="visible" r:id="rId19"/>
    <sheet name="Port Vale" sheetId="20" state="visible" r:id="rId20"/>
    <sheet name="Rochdale" sheetId="21" state="visible" r:id="rId21"/>
    <sheet name="Rotherham United" sheetId="22" state="visible" r:id="rId22"/>
    <sheet name="Salford City" sheetId="23" state="visible" r:id="rId23"/>
    <sheet name="Shrewsbury Town" sheetId="24" state="visible" r:id="rId24"/>
    <sheet name="Swindon Town" sheetId="25" state="visible" r:id="rId25"/>
    <sheet name="Tranmere Rovers" sheetId="26" state="visible" r:id="rId26"/>
    <sheet name="Walsall" sheetId="27" state="visible" r:id="rId27"/>
    <sheet name="York" sheetId="28" state="visible" r:id="rId28"/>
    <sheet name="Results Data" sheetId="29" state="hidden" r:id="rId2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2" fontId="2" fillId="0" borderId="0" pivotButton="0" quotePrefix="0" xfId="0"/>
    <xf numFmtId="2" fontId="3" fillId="3" borderId="0" pivotButton="0" quotePrefix="0" xfId="0"/>
    <xf numFmtId="0" fontId="3" fillId="0" borderId="0" pivotButton="0" quotePrefix="0" xfId="0"/>
    <xf numFmtId="1" fontId="2" fillId="3" borderId="0" pivotButton="0" quotePrefix="0" xfId="0"/>
    <xf numFmtId="2" fontId="2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styles" Target="styles.xml" Id="rId30" /><Relationship Type="http://schemas.openxmlformats.org/officeDocument/2006/relationships/theme" Target="theme/theme1.xml" Id="rId31" /></Relationships>
</file>

<file path=xl/comments/comment1.xml><?xml version="1.0" encoding="utf-8"?>
<comments xmlns="http://schemas.openxmlformats.org/spreadsheetml/2006/main">
  <authors>
    <author>build_team_workbook.py</author>
  </authors>
  <commentList>
    <comment ref="A1" authorId="0" shapeId="0">
      <text>
        <t>"MW" here means this team's own 1st, 2nd, 3rd... match of the season in date order - not the official EFL gameweek number. They usually line up, but postponed/rearranged fixtures can knock a team's Nth match out of sync with the calendar week.</t>
      </text>
    </comment>
  </commentList>
</comments>
</file>

<file path=xl/comments/comment2.xml><?xml version="1.0" encoding="utf-8"?>
<comments xmlns="http://schemas.openxmlformats.org/spreadsheetml/2006/main">
  <authors>
    <author>build_team_workbook.py</author>
  </authors>
  <commentList>
    <comment ref="A1" authorId="0" shapeId="0">
      <text>
        <t>"MW" here means this team's own 1st, 2nd, 3rd... match of the season in date order - not the official EFL gameweek number. They usually line up, but postponed/rearranged fixtures can knock a team's Nth match out of sync with the calendar week.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19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</cols>
  <sheetData>
    <row r="1" ht="30" customHeight="1">
      <c r="A1" s="1" t="inlineStr">
        <is>
          <t>Pos</t>
        </is>
      </c>
      <c r="B1" s="1" t="inlineStr">
        <is>
          <t>Team</t>
        </is>
      </c>
      <c r="C1" s="1" t="inlineStr">
        <is>
          <t>P</t>
        </is>
      </c>
      <c r="D1" s="1" t="inlineStr">
        <is>
          <t>W</t>
        </is>
      </c>
      <c r="E1" s="1" t="inlineStr">
        <is>
          <t>D</t>
        </is>
      </c>
      <c r="F1" s="1" t="inlineStr">
        <is>
          <t>L</t>
        </is>
      </c>
      <c r="G1" s="1" t="inlineStr">
        <is>
          <t>GF</t>
        </is>
      </c>
      <c r="H1" s="1" t="inlineStr">
        <is>
          <t>GA</t>
        </is>
      </c>
      <c r="I1" s="1" t="inlineStr">
        <is>
          <t>GD</t>
        </is>
      </c>
      <c r="J1" s="1" t="inlineStr">
        <is>
          <t>Pts</t>
        </is>
      </c>
    </row>
    <row r="2">
      <c r="A2" s="2">
        <f>ROW()-1</f>
        <v/>
      </c>
      <c r="B2" s="3" t="inlineStr">
        <is>
          <t>Barnet</t>
        </is>
      </c>
      <c r="C2" s="3">
        <f>COUNTIF('Results Data'!$B$2:$B$73,$B2)+COUNTIF('Results Data'!$C$2:$C$73,$B2)</f>
        <v/>
      </c>
      <c r="D2" s="3">
        <f>SUMPRODUCT(('Results Data'!$B$2:$B$73=$B2)*('Results Data'!$D$2:$D$73&gt;'Results Data'!$E$2:$E$73))+SUMPRODUCT(('Results Data'!$C$2:$C$73=$B2)*('Results Data'!$E$2:$E$73&gt;'Results Data'!$D$2:$D$73))</f>
        <v/>
      </c>
      <c r="E2" s="3">
        <f>SUMPRODUCT(('Results Data'!$B$2:$B$73=$B2)*('Results Data'!$D$2:$D$73='Results Data'!$E$2:$E$73))+SUMPRODUCT(('Results Data'!$C$2:$C$73=$B2)*('Results Data'!$E$2:$E$73='Results Data'!$D$2:$D$73))</f>
        <v/>
      </c>
      <c r="F2" s="3">
        <f>C2-D2-E2</f>
        <v/>
      </c>
      <c r="G2" s="3">
        <f>SUMIF('Results Data'!$B$2:$B$73,$B2,'Results Data'!$D$2:$D$73)+SUMIF('Results Data'!$C$2:$C$73,$B2,'Results Data'!$E$2:$E$73)</f>
        <v/>
      </c>
      <c r="H2" s="3">
        <f>SUMIF('Results Data'!$B$2:$B$73,$B2,'Results Data'!$E$2:$E$73)+SUMIF('Results Data'!$C$2:$C$73,$B2,'Results Data'!$D$2:$D$73)</f>
        <v/>
      </c>
      <c r="I2" s="3">
        <f>G2-H2</f>
        <v/>
      </c>
      <c r="J2" s="3">
        <f>D2*3+E2</f>
        <v/>
      </c>
    </row>
    <row r="3">
      <c r="A3" s="2">
        <f>ROW()-1</f>
        <v/>
      </c>
      <c r="B3" s="3" t="inlineStr">
        <is>
          <t>Bristol Rvs</t>
        </is>
      </c>
      <c r="C3" s="3">
        <f>COUNTIF('Results Data'!$B$2:$B$73,$B3)+COUNTIF('Results Data'!$C$2:$C$73,$B3)</f>
        <v/>
      </c>
      <c r="D3" s="3">
        <f>SUMPRODUCT(('Results Data'!$B$2:$B$73=$B3)*('Results Data'!$D$2:$D$73&gt;'Results Data'!$E$2:$E$73))+SUMPRODUCT(('Results Data'!$C$2:$C$73=$B3)*('Results Data'!$E$2:$E$73&gt;'Results Data'!$D$2:$D$73))</f>
        <v/>
      </c>
      <c r="E3" s="3">
        <f>SUMPRODUCT(('Results Data'!$B$2:$B$73=$B3)*('Results Data'!$D$2:$D$73='Results Data'!$E$2:$E$73))+SUMPRODUCT(('Results Data'!$C$2:$C$73=$B3)*('Results Data'!$E$2:$E$73='Results Data'!$D$2:$D$73))</f>
        <v/>
      </c>
      <c r="F3" s="3">
        <f>C3-D3-E3</f>
        <v/>
      </c>
      <c r="G3" s="3">
        <f>SUMIF('Results Data'!$B$2:$B$73,$B3,'Results Data'!$D$2:$D$73)+SUMIF('Results Data'!$C$2:$C$73,$B3,'Results Data'!$E$2:$E$73)</f>
        <v/>
      </c>
      <c r="H3" s="3">
        <f>SUMIF('Results Data'!$B$2:$B$73,$B3,'Results Data'!$E$2:$E$73)+SUMIF('Results Data'!$C$2:$C$73,$B3,'Results Data'!$D$2:$D$73)</f>
        <v/>
      </c>
      <c r="I3" s="3">
        <f>G3-H3</f>
        <v/>
      </c>
      <c r="J3" s="3">
        <f>D3*3+E3</f>
        <v/>
      </c>
    </row>
    <row r="4">
      <c r="A4" s="2">
        <f>ROW()-1</f>
        <v/>
      </c>
      <c r="B4" s="3" t="inlineStr">
        <is>
          <t>York</t>
        </is>
      </c>
      <c r="C4" s="3">
        <f>COUNTIF('Results Data'!$B$2:$B$73,$B4)+COUNTIF('Results Data'!$C$2:$C$73,$B4)</f>
        <v/>
      </c>
      <c r="D4" s="3">
        <f>SUMPRODUCT(('Results Data'!$B$2:$B$73=$B4)*('Results Data'!$D$2:$D$73&gt;'Results Data'!$E$2:$E$73))+SUMPRODUCT(('Results Data'!$C$2:$C$73=$B4)*('Results Data'!$E$2:$E$73&gt;'Results Data'!$D$2:$D$73))</f>
        <v/>
      </c>
      <c r="E4" s="3">
        <f>SUMPRODUCT(('Results Data'!$B$2:$B$73=$B4)*('Results Data'!$D$2:$D$73='Results Data'!$E$2:$E$73))+SUMPRODUCT(('Results Data'!$C$2:$C$73=$B4)*('Results Data'!$E$2:$E$73='Results Data'!$D$2:$D$73))</f>
        <v/>
      </c>
      <c r="F4" s="3">
        <f>C4-D4-E4</f>
        <v/>
      </c>
      <c r="G4" s="3">
        <f>SUMIF('Results Data'!$B$2:$B$73,$B4,'Results Data'!$D$2:$D$73)+SUMIF('Results Data'!$C$2:$C$73,$B4,'Results Data'!$E$2:$E$73)</f>
        <v/>
      </c>
      <c r="H4" s="3">
        <f>SUMIF('Results Data'!$B$2:$B$73,$B4,'Results Data'!$E$2:$E$73)+SUMIF('Results Data'!$C$2:$C$73,$B4,'Results Data'!$D$2:$D$73)</f>
        <v/>
      </c>
      <c r="I4" s="3">
        <f>G4-H4</f>
        <v/>
      </c>
      <c r="J4" s="3">
        <f>D4*3+E4</f>
        <v/>
      </c>
    </row>
    <row r="5">
      <c r="A5" s="2">
        <f>ROW()-1</f>
        <v/>
      </c>
      <c r="B5" s="3" t="inlineStr">
        <is>
          <t>Cheltenham Town</t>
        </is>
      </c>
      <c r="C5" s="3">
        <f>COUNTIF('Results Data'!$B$2:$B$73,$B5)+COUNTIF('Results Data'!$C$2:$C$73,$B5)</f>
        <v/>
      </c>
      <c r="D5" s="3">
        <f>SUMPRODUCT(('Results Data'!$B$2:$B$73=$B5)*('Results Data'!$D$2:$D$73&gt;'Results Data'!$E$2:$E$73))+SUMPRODUCT(('Results Data'!$C$2:$C$73=$B5)*('Results Data'!$E$2:$E$73&gt;'Results Data'!$D$2:$D$73))</f>
        <v/>
      </c>
      <c r="E5" s="3">
        <f>SUMPRODUCT(('Results Data'!$B$2:$B$73=$B5)*('Results Data'!$D$2:$D$73='Results Data'!$E$2:$E$73))+SUMPRODUCT(('Results Data'!$C$2:$C$73=$B5)*('Results Data'!$E$2:$E$73='Results Data'!$D$2:$D$73))</f>
        <v/>
      </c>
      <c r="F5" s="3">
        <f>C5-D5-E5</f>
        <v/>
      </c>
      <c r="G5" s="3">
        <f>SUMIF('Results Data'!$B$2:$B$73,$B5,'Results Data'!$D$2:$D$73)+SUMIF('Results Data'!$C$2:$C$73,$B5,'Results Data'!$E$2:$E$73)</f>
        <v/>
      </c>
      <c r="H5" s="3">
        <f>SUMIF('Results Data'!$B$2:$B$73,$B5,'Results Data'!$E$2:$E$73)+SUMIF('Results Data'!$C$2:$C$73,$B5,'Results Data'!$D$2:$D$73)</f>
        <v/>
      </c>
      <c r="I5" s="3">
        <f>G5-H5</f>
        <v/>
      </c>
      <c r="J5" s="3">
        <f>D5*3+E5</f>
        <v/>
      </c>
    </row>
    <row r="6">
      <c r="A6" s="2">
        <f>ROW()-1</f>
        <v/>
      </c>
      <c r="B6" s="3" t="inlineStr">
        <is>
          <t>Walsall</t>
        </is>
      </c>
      <c r="C6" s="3">
        <f>COUNTIF('Results Data'!$B$2:$B$73,$B6)+COUNTIF('Results Data'!$C$2:$C$73,$B6)</f>
        <v/>
      </c>
      <c r="D6" s="3">
        <f>SUMPRODUCT(('Results Data'!$B$2:$B$73=$B6)*('Results Data'!$D$2:$D$73&gt;'Results Data'!$E$2:$E$73))+SUMPRODUCT(('Results Data'!$C$2:$C$73=$B6)*('Results Data'!$E$2:$E$73&gt;'Results Data'!$D$2:$D$73))</f>
        <v/>
      </c>
      <c r="E6" s="3">
        <f>SUMPRODUCT(('Results Data'!$B$2:$B$73=$B6)*('Results Data'!$D$2:$D$73='Results Data'!$E$2:$E$73))+SUMPRODUCT(('Results Data'!$C$2:$C$73=$B6)*('Results Data'!$E$2:$E$73='Results Data'!$D$2:$D$73))</f>
        <v/>
      </c>
      <c r="F6" s="3">
        <f>C6-D6-E6</f>
        <v/>
      </c>
      <c r="G6" s="3">
        <f>SUMIF('Results Data'!$B$2:$B$73,$B6,'Results Data'!$D$2:$D$73)+SUMIF('Results Data'!$C$2:$C$73,$B6,'Results Data'!$E$2:$E$73)</f>
        <v/>
      </c>
      <c r="H6" s="3">
        <f>SUMIF('Results Data'!$B$2:$B$73,$B6,'Results Data'!$E$2:$E$73)+SUMIF('Results Data'!$C$2:$C$73,$B6,'Results Data'!$D$2:$D$73)</f>
        <v/>
      </c>
      <c r="I6" s="3">
        <f>G6-H6</f>
        <v/>
      </c>
      <c r="J6" s="3">
        <f>D6*3+E6</f>
        <v/>
      </c>
    </row>
    <row r="7">
      <c r="A7" s="2">
        <f>ROW()-1</f>
        <v/>
      </c>
      <c r="B7" s="3" t="inlineStr">
        <is>
          <t>Grimsby Town</t>
        </is>
      </c>
      <c r="C7" s="3">
        <f>COUNTIF('Results Data'!$B$2:$B$73,$B7)+COUNTIF('Results Data'!$C$2:$C$73,$B7)</f>
        <v/>
      </c>
      <c r="D7" s="3">
        <f>SUMPRODUCT(('Results Data'!$B$2:$B$73=$B7)*('Results Data'!$D$2:$D$73&gt;'Results Data'!$E$2:$E$73))+SUMPRODUCT(('Results Data'!$C$2:$C$73=$B7)*('Results Data'!$E$2:$E$73&gt;'Results Data'!$D$2:$D$73))</f>
        <v/>
      </c>
      <c r="E7" s="3">
        <f>SUMPRODUCT(('Results Data'!$B$2:$B$73=$B7)*('Results Data'!$D$2:$D$73='Results Data'!$E$2:$E$73))+SUMPRODUCT(('Results Data'!$C$2:$C$73=$B7)*('Results Data'!$E$2:$E$73='Results Data'!$D$2:$D$73))</f>
        <v/>
      </c>
      <c r="F7" s="3">
        <f>C7-D7-E7</f>
        <v/>
      </c>
      <c r="G7" s="3">
        <f>SUMIF('Results Data'!$B$2:$B$73,$B7,'Results Data'!$D$2:$D$73)+SUMIF('Results Data'!$C$2:$C$73,$B7,'Results Data'!$E$2:$E$73)</f>
        <v/>
      </c>
      <c r="H7" s="3">
        <f>SUMIF('Results Data'!$B$2:$B$73,$B7,'Results Data'!$E$2:$E$73)+SUMIF('Results Data'!$C$2:$C$73,$B7,'Results Data'!$D$2:$D$73)</f>
        <v/>
      </c>
      <c r="I7" s="3">
        <f>G7-H7</f>
        <v/>
      </c>
      <c r="J7" s="3">
        <f>D7*3+E7</f>
        <v/>
      </c>
    </row>
    <row r="8">
      <c r="A8" s="2">
        <f>ROW()-1</f>
        <v/>
      </c>
      <c r="B8" s="3" t="inlineStr">
        <is>
          <t>Fleetwood Town</t>
        </is>
      </c>
      <c r="C8" s="3">
        <f>COUNTIF('Results Data'!$B$2:$B$73,$B8)+COUNTIF('Results Data'!$C$2:$C$73,$B8)</f>
        <v/>
      </c>
      <c r="D8" s="3">
        <f>SUMPRODUCT(('Results Data'!$B$2:$B$73=$B8)*('Results Data'!$D$2:$D$73&gt;'Results Data'!$E$2:$E$73))+SUMPRODUCT(('Results Data'!$C$2:$C$73=$B8)*('Results Data'!$E$2:$E$73&gt;'Results Data'!$D$2:$D$73))</f>
        <v/>
      </c>
      <c r="E8" s="3">
        <f>SUMPRODUCT(('Results Data'!$B$2:$B$73=$B8)*('Results Data'!$D$2:$D$73='Results Data'!$E$2:$E$73))+SUMPRODUCT(('Results Data'!$C$2:$C$73=$B8)*('Results Data'!$E$2:$E$73='Results Data'!$D$2:$D$73))</f>
        <v/>
      </c>
      <c r="F8" s="3">
        <f>C8-D8-E8</f>
        <v/>
      </c>
      <c r="G8" s="3">
        <f>SUMIF('Results Data'!$B$2:$B$73,$B8,'Results Data'!$D$2:$D$73)+SUMIF('Results Data'!$C$2:$C$73,$B8,'Results Data'!$E$2:$E$73)</f>
        <v/>
      </c>
      <c r="H8" s="3">
        <f>SUMIF('Results Data'!$B$2:$B$73,$B8,'Results Data'!$E$2:$E$73)+SUMIF('Results Data'!$C$2:$C$73,$B8,'Results Data'!$D$2:$D$73)</f>
        <v/>
      </c>
      <c r="I8" s="3">
        <f>G8-H8</f>
        <v/>
      </c>
      <c r="J8" s="3">
        <f>D8*3+E8</f>
        <v/>
      </c>
    </row>
    <row r="9">
      <c r="A9" s="2">
        <f>ROW()-1</f>
        <v/>
      </c>
      <c r="B9" s="3" t="inlineStr">
        <is>
          <t>Crewe Alexandra</t>
        </is>
      </c>
      <c r="C9" s="3">
        <f>COUNTIF('Results Data'!$B$2:$B$73,$B9)+COUNTIF('Results Data'!$C$2:$C$73,$B9)</f>
        <v/>
      </c>
      <c r="D9" s="3">
        <f>SUMPRODUCT(('Results Data'!$B$2:$B$73=$B9)*('Results Data'!$D$2:$D$73&gt;'Results Data'!$E$2:$E$73))+SUMPRODUCT(('Results Data'!$C$2:$C$73=$B9)*('Results Data'!$E$2:$E$73&gt;'Results Data'!$D$2:$D$73))</f>
        <v/>
      </c>
      <c r="E9" s="3">
        <f>SUMPRODUCT(('Results Data'!$B$2:$B$73=$B9)*('Results Data'!$D$2:$D$73='Results Data'!$E$2:$E$73))+SUMPRODUCT(('Results Data'!$C$2:$C$73=$B9)*('Results Data'!$E$2:$E$73='Results Data'!$D$2:$D$73))</f>
        <v/>
      </c>
      <c r="F9" s="3">
        <f>C9-D9-E9</f>
        <v/>
      </c>
      <c r="G9" s="3">
        <f>SUMIF('Results Data'!$B$2:$B$73,$B9,'Results Data'!$D$2:$D$73)+SUMIF('Results Data'!$C$2:$C$73,$B9,'Results Data'!$E$2:$E$73)</f>
        <v/>
      </c>
      <c r="H9" s="3">
        <f>SUMIF('Results Data'!$B$2:$B$73,$B9,'Results Data'!$E$2:$E$73)+SUMIF('Results Data'!$C$2:$C$73,$B9,'Results Data'!$D$2:$D$73)</f>
        <v/>
      </c>
      <c r="I9" s="3">
        <f>G9-H9</f>
        <v/>
      </c>
      <c r="J9" s="3">
        <f>D9*3+E9</f>
        <v/>
      </c>
    </row>
    <row r="10">
      <c r="A10" s="2">
        <f>ROW()-1</f>
        <v/>
      </c>
      <c r="B10" s="3" t="inlineStr">
        <is>
          <t>Swindon Town</t>
        </is>
      </c>
      <c r="C10" s="3">
        <f>COUNTIF('Results Data'!$B$2:$B$73,$B10)+COUNTIF('Results Data'!$C$2:$C$73,$B10)</f>
        <v/>
      </c>
      <c r="D10" s="3">
        <f>SUMPRODUCT(('Results Data'!$B$2:$B$73=$B10)*('Results Data'!$D$2:$D$73&gt;'Results Data'!$E$2:$E$73))+SUMPRODUCT(('Results Data'!$C$2:$C$73=$B10)*('Results Data'!$E$2:$E$73&gt;'Results Data'!$D$2:$D$73))</f>
        <v/>
      </c>
      <c r="E10" s="3">
        <f>SUMPRODUCT(('Results Data'!$B$2:$B$73=$B10)*('Results Data'!$D$2:$D$73='Results Data'!$E$2:$E$73))+SUMPRODUCT(('Results Data'!$C$2:$C$73=$B10)*('Results Data'!$E$2:$E$73='Results Data'!$D$2:$D$73))</f>
        <v/>
      </c>
      <c r="F10" s="3">
        <f>C10-D10-E10</f>
        <v/>
      </c>
      <c r="G10" s="3">
        <f>SUMIF('Results Data'!$B$2:$B$73,$B10,'Results Data'!$D$2:$D$73)+SUMIF('Results Data'!$C$2:$C$73,$B10,'Results Data'!$E$2:$E$73)</f>
        <v/>
      </c>
      <c r="H10" s="3">
        <f>SUMIF('Results Data'!$B$2:$B$73,$B10,'Results Data'!$E$2:$E$73)+SUMIF('Results Data'!$C$2:$C$73,$B10,'Results Data'!$D$2:$D$73)</f>
        <v/>
      </c>
      <c r="I10" s="3">
        <f>G10-H10</f>
        <v/>
      </c>
      <c r="J10" s="3">
        <f>D10*3+E10</f>
        <v/>
      </c>
    </row>
    <row r="11">
      <c r="A11" s="2">
        <f>ROW()-1</f>
        <v/>
      </c>
      <c r="B11" s="3" t="inlineStr">
        <is>
          <t>Tranmere Rovers</t>
        </is>
      </c>
      <c r="C11" s="3">
        <f>COUNTIF('Results Data'!$B$2:$B$73,$B11)+COUNTIF('Results Data'!$C$2:$C$73,$B11)</f>
        <v/>
      </c>
      <c r="D11" s="3">
        <f>SUMPRODUCT(('Results Data'!$B$2:$B$73=$B11)*('Results Data'!$D$2:$D$73&gt;'Results Data'!$E$2:$E$73))+SUMPRODUCT(('Results Data'!$C$2:$C$73=$B11)*('Results Data'!$E$2:$E$73&gt;'Results Data'!$D$2:$D$73))</f>
        <v/>
      </c>
      <c r="E11" s="3">
        <f>SUMPRODUCT(('Results Data'!$B$2:$B$73=$B11)*('Results Data'!$D$2:$D$73='Results Data'!$E$2:$E$73))+SUMPRODUCT(('Results Data'!$C$2:$C$73=$B11)*('Results Data'!$E$2:$E$73='Results Data'!$D$2:$D$73))</f>
        <v/>
      </c>
      <c r="F11" s="3">
        <f>C11-D11-E11</f>
        <v/>
      </c>
      <c r="G11" s="3">
        <f>SUMIF('Results Data'!$B$2:$B$73,$B11,'Results Data'!$D$2:$D$73)+SUMIF('Results Data'!$C$2:$C$73,$B11,'Results Data'!$E$2:$E$73)</f>
        <v/>
      </c>
      <c r="H11" s="3">
        <f>SUMIF('Results Data'!$B$2:$B$73,$B11,'Results Data'!$E$2:$E$73)+SUMIF('Results Data'!$C$2:$C$73,$B11,'Results Data'!$D$2:$D$73)</f>
        <v/>
      </c>
      <c r="I11" s="3">
        <f>G11-H11</f>
        <v/>
      </c>
      <c r="J11" s="3">
        <f>D11*3+E11</f>
        <v/>
      </c>
    </row>
    <row r="12">
      <c r="A12" s="2">
        <f>ROW()-1</f>
        <v/>
      </c>
      <c r="B12" s="3" t="inlineStr">
        <is>
          <t>Gillingham</t>
        </is>
      </c>
      <c r="C12" s="3">
        <f>COUNTIF('Results Data'!$B$2:$B$73,$B12)+COUNTIF('Results Data'!$C$2:$C$73,$B12)</f>
        <v/>
      </c>
      <c r="D12" s="3">
        <f>SUMPRODUCT(('Results Data'!$B$2:$B$73=$B12)*('Results Data'!$D$2:$D$73&gt;'Results Data'!$E$2:$E$73))+SUMPRODUCT(('Results Data'!$C$2:$C$73=$B12)*('Results Data'!$E$2:$E$73&gt;'Results Data'!$D$2:$D$73))</f>
        <v/>
      </c>
      <c r="E12" s="3">
        <f>SUMPRODUCT(('Results Data'!$B$2:$B$73=$B12)*('Results Data'!$D$2:$D$73='Results Data'!$E$2:$E$73))+SUMPRODUCT(('Results Data'!$C$2:$C$73=$B12)*('Results Data'!$E$2:$E$73='Results Data'!$D$2:$D$73))</f>
        <v/>
      </c>
      <c r="F12" s="3">
        <f>C12-D12-E12</f>
        <v/>
      </c>
      <c r="G12" s="3">
        <f>SUMIF('Results Data'!$B$2:$B$73,$B12,'Results Data'!$D$2:$D$73)+SUMIF('Results Data'!$C$2:$C$73,$B12,'Results Data'!$E$2:$E$73)</f>
        <v/>
      </c>
      <c r="H12" s="3">
        <f>SUMIF('Results Data'!$B$2:$B$73,$B12,'Results Data'!$E$2:$E$73)+SUMIF('Results Data'!$C$2:$C$73,$B12,'Results Data'!$D$2:$D$73)</f>
        <v/>
      </c>
      <c r="I12" s="3">
        <f>G12-H12</f>
        <v/>
      </c>
      <c r="J12" s="3">
        <f>D12*3+E12</f>
        <v/>
      </c>
    </row>
    <row r="13">
      <c r="A13" s="2">
        <f>ROW()-1</f>
        <v/>
      </c>
      <c r="B13" s="3" t="inlineStr">
        <is>
          <t>Chesterfield</t>
        </is>
      </c>
      <c r="C13" s="3">
        <f>COUNTIF('Results Data'!$B$2:$B$73,$B13)+COUNTIF('Results Data'!$C$2:$C$73,$B13)</f>
        <v/>
      </c>
      <c r="D13" s="3">
        <f>SUMPRODUCT(('Results Data'!$B$2:$B$73=$B13)*('Results Data'!$D$2:$D$73&gt;'Results Data'!$E$2:$E$73))+SUMPRODUCT(('Results Data'!$C$2:$C$73=$B13)*('Results Data'!$E$2:$E$73&gt;'Results Data'!$D$2:$D$73))</f>
        <v/>
      </c>
      <c r="E13" s="3">
        <f>SUMPRODUCT(('Results Data'!$B$2:$B$73=$B13)*('Results Data'!$D$2:$D$73='Results Data'!$E$2:$E$73))+SUMPRODUCT(('Results Data'!$C$2:$C$73=$B13)*('Results Data'!$E$2:$E$73='Results Data'!$D$2:$D$73))</f>
        <v/>
      </c>
      <c r="F13" s="3">
        <f>C13-D13-E13</f>
        <v/>
      </c>
      <c r="G13" s="3">
        <f>SUMIF('Results Data'!$B$2:$B$73,$B13,'Results Data'!$D$2:$D$73)+SUMIF('Results Data'!$C$2:$C$73,$B13,'Results Data'!$E$2:$E$73)</f>
        <v/>
      </c>
      <c r="H13" s="3">
        <f>SUMIF('Results Data'!$B$2:$B$73,$B13,'Results Data'!$E$2:$E$73)+SUMIF('Results Data'!$C$2:$C$73,$B13,'Results Data'!$D$2:$D$73)</f>
        <v/>
      </c>
      <c r="I13" s="3">
        <f>G13-H13</f>
        <v/>
      </c>
      <c r="J13" s="3">
        <f>D13*3+E13</f>
        <v/>
      </c>
    </row>
    <row r="14">
      <c r="A14" s="2">
        <f>ROW()-1</f>
        <v/>
      </c>
      <c r="B14" s="3" t="inlineStr">
        <is>
          <t>Colchester United</t>
        </is>
      </c>
      <c r="C14" s="3">
        <f>COUNTIF('Results Data'!$B$2:$B$73,$B14)+COUNTIF('Results Data'!$C$2:$C$73,$B14)</f>
        <v/>
      </c>
      <c r="D14" s="3">
        <f>SUMPRODUCT(('Results Data'!$B$2:$B$73=$B14)*('Results Data'!$D$2:$D$73&gt;'Results Data'!$E$2:$E$73))+SUMPRODUCT(('Results Data'!$C$2:$C$73=$B14)*('Results Data'!$E$2:$E$73&gt;'Results Data'!$D$2:$D$73))</f>
        <v/>
      </c>
      <c r="E14" s="3">
        <f>SUMPRODUCT(('Results Data'!$B$2:$B$73=$B14)*('Results Data'!$D$2:$D$73='Results Data'!$E$2:$E$73))+SUMPRODUCT(('Results Data'!$C$2:$C$73=$B14)*('Results Data'!$E$2:$E$73='Results Data'!$D$2:$D$73))</f>
        <v/>
      </c>
      <c r="F14" s="3">
        <f>C14-D14-E14</f>
        <v/>
      </c>
      <c r="G14" s="3">
        <f>SUMIF('Results Data'!$B$2:$B$73,$B14,'Results Data'!$D$2:$D$73)+SUMIF('Results Data'!$C$2:$C$73,$B14,'Results Data'!$E$2:$E$73)</f>
        <v/>
      </c>
      <c r="H14" s="3">
        <f>SUMIF('Results Data'!$B$2:$B$73,$B14,'Results Data'!$E$2:$E$73)+SUMIF('Results Data'!$C$2:$C$73,$B14,'Results Data'!$D$2:$D$73)</f>
        <v/>
      </c>
      <c r="I14" s="3">
        <f>G14-H14</f>
        <v/>
      </c>
      <c r="J14" s="3">
        <f>D14*3+E14</f>
        <v/>
      </c>
    </row>
    <row r="15">
      <c r="A15" s="2">
        <f>ROW()-1</f>
        <v/>
      </c>
      <c r="B15" s="3" t="inlineStr">
        <is>
          <t>Oldham Athletic</t>
        </is>
      </c>
      <c r="C15" s="3">
        <f>COUNTIF('Results Data'!$B$2:$B$73,$B15)+COUNTIF('Results Data'!$C$2:$C$73,$B15)</f>
        <v/>
      </c>
      <c r="D15" s="3">
        <f>SUMPRODUCT(('Results Data'!$B$2:$B$73=$B15)*('Results Data'!$D$2:$D$73&gt;'Results Data'!$E$2:$E$73))+SUMPRODUCT(('Results Data'!$C$2:$C$73=$B15)*('Results Data'!$E$2:$E$73&gt;'Results Data'!$D$2:$D$73))</f>
        <v/>
      </c>
      <c r="E15" s="3">
        <f>SUMPRODUCT(('Results Data'!$B$2:$B$73=$B15)*('Results Data'!$D$2:$D$73='Results Data'!$E$2:$E$73))+SUMPRODUCT(('Results Data'!$C$2:$C$73=$B15)*('Results Data'!$E$2:$E$73='Results Data'!$D$2:$D$73))</f>
        <v/>
      </c>
      <c r="F15" s="3">
        <f>C15-D15-E15</f>
        <v/>
      </c>
      <c r="G15" s="3">
        <f>SUMIF('Results Data'!$B$2:$B$73,$B15,'Results Data'!$D$2:$D$73)+SUMIF('Results Data'!$C$2:$C$73,$B15,'Results Data'!$E$2:$E$73)</f>
        <v/>
      </c>
      <c r="H15" s="3">
        <f>SUMIF('Results Data'!$B$2:$B$73,$B15,'Results Data'!$E$2:$E$73)+SUMIF('Results Data'!$C$2:$C$73,$B15,'Results Data'!$D$2:$D$73)</f>
        <v/>
      </c>
      <c r="I15" s="3">
        <f>G15-H15</f>
        <v/>
      </c>
      <c r="J15" s="3">
        <f>D15*3+E15</f>
        <v/>
      </c>
    </row>
    <row r="16">
      <c r="A16" s="2">
        <f>ROW()-1</f>
        <v/>
      </c>
      <c r="B16" s="3" t="inlineStr">
        <is>
          <t>Salford City</t>
        </is>
      </c>
      <c r="C16" s="3">
        <f>COUNTIF('Results Data'!$B$2:$B$73,$B16)+COUNTIF('Results Data'!$C$2:$C$73,$B16)</f>
        <v/>
      </c>
      <c r="D16" s="3">
        <f>SUMPRODUCT(('Results Data'!$B$2:$B$73=$B16)*('Results Data'!$D$2:$D$73&gt;'Results Data'!$E$2:$E$73))+SUMPRODUCT(('Results Data'!$C$2:$C$73=$B16)*('Results Data'!$E$2:$E$73&gt;'Results Data'!$D$2:$D$73))</f>
        <v/>
      </c>
      <c r="E16" s="3">
        <f>SUMPRODUCT(('Results Data'!$B$2:$B$73=$B16)*('Results Data'!$D$2:$D$73='Results Data'!$E$2:$E$73))+SUMPRODUCT(('Results Data'!$C$2:$C$73=$B16)*('Results Data'!$E$2:$E$73='Results Data'!$D$2:$D$73))</f>
        <v/>
      </c>
      <c r="F16" s="3">
        <f>C16-D16-E16</f>
        <v/>
      </c>
      <c r="G16" s="3">
        <f>SUMIF('Results Data'!$B$2:$B$73,$B16,'Results Data'!$D$2:$D$73)+SUMIF('Results Data'!$C$2:$C$73,$B16,'Results Data'!$E$2:$E$73)</f>
        <v/>
      </c>
      <c r="H16" s="3">
        <f>SUMIF('Results Data'!$B$2:$B$73,$B16,'Results Data'!$E$2:$E$73)+SUMIF('Results Data'!$C$2:$C$73,$B16,'Results Data'!$D$2:$D$73)</f>
        <v/>
      </c>
      <c r="I16" s="3">
        <f>G16-H16</f>
        <v/>
      </c>
      <c r="J16" s="3">
        <f>D16*3+E16</f>
        <v/>
      </c>
    </row>
    <row r="17">
      <c r="A17" s="2">
        <f>ROW()-1</f>
        <v/>
      </c>
      <c r="B17" s="3" t="inlineStr">
        <is>
          <t>Rotherham United</t>
        </is>
      </c>
      <c r="C17" s="3">
        <f>COUNTIF('Results Data'!$B$2:$B$73,$B17)+COUNTIF('Results Data'!$C$2:$C$73,$B17)</f>
        <v/>
      </c>
      <c r="D17" s="3">
        <f>SUMPRODUCT(('Results Data'!$B$2:$B$73=$B17)*('Results Data'!$D$2:$D$73&gt;'Results Data'!$E$2:$E$73))+SUMPRODUCT(('Results Data'!$C$2:$C$73=$B17)*('Results Data'!$E$2:$E$73&gt;'Results Data'!$D$2:$D$73))</f>
        <v/>
      </c>
      <c r="E17" s="3">
        <f>SUMPRODUCT(('Results Data'!$B$2:$B$73=$B17)*('Results Data'!$D$2:$D$73='Results Data'!$E$2:$E$73))+SUMPRODUCT(('Results Data'!$C$2:$C$73=$B17)*('Results Data'!$E$2:$E$73='Results Data'!$D$2:$D$73))</f>
        <v/>
      </c>
      <c r="F17" s="3">
        <f>C17-D17-E17</f>
        <v/>
      </c>
      <c r="G17" s="3">
        <f>SUMIF('Results Data'!$B$2:$B$73,$B17,'Results Data'!$D$2:$D$73)+SUMIF('Results Data'!$C$2:$C$73,$B17,'Results Data'!$E$2:$E$73)</f>
        <v/>
      </c>
      <c r="H17" s="3">
        <f>SUMIF('Results Data'!$B$2:$B$73,$B17,'Results Data'!$E$2:$E$73)+SUMIF('Results Data'!$C$2:$C$73,$B17,'Results Data'!$D$2:$D$73)</f>
        <v/>
      </c>
      <c r="I17" s="3">
        <f>G17-H17</f>
        <v/>
      </c>
      <c r="J17" s="3">
        <f>D17*3+E17</f>
        <v/>
      </c>
    </row>
    <row r="18">
      <c r="A18" s="2">
        <f>ROW()-1</f>
        <v/>
      </c>
      <c r="B18" s="3" t="inlineStr">
        <is>
          <t>Northampton Town</t>
        </is>
      </c>
      <c r="C18" s="3">
        <f>COUNTIF('Results Data'!$B$2:$B$73,$B18)+COUNTIF('Results Data'!$C$2:$C$73,$B18)</f>
        <v/>
      </c>
      <c r="D18" s="3">
        <f>SUMPRODUCT(('Results Data'!$B$2:$B$73=$B18)*('Results Data'!$D$2:$D$73&gt;'Results Data'!$E$2:$E$73))+SUMPRODUCT(('Results Data'!$C$2:$C$73=$B18)*('Results Data'!$E$2:$E$73&gt;'Results Data'!$D$2:$D$73))</f>
        <v/>
      </c>
      <c r="E18" s="3">
        <f>SUMPRODUCT(('Results Data'!$B$2:$B$73=$B18)*('Results Data'!$D$2:$D$73='Results Data'!$E$2:$E$73))+SUMPRODUCT(('Results Data'!$C$2:$C$73=$B18)*('Results Data'!$E$2:$E$73='Results Data'!$D$2:$D$73))</f>
        <v/>
      </c>
      <c r="F18" s="3">
        <f>C18-D18-E18</f>
        <v/>
      </c>
      <c r="G18" s="3">
        <f>SUMIF('Results Data'!$B$2:$B$73,$B18,'Results Data'!$D$2:$D$73)+SUMIF('Results Data'!$C$2:$C$73,$B18,'Results Data'!$E$2:$E$73)</f>
        <v/>
      </c>
      <c r="H18" s="3">
        <f>SUMIF('Results Data'!$B$2:$B$73,$B18,'Results Data'!$E$2:$E$73)+SUMIF('Results Data'!$C$2:$C$73,$B18,'Results Data'!$D$2:$D$73)</f>
        <v/>
      </c>
      <c r="I18" s="3">
        <f>G18-H18</f>
        <v/>
      </c>
      <c r="J18" s="3">
        <f>D18*3+E18</f>
        <v/>
      </c>
    </row>
    <row r="19">
      <c r="A19" s="2">
        <f>ROW()-1</f>
        <v/>
      </c>
      <c r="B19" s="3" t="inlineStr">
        <is>
          <t>Shrewsbury Town</t>
        </is>
      </c>
      <c r="C19" s="3">
        <f>COUNTIF('Results Data'!$B$2:$B$73,$B19)+COUNTIF('Results Data'!$C$2:$C$73,$B19)</f>
        <v/>
      </c>
      <c r="D19" s="3">
        <f>SUMPRODUCT(('Results Data'!$B$2:$B$73=$B19)*('Results Data'!$D$2:$D$73&gt;'Results Data'!$E$2:$E$73))+SUMPRODUCT(('Results Data'!$C$2:$C$73=$B19)*('Results Data'!$E$2:$E$73&gt;'Results Data'!$D$2:$D$73))</f>
        <v/>
      </c>
      <c r="E19" s="3">
        <f>SUMPRODUCT(('Results Data'!$B$2:$B$73=$B19)*('Results Data'!$D$2:$D$73='Results Data'!$E$2:$E$73))+SUMPRODUCT(('Results Data'!$C$2:$C$73=$B19)*('Results Data'!$E$2:$E$73='Results Data'!$D$2:$D$73))</f>
        <v/>
      </c>
      <c r="F19" s="3">
        <f>C19-D19-E19</f>
        <v/>
      </c>
      <c r="G19" s="3">
        <f>SUMIF('Results Data'!$B$2:$B$73,$B19,'Results Data'!$D$2:$D$73)+SUMIF('Results Data'!$C$2:$C$73,$B19,'Results Data'!$E$2:$E$73)</f>
        <v/>
      </c>
      <c r="H19" s="3">
        <f>SUMIF('Results Data'!$B$2:$B$73,$B19,'Results Data'!$E$2:$E$73)+SUMIF('Results Data'!$C$2:$C$73,$B19,'Results Data'!$D$2:$D$73)</f>
        <v/>
      </c>
      <c r="I19" s="3">
        <f>G19-H19</f>
        <v/>
      </c>
      <c r="J19" s="3">
        <f>D19*3+E19</f>
        <v/>
      </c>
    </row>
    <row r="20">
      <c r="A20" s="2">
        <f>ROW()-1</f>
        <v/>
      </c>
      <c r="B20" s="3" t="inlineStr">
        <is>
          <t>Newport County</t>
        </is>
      </c>
      <c r="C20" s="3">
        <f>COUNTIF('Results Data'!$B$2:$B$73,$B20)+COUNTIF('Results Data'!$C$2:$C$73,$B20)</f>
        <v/>
      </c>
      <c r="D20" s="3">
        <f>SUMPRODUCT(('Results Data'!$B$2:$B$73=$B20)*('Results Data'!$D$2:$D$73&gt;'Results Data'!$E$2:$E$73))+SUMPRODUCT(('Results Data'!$C$2:$C$73=$B20)*('Results Data'!$E$2:$E$73&gt;'Results Data'!$D$2:$D$73))</f>
        <v/>
      </c>
      <c r="E20" s="3">
        <f>SUMPRODUCT(('Results Data'!$B$2:$B$73=$B20)*('Results Data'!$D$2:$D$73='Results Data'!$E$2:$E$73))+SUMPRODUCT(('Results Data'!$C$2:$C$73=$B20)*('Results Data'!$E$2:$E$73='Results Data'!$D$2:$D$73))</f>
        <v/>
      </c>
      <c r="F20" s="3">
        <f>C20-D20-E20</f>
        <v/>
      </c>
      <c r="G20" s="3">
        <f>SUMIF('Results Data'!$B$2:$B$73,$B20,'Results Data'!$D$2:$D$73)+SUMIF('Results Data'!$C$2:$C$73,$B20,'Results Data'!$E$2:$E$73)</f>
        <v/>
      </c>
      <c r="H20" s="3">
        <f>SUMIF('Results Data'!$B$2:$B$73,$B20,'Results Data'!$E$2:$E$73)+SUMIF('Results Data'!$C$2:$C$73,$B20,'Results Data'!$D$2:$D$73)</f>
        <v/>
      </c>
      <c r="I20" s="3">
        <f>G20-H20</f>
        <v/>
      </c>
      <c r="J20" s="3">
        <f>D20*3+E20</f>
        <v/>
      </c>
    </row>
    <row r="21">
      <c r="A21" s="2">
        <f>ROW()-1</f>
        <v/>
      </c>
      <c r="B21" s="3" t="inlineStr">
        <is>
          <t>Exeter</t>
        </is>
      </c>
      <c r="C21" s="3">
        <f>COUNTIF('Results Data'!$B$2:$B$73,$B21)+COUNTIF('Results Data'!$C$2:$C$73,$B21)</f>
        <v/>
      </c>
      <c r="D21" s="3">
        <f>SUMPRODUCT(('Results Data'!$B$2:$B$73=$B21)*('Results Data'!$D$2:$D$73&gt;'Results Data'!$E$2:$E$73))+SUMPRODUCT(('Results Data'!$C$2:$C$73=$B21)*('Results Data'!$E$2:$E$73&gt;'Results Data'!$D$2:$D$73))</f>
        <v/>
      </c>
      <c r="E21" s="3">
        <f>SUMPRODUCT(('Results Data'!$B$2:$B$73=$B21)*('Results Data'!$D$2:$D$73='Results Data'!$E$2:$E$73))+SUMPRODUCT(('Results Data'!$C$2:$C$73=$B21)*('Results Data'!$E$2:$E$73='Results Data'!$D$2:$D$73))</f>
        <v/>
      </c>
      <c r="F21" s="3">
        <f>C21-D21-E21</f>
        <v/>
      </c>
      <c r="G21" s="3">
        <f>SUMIF('Results Data'!$B$2:$B$73,$B21,'Results Data'!$D$2:$D$73)+SUMIF('Results Data'!$C$2:$C$73,$B21,'Results Data'!$E$2:$E$73)</f>
        <v/>
      </c>
      <c r="H21" s="3">
        <f>SUMIF('Results Data'!$B$2:$B$73,$B21,'Results Data'!$E$2:$E$73)+SUMIF('Results Data'!$C$2:$C$73,$B21,'Results Data'!$D$2:$D$73)</f>
        <v/>
      </c>
      <c r="I21" s="3">
        <f>G21-H21</f>
        <v/>
      </c>
      <c r="J21" s="3">
        <f>D21*3+E21</f>
        <v/>
      </c>
    </row>
    <row r="22">
      <c r="A22" s="2">
        <f>ROW()-1</f>
        <v/>
      </c>
      <c r="B22" s="3" t="inlineStr">
        <is>
          <t>Accrington Stanley</t>
        </is>
      </c>
      <c r="C22" s="3">
        <f>COUNTIF('Results Data'!$B$2:$B$73,$B22)+COUNTIF('Results Data'!$C$2:$C$73,$B22)</f>
        <v/>
      </c>
      <c r="D22" s="3">
        <f>SUMPRODUCT(('Results Data'!$B$2:$B$73=$B22)*('Results Data'!$D$2:$D$73&gt;'Results Data'!$E$2:$E$73))+SUMPRODUCT(('Results Data'!$C$2:$C$73=$B22)*('Results Data'!$E$2:$E$73&gt;'Results Data'!$D$2:$D$73))</f>
        <v/>
      </c>
      <c r="E22" s="3">
        <f>SUMPRODUCT(('Results Data'!$B$2:$B$73=$B22)*('Results Data'!$D$2:$D$73='Results Data'!$E$2:$E$73))+SUMPRODUCT(('Results Data'!$C$2:$C$73=$B22)*('Results Data'!$E$2:$E$73='Results Data'!$D$2:$D$73))</f>
        <v/>
      </c>
      <c r="F22" s="3">
        <f>C22-D22-E22</f>
        <v/>
      </c>
      <c r="G22" s="3">
        <f>SUMIF('Results Data'!$B$2:$B$73,$B22,'Results Data'!$D$2:$D$73)+SUMIF('Results Data'!$C$2:$C$73,$B22,'Results Data'!$E$2:$E$73)</f>
        <v/>
      </c>
      <c r="H22" s="3">
        <f>SUMIF('Results Data'!$B$2:$B$73,$B22,'Results Data'!$E$2:$E$73)+SUMIF('Results Data'!$C$2:$C$73,$B22,'Results Data'!$D$2:$D$73)</f>
        <v/>
      </c>
      <c r="I22" s="3">
        <f>G22-H22</f>
        <v/>
      </c>
      <c r="J22" s="3">
        <f>D22*3+E22</f>
        <v/>
      </c>
    </row>
    <row r="23">
      <c r="A23" s="2">
        <f>ROW()-1</f>
        <v/>
      </c>
      <c r="B23" s="3" t="inlineStr">
        <is>
          <t>Port Vale</t>
        </is>
      </c>
      <c r="C23" s="3">
        <f>COUNTIF('Results Data'!$B$2:$B$73,$B23)+COUNTIF('Results Data'!$C$2:$C$73,$B23)</f>
        <v/>
      </c>
      <c r="D23" s="3">
        <f>SUMPRODUCT(('Results Data'!$B$2:$B$73=$B23)*('Results Data'!$D$2:$D$73&gt;'Results Data'!$E$2:$E$73))+SUMPRODUCT(('Results Data'!$C$2:$C$73=$B23)*('Results Data'!$E$2:$E$73&gt;'Results Data'!$D$2:$D$73))</f>
        <v/>
      </c>
      <c r="E23" s="3">
        <f>SUMPRODUCT(('Results Data'!$B$2:$B$73=$B23)*('Results Data'!$D$2:$D$73='Results Data'!$E$2:$E$73))+SUMPRODUCT(('Results Data'!$C$2:$C$73=$B23)*('Results Data'!$E$2:$E$73='Results Data'!$D$2:$D$73))</f>
        <v/>
      </c>
      <c r="F23" s="3">
        <f>C23-D23-E23</f>
        <v/>
      </c>
      <c r="G23" s="3">
        <f>SUMIF('Results Data'!$B$2:$B$73,$B23,'Results Data'!$D$2:$D$73)+SUMIF('Results Data'!$C$2:$C$73,$B23,'Results Data'!$E$2:$E$73)</f>
        <v/>
      </c>
      <c r="H23" s="3">
        <f>SUMIF('Results Data'!$B$2:$B$73,$B23,'Results Data'!$E$2:$E$73)+SUMIF('Results Data'!$C$2:$C$73,$B23,'Results Data'!$D$2:$D$73)</f>
        <v/>
      </c>
      <c r="I23" s="3">
        <f>G23-H23</f>
        <v/>
      </c>
      <c r="J23" s="3">
        <f>D23*3+E23</f>
        <v/>
      </c>
    </row>
    <row r="24">
      <c r="A24" s="2">
        <f>ROW()-1</f>
        <v/>
      </c>
      <c r="B24" s="3" t="inlineStr">
        <is>
          <t>Crawley Town</t>
        </is>
      </c>
      <c r="C24" s="3">
        <f>COUNTIF('Results Data'!$B$2:$B$73,$B24)+COUNTIF('Results Data'!$C$2:$C$73,$B24)</f>
        <v/>
      </c>
      <c r="D24" s="3">
        <f>SUMPRODUCT(('Results Data'!$B$2:$B$73=$B24)*('Results Data'!$D$2:$D$73&gt;'Results Data'!$E$2:$E$73))+SUMPRODUCT(('Results Data'!$C$2:$C$73=$B24)*('Results Data'!$E$2:$E$73&gt;'Results Data'!$D$2:$D$73))</f>
        <v/>
      </c>
      <c r="E24" s="3">
        <f>SUMPRODUCT(('Results Data'!$B$2:$B$73=$B24)*('Results Data'!$D$2:$D$73='Results Data'!$E$2:$E$73))+SUMPRODUCT(('Results Data'!$C$2:$C$73=$B24)*('Results Data'!$E$2:$E$73='Results Data'!$D$2:$D$73))</f>
        <v/>
      </c>
      <c r="F24" s="3">
        <f>C24-D24-E24</f>
        <v/>
      </c>
      <c r="G24" s="3">
        <f>SUMIF('Results Data'!$B$2:$B$73,$B24,'Results Data'!$D$2:$D$73)+SUMIF('Results Data'!$C$2:$C$73,$B24,'Results Data'!$E$2:$E$73)</f>
        <v/>
      </c>
      <c r="H24" s="3">
        <f>SUMIF('Results Data'!$B$2:$B$73,$B24,'Results Data'!$E$2:$E$73)+SUMIF('Results Data'!$C$2:$C$73,$B24,'Results Data'!$D$2:$D$73)</f>
        <v/>
      </c>
      <c r="I24" s="3">
        <f>G24-H24</f>
        <v/>
      </c>
      <c r="J24" s="3">
        <f>D24*3+E24</f>
        <v/>
      </c>
    </row>
    <row r="25">
      <c r="A25" s="2">
        <f>ROW()-1</f>
        <v/>
      </c>
      <c r="B25" s="3" t="inlineStr">
        <is>
          <t>Rochdale</t>
        </is>
      </c>
      <c r="C25" s="3">
        <f>COUNTIF('Results Data'!$B$2:$B$73,$B25)+COUNTIF('Results Data'!$C$2:$C$73,$B25)</f>
        <v/>
      </c>
      <c r="D25" s="3">
        <f>SUMPRODUCT(('Results Data'!$B$2:$B$73=$B25)*('Results Data'!$D$2:$D$73&gt;'Results Data'!$E$2:$E$73))+SUMPRODUCT(('Results Data'!$C$2:$C$73=$B25)*('Results Data'!$E$2:$E$73&gt;'Results Data'!$D$2:$D$73))</f>
        <v/>
      </c>
      <c r="E25" s="3">
        <f>SUMPRODUCT(('Results Data'!$B$2:$B$73=$B25)*('Results Data'!$D$2:$D$73='Results Data'!$E$2:$E$73))+SUMPRODUCT(('Results Data'!$C$2:$C$73=$B25)*('Results Data'!$E$2:$E$73='Results Data'!$D$2:$D$73))</f>
        <v/>
      </c>
      <c r="F25" s="3">
        <f>C25-D25-E25</f>
        <v/>
      </c>
      <c r="G25" s="3">
        <f>SUMIF('Results Data'!$B$2:$B$73,$B25,'Results Data'!$D$2:$D$73)+SUMIF('Results Data'!$C$2:$C$73,$B25,'Results Data'!$E$2:$E$73)</f>
        <v/>
      </c>
      <c r="H25" s="3">
        <f>SUMIF('Results Data'!$B$2:$B$73,$B25,'Results Data'!$E$2:$E$73)+SUMIF('Results Data'!$C$2:$C$73,$B25,'Results Data'!$D$2:$D$73)</f>
        <v/>
      </c>
      <c r="I25" s="3">
        <f>G25-H25</f>
        <v/>
      </c>
      <c r="J25" s="3">
        <f>D25*3+E25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4" customWidth="1" min="2" max="2"/>
    <col width="4" customWidth="1" min="3" max="3"/>
    <col width="4" customWidth="1" min="4" max="4"/>
    <col width="6" customWidth="1" min="5" max="5"/>
    <col width="6" customWidth="1" min="6" max="6"/>
    <col width="6" customWidth="1" min="7" max="7"/>
    <col width="6" customWidth="1" min="8" max="8"/>
  </cols>
  <sheetData>
    <row r="1" ht="30" customHeight="1">
      <c r="A1" s="1" t="inlineStr">
        <is>
          <t>Team</t>
        </is>
      </c>
      <c r="B1" s="1" t="inlineStr">
        <is>
          <t>Matches Played</t>
        </is>
      </c>
      <c r="C1" s="1" t="inlineStr">
        <is>
          <t>Total Goals For</t>
        </is>
      </c>
      <c r="D1" s="1" t="inlineStr">
        <is>
          <t>Total Goals Against</t>
        </is>
      </c>
      <c r="E1" s="1" t="inlineStr">
        <is>
          <t>Avg xG Delta (For)</t>
        </is>
      </c>
      <c r="F1" s="1" t="inlineStr">
        <is>
          <t>Avg xG Delta (Against)</t>
        </is>
      </c>
      <c r="G1" s="1" t="inlineStr">
        <is>
          <t>Current Form (6, For)</t>
        </is>
      </c>
      <c r="H1" s="1" t="inlineStr">
        <is>
          <t>Current Form (6, Against)</t>
        </is>
      </c>
    </row>
    <row r="2">
      <c r="A2" s="3" t="inlineStr">
        <is>
          <t>Accrington Stanley</t>
        </is>
      </c>
      <c r="B2" s="3">
        <f>'Accrington Stanley'!$E$10</f>
        <v/>
      </c>
      <c r="C2" s="3">
        <f>'Accrington Stanley'!$E$11</f>
        <v/>
      </c>
      <c r="D2" s="3">
        <f>'Accrington Stanley'!$E$12</f>
        <v/>
      </c>
      <c r="E2" s="4">
        <f>'Accrington Stanley'!$E$13</f>
        <v/>
      </c>
      <c r="F2" s="4">
        <f>'Accrington Stanley'!$E$14</f>
        <v/>
      </c>
      <c r="G2" s="4">
        <f>'Accrington Stanley'!$E$17</f>
        <v/>
      </c>
      <c r="H2" s="4">
        <f>'Accrington Stanley'!$E$18</f>
        <v/>
      </c>
    </row>
    <row r="3">
      <c r="A3" s="3" t="inlineStr">
        <is>
          <t>Barnet</t>
        </is>
      </c>
      <c r="B3" s="3">
        <f>'Barnet'!$E$10</f>
        <v/>
      </c>
      <c r="C3" s="3">
        <f>'Barnet'!$E$11</f>
        <v/>
      </c>
      <c r="D3" s="3">
        <f>'Barnet'!$E$12</f>
        <v/>
      </c>
      <c r="E3" s="4">
        <f>'Barnet'!$E$13</f>
        <v/>
      </c>
      <c r="F3" s="4">
        <f>'Barnet'!$E$14</f>
        <v/>
      </c>
      <c r="G3" s="4">
        <f>'Barnet'!$E$17</f>
        <v/>
      </c>
      <c r="H3" s="4">
        <f>'Barnet'!$E$18</f>
        <v/>
      </c>
    </row>
    <row r="4">
      <c r="A4" s="3" t="inlineStr">
        <is>
          <t>Bristol Rvs</t>
        </is>
      </c>
      <c r="B4" s="3">
        <f>'Bristol Rvs'!$E$10</f>
        <v/>
      </c>
      <c r="C4" s="3">
        <f>'Bristol Rvs'!$E$11</f>
        <v/>
      </c>
      <c r="D4" s="3">
        <f>'Bristol Rvs'!$E$12</f>
        <v/>
      </c>
      <c r="E4" s="4">
        <f>'Bristol Rvs'!$E$13</f>
        <v/>
      </c>
      <c r="F4" s="4">
        <f>'Bristol Rvs'!$E$14</f>
        <v/>
      </c>
      <c r="G4" s="4">
        <f>'Bristol Rvs'!$E$17</f>
        <v/>
      </c>
      <c r="H4" s="4">
        <f>'Bristol Rvs'!$E$18</f>
        <v/>
      </c>
    </row>
    <row r="5">
      <c r="A5" s="3" t="inlineStr">
        <is>
          <t>Cheltenham Town</t>
        </is>
      </c>
      <c r="B5" s="3">
        <f>'Cheltenham Town'!$E$10</f>
        <v/>
      </c>
      <c r="C5" s="3">
        <f>'Cheltenham Town'!$E$11</f>
        <v/>
      </c>
      <c r="D5" s="3">
        <f>'Cheltenham Town'!$E$12</f>
        <v/>
      </c>
      <c r="E5" s="4">
        <f>'Cheltenham Town'!$E$13</f>
        <v/>
      </c>
      <c r="F5" s="4">
        <f>'Cheltenham Town'!$E$14</f>
        <v/>
      </c>
      <c r="G5" s="4">
        <f>'Cheltenham Town'!$E$17</f>
        <v/>
      </c>
      <c r="H5" s="4">
        <f>'Cheltenham Town'!$E$18</f>
        <v/>
      </c>
    </row>
    <row r="6">
      <c r="A6" s="3" t="inlineStr">
        <is>
          <t>Chesterfield</t>
        </is>
      </c>
      <c r="B6" s="3">
        <f>'Chesterfield'!$E$10</f>
        <v/>
      </c>
      <c r="C6" s="3">
        <f>'Chesterfield'!$E$11</f>
        <v/>
      </c>
      <c r="D6" s="3">
        <f>'Chesterfield'!$E$12</f>
        <v/>
      </c>
      <c r="E6" s="4">
        <f>'Chesterfield'!$E$13</f>
        <v/>
      </c>
      <c r="F6" s="4">
        <f>'Chesterfield'!$E$14</f>
        <v/>
      </c>
      <c r="G6" s="4">
        <f>'Chesterfield'!$E$17</f>
        <v/>
      </c>
      <c r="H6" s="4">
        <f>'Chesterfield'!$E$18</f>
        <v/>
      </c>
    </row>
    <row r="7">
      <c r="A7" s="3" t="inlineStr">
        <is>
          <t>Colchester United</t>
        </is>
      </c>
      <c r="B7" s="3">
        <f>'Colchester United'!$E$10</f>
        <v/>
      </c>
      <c r="C7" s="3">
        <f>'Colchester United'!$E$11</f>
        <v/>
      </c>
      <c r="D7" s="3">
        <f>'Colchester United'!$E$12</f>
        <v/>
      </c>
      <c r="E7" s="4">
        <f>'Colchester United'!$E$13</f>
        <v/>
      </c>
      <c r="F7" s="4">
        <f>'Colchester United'!$E$14</f>
        <v/>
      </c>
      <c r="G7" s="4">
        <f>'Colchester United'!$E$17</f>
        <v/>
      </c>
      <c r="H7" s="4">
        <f>'Colchester United'!$E$18</f>
        <v/>
      </c>
    </row>
    <row r="8">
      <c r="A8" s="3" t="inlineStr">
        <is>
          <t>Crawley Town</t>
        </is>
      </c>
      <c r="B8" s="3">
        <f>'Crawley Town'!$E$10</f>
        <v/>
      </c>
      <c r="C8" s="3">
        <f>'Crawley Town'!$E$11</f>
        <v/>
      </c>
      <c r="D8" s="3">
        <f>'Crawley Town'!$E$12</f>
        <v/>
      </c>
      <c r="E8" s="4">
        <f>'Crawley Town'!$E$13</f>
        <v/>
      </c>
      <c r="F8" s="4">
        <f>'Crawley Town'!$E$14</f>
        <v/>
      </c>
      <c r="G8" s="4">
        <f>'Crawley Town'!$E$17</f>
        <v/>
      </c>
      <c r="H8" s="4">
        <f>'Crawley Town'!$E$18</f>
        <v/>
      </c>
    </row>
    <row r="9">
      <c r="A9" s="3" t="inlineStr">
        <is>
          <t>Crewe Alexandra</t>
        </is>
      </c>
      <c r="B9" s="3">
        <f>'Crewe Alexandra'!$E$10</f>
        <v/>
      </c>
      <c r="C9" s="3">
        <f>'Crewe Alexandra'!$E$11</f>
        <v/>
      </c>
      <c r="D9" s="3">
        <f>'Crewe Alexandra'!$E$12</f>
        <v/>
      </c>
      <c r="E9" s="4">
        <f>'Crewe Alexandra'!$E$13</f>
        <v/>
      </c>
      <c r="F9" s="4">
        <f>'Crewe Alexandra'!$E$14</f>
        <v/>
      </c>
      <c r="G9" s="4">
        <f>'Crewe Alexandra'!$E$17</f>
        <v/>
      </c>
      <c r="H9" s="4">
        <f>'Crewe Alexandra'!$E$18</f>
        <v/>
      </c>
    </row>
    <row r="10">
      <c r="A10" s="3" t="inlineStr">
        <is>
          <t>Exeter</t>
        </is>
      </c>
      <c r="B10" s="3">
        <f>'Exeter'!$E$10</f>
        <v/>
      </c>
      <c r="C10" s="3">
        <f>'Exeter'!$E$11</f>
        <v/>
      </c>
      <c r="D10" s="3">
        <f>'Exeter'!$E$12</f>
        <v/>
      </c>
      <c r="E10" s="4">
        <f>'Exeter'!$E$13</f>
        <v/>
      </c>
      <c r="F10" s="4">
        <f>'Exeter'!$E$14</f>
        <v/>
      </c>
      <c r="G10" s="4">
        <f>'Exeter'!$E$17</f>
        <v/>
      </c>
      <c r="H10" s="4">
        <f>'Exeter'!$E$18</f>
        <v/>
      </c>
    </row>
    <row r="11">
      <c r="A11" s="3" t="inlineStr">
        <is>
          <t>Fleetwood Town</t>
        </is>
      </c>
      <c r="B11" s="3">
        <f>'Fleetwood Town'!$E$10</f>
        <v/>
      </c>
      <c r="C11" s="3">
        <f>'Fleetwood Town'!$E$11</f>
        <v/>
      </c>
      <c r="D11" s="3">
        <f>'Fleetwood Town'!$E$12</f>
        <v/>
      </c>
      <c r="E11" s="4">
        <f>'Fleetwood Town'!$E$13</f>
        <v/>
      </c>
      <c r="F11" s="4">
        <f>'Fleetwood Town'!$E$14</f>
        <v/>
      </c>
      <c r="G11" s="4">
        <f>'Fleetwood Town'!$E$17</f>
        <v/>
      </c>
      <c r="H11" s="4">
        <f>'Fleetwood Town'!$E$18</f>
        <v/>
      </c>
    </row>
    <row r="12">
      <c r="A12" s="3" t="inlineStr">
        <is>
          <t>Gillingham</t>
        </is>
      </c>
      <c r="B12" s="3">
        <f>'Gillingham'!$E$10</f>
        <v/>
      </c>
      <c r="C12" s="3">
        <f>'Gillingham'!$E$11</f>
        <v/>
      </c>
      <c r="D12" s="3">
        <f>'Gillingham'!$E$12</f>
        <v/>
      </c>
      <c r="E12" s="4">
        <f>'Gillingham'!$E$13</f>
        <v/>
      </c>
      <c r="F12" s="4">
        <f>'Gillingham'!$E$14</f>
        <v/>
      </c>
      <c r="G12" s="4">
        <f>'Gillingham'!$E$17</f>
        <v/>
      </c>
      <c r="H12" s="4">
        <f>'Gillingham'!$E$18</f>
        <v/>
      </c>
    </row>
    <row r="13">
      <c r="A13" s="3" t="inlineStr">
        <is>
          <t>Grimsby Town</t>
        </is>
      </c>
      <c r="B13" s="3">
        <f>'Grimsby Town'!$E$10</f>
        <v/>
      </c>
      <c r="C13" s="3">
        <f>'Grimsby Town'!$E$11</f>
        <v/>
      </c>
      <c r="D13" s="3">
        <f>'Grimsby Town'!$E$12</f>
        <v/>
      </c>
      <c r="E13" s="4">
        <f>'Grimsby Town'!$E$13</f>
        <v/>
      </c>
      <c r="F13" s="4">
        <f>'Grimsby Town'!$E$14</f>
        <v/>
      </c>
      <c r="G13" s="4">
        <f>'Grimsby Town'!$E$17</f>
        <v/>
      </c>
      <c r="H13" s="4">
        <f>'Grimsby Town'!$E$18</f>
        <v/>
      </c>
    </row>
    <row r="14">
      <c r="A14" s="3" t="inlineStr">
        <is>
          <t>Newport County</t>
        </is>
      </c>
      <c r="B14" s="3">
        <f>'Newport County'!$E$10</f>
        <v/>
      </c>
      <c r="C14" s="3">
        <f>'Newport County'!$E$11</f>
        <v/>
      </c>
      <c r="D14" s="3">
        <f>'Newport County'!$E$12</f>
        <v/>
      </c>
      <c r="E14" s="4">
        <f>'Newport County'!$E$13</f>
        <v/>
      </c>
      <c r="F14" s="4">
        <f>'Newport County'!$E$14</f>
        <v/>
      </c>
      <c r="G14" s="4">
        <f>'Newport County'!$E$17</f>
        <v/>
      </c>
      <c r="H14" s="4">
        <f>'Newport County'!$E$18</f>
        <v/>
      </c>
    </row>
    <row r="15">
      <c r="A15" s="3" t="inlineStr">
        <is>
          <t>Northampton Town</t>
        </is>
      </c>
      <c r="B15" s="3">
        <f>'Northampton Town'!$E$10</f>
        <v/>
      </c>
      <c r="C15" s="3">
        <f>'Northampton Town'!$E$11</f>
        <v/>
      </c>
      <c r="D15" s="3">
        <f>'Northampton Town'!$E$12</f>
        <v/>
      </c>
      <c r="E15" s="4">
        <f>'Northampton Town'!$E$13</f>
        <v/>
      </c>
      <c r="F15" s="4">
        <f>'Northampton Town'!$E$14</f>
        <v/>
      </c>
      <c r="G15" s="4">
        <f>'Northampton Town'!$E$17</f>
        <v/>
      </c>
      <c r="H15" s="4">
        <f>'Northampton Town'!$E$18</f>
        <v/>
      </c>
    </row>
    <row r="16">
      <c r="A16" s="3" t="inlineStr">
        <is>
          <t>Oldham Athletic</t>
        </is>
      </c>
      <c r="B16" s="3">
        <f>'Oldham Athletic'!$E$10</f>
        <v/>
      </c>
      <c r="C16" s="3">
        <f>'Oldham Athletic'!$E$11</f>
        <v/>
      </c>
      <c r="D16" s="3">
        <f>'Oldham Athletic'!$E$12</f>
        <v/>
      </c>
      <c r="E16" s="4">
        <f>'Oldham Athletic'!$E$13</f>
        <v/>
      </c>
      <c r="F16" s="4">
        <f>'Oldham Athletic'!$E$14</f>
        <v/>
      </c>
      <c r="G16" s="4">
        <f>'Oldham Athletic'!$E$17</f>
        <v/>
      </c>
      <c r="H16" s="4">
        <f>'Oldham Athletic'!$E$18</f>
        <v/>
      </c>
    </row>
    <row r="17">
      <c r="A17" s="3" t="inlineStr">
        <is>
          <t>Port Vale</t>
        </is>
      </c>
      <c r="B17" s="3">
        <f>'Port Vale'!$E$10</f>
        <v/>
      </c>
      <c r="C17" s="3">
        <f>'Port Vale'!$E$11</f>
        <v/>
      </c>
      <c r="D17" s="3">
        <f>'Port Vale'!$E$12</f>
        <v/>
      </c>
      <c r="E17" s="4">
        <f>'Port Vale'!$E$13</f>
        <v/>
      </c>
      <c r="F17" s="4">
        <f>'Port Vale'!$E$14</f>
        <v/>
      </c>
      <c r="G17" s="4">
        <f>'Port Vale'!$E$17</f>
        <v/>
      </c>
      <c r="H17" s="4">
        <f>'Port Vale'!$E$18</f>
        <v/>
      </c>
    </row>
    <row r="18">
      <c r="A18" s="3" t="inlineStr">
        <is>
          <t>Rochdale</t>
        </is>
      </c>
      <c r="B18" s="3">
        <f>'Rochdale'!$E$10</f>
        <v/>
      </c>
      <c r="C18" s="3">
        <f>'Rochdale'!$E$11</f>
        <v/>
      </c>
      <c r="D18" s="3">
        <f>'Rochdale'!$E$12</f>
        <v/>
      </c>
      <c r="E18" s="4">
        <f>'Rochdale'!$E$13</f>
        <v/>
      </c>
      <c r="F18" s="4">
        <f>'Rochdale'!$E$14</f>
        <v/>
      </c>
      <c r="G18" s="4">
        <f>'Rochdale'!$E$17</f>
        <v/>
      </c>
      <c r="H18" s="4">
        <f>'Rochdale'!$E$18</f>
        <v/>
      </c>
    </row>
    <row r="19">
      <c r="A19" s="3" t="inlineStr">
        <is>
          <t>Rotherham United</t>
        </is>
      </c>
      <c r="B19" s="3">
        <f>'Rotherham United'!$E$10</f>
        <v/>
      </c>
      <c r="C19" s="3">
        <f>'Rotherham United'!$E$11</f>
        <v/>
      </c>
      <c r="D19" s="3">
        <f>'Rotherham United'!$E$12</f>
        <v/>
      </c>
      <c r="E19" s="4">
        <f>'Rotherham United'!$E$13</f>
        <v/>
      </c>
      <c r="F19" s="4">
        <f>'Rotherham United'!$E$14</f>
        <v/>
      </c>
      <c r="G19" s="4">
        <f>'Rotherham United'!$E$17</f>
        <v/>
      </c>
      <c r="H19" s="4">
        <f>'Rotherham United'!$E$18</f>
        <v/>
      </c>
    </row>
    <row r="20">
      <c r="A20" s="3" t="inlineStr">
        <is>
          <t>Salford City</t>
        </is>
      </c>
      <c r="B20" s="3">
        <f>'Salford City'!$E$10</f>
        <v/>
      </c>
      <c r="C20" s="3">
        <f>'Salford City'!$E$11</f>
        <v/>
      </c>
      <c r="D20" s="3">
        <f>'Salford City'!$E$12</f>
        <v/>
      </c>
      <c r="E20" s="4">
        <f>'Salford City'!$E$13</f>
        <v/>
      </c>
      <c r="F20" s="4">
        <f>'Salford City'!$E$14</f>
        <v/>
      </c>
      <c r="G20" s="4">
        <f>'Salford City'!$E$17</f>
        <v/>
      </c>
      <c r="H20" s="4">
        <f>'Salford City'!$E$18</f>
        <v/>
      </c>
    </row>
    <row r="21">
      <c r="A21" s="3" t="inlineStr">
        <is>
          <t>Shrewsbury Town</t>
        </is>
      </c>
      <c r="B21" s="3">
        <f>'Shrewsbury Town'!$E$10</f>
        <v/>
      </c>
      <c r="C21" s="3">
        <f>'Shrewsbury Town'!$E$11</f>
        <v/>
      </c>
      <c r="D21" s="3">
        <f>'Shrewsbury Town'!$E$12</f>
        <v/>
      </c>
      <c r="E21" s="4">
        <f>'Shrewsbury Town'!$E$13</f>
        <v/>
      </c>
      <c r="F21" s="4">
        <f>'Shrewsbury Town'!$E$14</f>
        <v/>
      </c>
      <c r="G21" s="4">
        <f>'Shrewsbury Town'!$E$17</f>
        <v/>
      </c>
      <c r="H21" s="4">
        <f>'Shrewsbury Town'!$E$18</f>
        <v/>
      </c>
    </row>
    <row r="22">
      <c r="A22" s="3" t="inlineStr">
        <is>
          <t>Swindon Town</t>
        </is>
      </c>
      <c r="B22" s="3">
        <f>'Swindon Town'!$E$10</f>
        <v/>
      </c>
      <c r="C22" s="3">
        <f>'Swindon Town'!$E$11</f>
        <v/>
      </c>
      <c r="D22" s="3">
        <f>'Swindon Town'!$E$12</f>
        <v/>
      </c>
      <c r="E22" s="4">
        <f>'Swindon Town'!$E$13</f>
        <v/>
      </c>
      <c r="F22" s="4">
        <f>'Swindon Town'!$E$14</f>
        <v/>
      </c>
      <c r="G22" s="4">
        <f>'Swindon Town'!$E$17</f>
        <v/>
      </c>
      <c r="H22" s="4">
        <f>'Swindon Town'!$E$18</f>
        <v/>
      </c>
    </row>
    <row r="23">
      <c r="A23" s="3" t="inlineStr">
        <is>
          <t>Tranmere Rovers</t>
        </is>
      </c>
      <c r="B23" s="3">
        <f>'Tranmere Rovers'!$E$10</f>
        <v/>
      </c>
      <c r="C23" s="3">
        <f>'Tranmere Rovers'!$E$11</f>
        <v/>
      </c>
      <c r="D23" s="3">
        <f>'Tranmere Rovers'!$E$12</f>
        <v/>
      </c>
      <c r="E23" s="4">
        <f>'Tranmere Rovers'!$E$13</f>
        <v/>
      </c>
      <c r="F23" s="4">
        <f>'Tranmere Rovers'!$E$14</f>
        <v/>
      </c>
      <c r="G23" s="4">
        <f>'Tranmere Rovers'!$E$17</f>
        <v/>
      </c>
      <c r="H23" s="4">
        <f>'Tranmere Rovers'!$E$18</f>
        <v/>
      </c>
    </row>
    <row r="24">
      <c r="A24" s="3" t="inlineStr">
        <is>
          <t>Walsall</t>
        </is>
      </c>
      <c r="B24" s="3">
        <f>'Walsall'!$E$10</f>
        <v/>
      </c>
      <c r="C24" s="3">
        <f>'Walsall'!$E$11</f>
        <v/>
      </c>
      <c r="D24" s="3">
        <f>'Walsall'!$E$12</f>
        <v/>
      </c>
      <c r="E24" s="4">
        <f>'Walsall'!$E$13</f>
        <v/>
      </c>
      <c r="F24" s="4">
        <f>'Walsall'!$E$14</f>
        <v/>
      </c>
      <c r="G24" s="4">
        <f>'Walsall'!$E$17</f>
        <v/>
      </c>
      <c r="H24" s="4">
        <f>'Walsall'!$E$18</f>
        <v/>
      </c>
    </row>
    <row r="25">
      <c r="A25" s="3" t="inlineStr">
        <is>
          <t>York</t>
        </is>
      </c>
      <c r="B25" s="3">
        <f>'York'!$E$10</f>
        <v/>
      </c>
      <c r="C25" s="3">
        <f>'York'!$E$11</f>
        <v/>
      </c>
      <c r="D25" s="3">
        <f>'York'!$E$12</f>
        <v/>
      </c>
      <c r="E25" s="4">
        <f>'York'!$E$13</f>
        <v/>
      </c>
      <c r="F25" s="4">
        <f>'York'!$E$14</f>
        <v/>
      </c>
      <c r="G25" s="4">
        <f>'York'!$E$17</f>
        <v/>
      </c>
      <c r="H25" s="4">
        <f>'York'!$E$18</f>
        <v/>
      </c>
    </row>
  </sheetData>
  <conditionalFormatting sqref="E2:E25">
    <cfRule type="colorScale" priority="1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F2:F25">
    <cfRule type="colorScale" priority="2">
      <colorScale>
        <cfvo type="min"/>
        <cfvo type="percentile" val="50"/>
        <cfvo type="max"/>
        <color rgb="0063BE7B"/>
        <color rgb="00FFFFFF"/>
        <color rgb="00F8696B"/>
      </colorScale>
    </cfRule>
  </conditionalFormatting>
  <conditionalFormatting sqref="G2:G25">
    <cfRule type="colorScale" priority="3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H2:H25">
    <cfRule type="colorScale" priority="4">
      <colorScale>
        <cfvo type="min"/>
        <cfvo type="percentile" val="5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6" customWidth="1" min="2" max="2"/>
    <col width="6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</cols>
  <sheetData>
    <row r="1" ht="30" customHeight="1">
      <c r="A1" s="1" t="inlineStr">
        <is>
          <t>Team</t>
        </is>
      </c>
      <c r="B1" s="1" t="inlineStr">
        <is>
          <t>Average</t>
        </is>
      </c>
      <c r="C1" s="1" t="inlineStr">
        <is>
          <t>MW1</t>
        </is>
      </c>
      <c r="D1" s="1" t="inlineStr">
        <is>
          <t>MW2</t>
        </is>
      </c>
      <c r="E1" s="1" t="inlineStr">
        <is>
          <t>MW3</t>
        </is>
      </c>
      <c r="F1" s="1" t="inlineStr">
        <is>
          <t>MW4</t>
        </is>
      </c>
      <c r="G1" s="1" t="inlineStr">
        <is>
          <t>MW5</t>
        </is>
      </c>
      <c r="H1" s="1" t="inlineStr">
        <is>
          <t>MW6</t>
        </is>
      </c>
    </row>
    <row r="2">
      <c r="A2" s="3" t="inlineStr">
        <is>
          <t>Rochdale</t>
        </is>
      </c>
      <c r="B2" s="5">
        <f>'Rochdale'!$E$15</f>
        <v/>
      </c>
      <c r="C2" s="4">
        <f>'Rochdale'!$N$2</f>
        <v/>
      </c>
      <c r="D2" s="4">
        <f>'Rochdale'!$N$3</f>
        <v/>
      </c>
      <c r="E2" s="4">
        <f>'Rochdale'!$N$4</f>
        <v/>
      </c>
      <c r="F2" s="4">
        <f>'Rochdale'!$N$5</f>
        <v/>
      </c>
      <c r="G2" s="4">
        <f>'Rochdale'!$N$6</f>
        <v/>
      </c>
      <c r="H2" s="4">
        <f>'Rochdale'!$N$7</f>
        <v/>
      </c>
    </row>
    <row r="3">
      <c r="A3" s="3" t="inlineStr">
        <is>
          <t>Fleetwood Town</t>
        </is>
      </c>
      <c r="B3" s="5">
        <f>'Fleetwood Town'!$E$15</f>
        <v/>
      </c>
      <c r="C3" s="4">
        <f>'Fleetwood Town'!$N$2</f>
        <v/>
      </c>
      <c r="D3" s="4">
        <f>'Fleetwood Town'!$N$3</f>
        <v/>
      </c>
      <c r="E3" s="4">
        <f>'Fleetwood Town'!$N$4</f>
        <v/>
      </c>
      <c r="F3" s="4">
        <f>'Fleetwood Town'!$N$5</f>
        <v/>
      </c>
      <c r="G3" s="4">
        <f>'Fleetwood Town'!$N$6</f>
        <v/>
      </c>
      <c r="H3" s="4">
        <f>'Fleetwood Town'!$N$7</f>
        <v/>
      </c>
    </row>
    <row r="4">
      <c r="A4" s="3" t="inlineStr">
        <is>
          <t>Salford City</t>
        </is>
      </c>
      <c r="B4" s="5">
        <f>'Salford City'!$E$15</f>
        <v/>
      </c>
      <c r="C4" s="4">
        <f>'Salford City'!$N$2</f>
        <v/>
      </c>
      <c r="D4" s="4">
        <f>'Salford City'!$N$3</f>
        <v/>
      </c>
      <c r="E4" s="4">
        <f>'Salford City'!$N$4</f>
        <v/>
      </c>
      <c r="F4" s="4">
        <f>'Salford City'!$N$5</f>
        <v/>
      </c>
      <c r="G4" s="4">
        <f>'Salford City'!$N$6</f>
        <v/>
      </c>
      <c r="H4" s="4">
        <f>'Salford City'!$N$7</f>
        <v/>
      </c>
    </row>
    <row r="5">
      <c r="A5" s="3" t="inlineStr">
        <is>
          <t>Northampton Town</t>
        </is>
      </c>
      <c r="B5" s="5">
        <f>'Northampton Town'!$E$15</f>
        <v/>
      </c>
      <c r="C5" s="4">
        <f>'Northampton Town'!$N$2</f>
        <v/>
      </c>
      <c r="D5" s="4">
        <f>'Northampton Town'!$N$3</f>
        <v/>
      </c>
      <c r="E5" s="4">
        <f>'Northampton Town'!$N$4</f>
        <v/>
      </c>
      <c r="F5" s="4">
        <f>'Northampton Town'!$N$5</f>
        <v/>
      </c>
      <c r="G5" s="4">
        <f>'Northampton Town'!$N$6</f>
        <v/>
      </c>
      <c r="H5" s="4">
        <f>'Northampton Town'!$N$7</f>
        <v/>
      </c>
    </row>
    <row r="6">
      <c r="A6" s="3" t="inlineStr">
        <is>
          <t>Tranmere Rovers</t>
        </is>
      </c>
      <c r="B6" s="5">
        <f>'Tranmere Rovers'!$E$15</f>
        <v/>
      </c>
      <c r="C6" s="4">
        <f>'Tranmere Rovers'!$N$2</f>
        <v/>
      </c>
      <c r="D6" s="4">
        <f>'Tranmere Rovers'!$N$3</f>
        <v/>
      </c>
      <c r="E6" s="4">
        <f>'Tranmere Rovers'!$N$4</f>
        <v/>
      </c>
      <c r="F6" s="4">
        <f>'Tranmere Rovers'!$N$5</f>
        <v/>
      </c>
      <c r="G6" s="4">
        <f>'Tranmere Rovers'!$N$6</f>
        <v/>
      </c>
      <c r="H6" s="4">
        <f>'Tranmere Rovers'!$N$7</f>
        <v/>
      </c>
    </row>
    <row r="7">
      <c r="A7" s="3" t="inlineStr">
        <is>
          <t>Swindon Town</t>
        </is>
      </c>
      <c r="B7" s="5">
        <f>'Swindon Town'!$E$15</f>
        <v/>
      </c>
      <c r="C7" s="4">
        <f>'Swindon Town'!$N$2</f>
        <v/>
      </c>
      <c r="D7" s="4">
        <f>'Swindon Town'!$N$3</f>
        <v/>
      </c>
      <c r="E7" s="4">
        <f>'Swindon Town'!$N$4</f>
        <v/>
      </c>
      <c r="F7" s="4">
        <f>'Swindon Town'!$N$5</f>
        <v/>
      </c>
      <c r="G7" s="4">
        <f>'Swindon Town'!$N$6</f>
        <v/>
      </c>
      <c r="H7" s="4">
        <f>'Swindon Town'!$N$7</f>
        <v/>
      </c>
    </row>
    <row r="8">
      <c r="A8" s="3" t="inlineStr">
        <is>
          <t>Colchester United</t>
        </is>
      </c>
      <c r="B8" s="5">
        <f>'Colchester United'!$E$15</f>
        <v/>
      </c>
      <c r="C8" s="4">
        <f>'Colchester United'!$N$2</f>
        <v/>
      </c>
      <c r="D8" s="4">
        <f>'Colchester United'!$N$3</f>
        <v/>
      </c>
      <c r="E8" s="4">
        <f>'Colchester United'!$N$4</f>
        <v/>
      </c>
      <c r="F8" s="4">
        <f>'Colchester United'!$N$5</f>
        <v/>
      </c>
      <c r="G8" s="4">
        <f>'Colchester United'!$N$6</f>
        <v/>
      </c>
      <c r="H8" s="4">
        <f>'Colchester United'!$N$7</f>
        <v/>
      </c>
    </row>
    <row r="9">
      <c r="A9" s="3" t="inlineStr">
        <is>
          <t>Crewe Alexandra</t>
        </is>
      </c>
      <c r="B9" s="5">
        <f>'Crewe Alexandra'!$E$15</f>
        <v/>
      </c>
      <c r="C9" s="4">
        <f>'Crewe Alexandra'!$N$2</f>
        <v/>
      </c>
      <c r="D9" s="4">
        <f>'Crewe Alexandra'!$N$3</f>
        <v/>
      </c>
      <c r="E9" s="4">
        <f>'Crewe Alexandra'!$N$4</f>
        <v/>
      </c>
      <c r="F9" s="4">
        <f>'Crewe Alexandra'!$N$5</f>
        <v/>
      </c>
      <c r="G9" s="4">
        <f>'Crewe Alexandra'!$N$6</f>
        <v/>
      </c>
      <c r="H9" s="4">
        <f>'Crewe Alexandra'!$N$7</f>
        <v/>
      </c>
    </row>
    <row r="10">
      <c r="A10" s="3" t="inlineStr">
        <is>
          <t>Port Vale</t>
        </is>
      </c>
      <c r="B10" s="5">
        <f>'Port Vale'!$E$15</f>
        <v/>
      </c>
      <c r="C10" s="4">
        <f>'Port Vale'!$N$2</f>
        <v/>
      </c>
      <c r="D10" s="4">
        <f>'Port Vale'!$N$3</f>
        <v/>
      </c>
      <c r="E10" s="4">
        <f>'Port Vale'!$N$4</f>
        <v/>
      </c>
      <c r="F10" s="4">
        <f>'Port Vale'!$N$5</f>
        <v/>
      </c>
      <c r="G10" s="4">
        <f>'Port Vale'!$N$6</f>
        <v/>
      </c>
      <c r="H10" s="4">
        <f>'Port Vale'!$N$7</f>
        <v/>
      </c>
    </row>
    <row r="11">
      <c r="A11" s="3" t="inlineStr">
        <is>
          <t>Barnet</t>
        </is>
      </c>
      <c r="B11" s="5">
        <f>'Barnet'!$E$15</f>
        <v/>
      </c>
      <c r="C11" s="4">
        <f>'Barnet'!$N$2</f>
        <v/>
      </c>
      <c r="D11" s="4">
        <f>'Barnet'!$N$3</f>
        <v/>
      </c>
      <c r="E11" s="4">
        <f>'Barnet'!$N$4</f>
        <v/>
      </c>
      <c r="F11" s="4">
        <f>'Barnet'!$N$5</f>
        <v/>
      </c>
      <c r="G11" s="4">
        <f>'Barnet'!$N$6</f>
        <v/>
      </c>
      <c r="H11" s="4">
        <f>'Barnet'!$N$7</f>
        <v/>
      </c>
    </row>
    <row r="12">
      <c r="A12" s="3" t="inlineStr">
        <is>
          <t>Cheltenham Town</t>
        </is>
      </c>
      <c r="B12" s="5">
        <f>'Cheltenham Town'!$E$15</f>
        <v/>
      </c>
      <c r="C12" s="4">
        <f>'Cheltenham Town'!$N$2</f>
        <v/>
      </c>
      <c r="D12" s="4">
        <f>'Cheltenham Town'!$N$3</f>
        <v/>
      </c>
      <c r="E12" s="4">
        <f>'Cheltenham Town'!$N$4</f>
        <v/>
      </c>
      <c r="F12" s="4">
        <f>'Cheltenham Town'!$N$5</f>
        <v/>
      </c>
      <c r="G12" s="4">
        <f>'Cheltenham Town'!$N$6</f>
        <v/>
      </c>
      <c r="H12" s="4">
        <f>'Cheltenham Town'!$N$7</f>
        <v/>
      </c>
    </row>
    <row r="13">
      <c r="A13" s="3" t="inlineStr">
        <is>
          <t>Oldham Athletic</t>
        </is>
      </c>
      <c r="B13" s="5">
        <f>'Oldham Athletic'!$E$15</f>
        <v/>
      </c>
      <c r="C13" s="4">
        <f>'Oldham Athletic'!$N$2</f>
        <v/>
      </c>
      <c r="D13" s="4">
        <f>'Oldham Athletic'!$N$3</f>
        <v/>
      </c>
      <c r="E13" s="4">
        <f>'Oldham Athletic'!$N$4</f>
        <v/>
      </c>
      <c r="F13" s="4">
        <f>'Oldham Athletic'!$N$5</f>
        <v/>
      </c>
      <c r="G13" s="4">
        <f>'Oldham Athletic'!$N$6</f>
        <v/>
      </c>
      <c r="H13" s="4">
        <f>'Oldham Athletic'!$N$7</f>
        <v/>
      </c>
    </row>
    <row r="14">
      <c r="A14" s="3" t="inlineStr">
        <is>
          <t>Grimsby Town</t>
        </is>
      </c>
      <c r="B14" s="5">
        <f>'Grimsby Town'!$E$15</f>
        <v/>
      </c>
      <c r="C14" s="4">
        <f>'Grimsby Town'!$N$2</f>
        <v/>
      </c>
      <c r="D14" s="4">
        <f>'Grimsby Town'!$N$3</f>
        <v/>
      </c>
      <c r="E14" s="4">
        <f>'Grimsby Town'!$N$4</f>
        <v/>
      </c>
      <c r="F14" s="4">
        <f>'Grimsby Town'!$N$5</f>
        <v/>
      </c>
      <c r="G14" s="4">
        <f>'Grimsby Town'!$N$6</f>
        <v/>
      </c>
      <c r="H14" s="4">
        <f>'Grimsby Town'!$N$7</f>
        <v/>
      </c>
    </row>
    <row r="15">
      <c r="A15" s="3" t="inlineStr">
        <is>
          <t>Gillingham</t>
        </is>
      </c>
      <c r="B15" s="5">
        <f>'Gillingham'!$E$15</f>
        <v/>
      </c>
      <c r="C15" s="4">
        <f>'Gillingham'!$N$2</f>
        <v/>
      </c>
      <c r="D15" s="4">
        <f>'Gillingham'!$N$3</f>
        <v/>
      </c>
      <c r="E15" s="4">
        <f>'Gillingham'!$N$4</f>
        <v/>
      </c>
      <c r="F15" s="4">
        <f>'Gillingham'!$N$5</f>
        <v/>
      </c>
      <c r="G15" s="4">
        <f>'Gillingham'!$N$6</f>
        <v/>
      </c>
      <c r="H15" s="4">
        <f>'Gillingham'!$N$7</f>
        <v/>
      </c>
    </row>
    <row r="16">
      <c r="A16" s="3" t="inlineStr">
        <is>
          <t>Newport County</t>
        </is>
      </c>
      <c r="B16" s="5">
        <f>'Newport County'!$E$15</f>
        <v/>
      </c>
      <c r="C16" s="4">
        <f>'Newport County'!$N$2</f>
        <v/>
      </c>
      <c r="D16" s="4">
        <f>'Newport County'!$N$3</f>
        <v/>
      </c>
      <c r="E16" s="4">
        <f>'Newport County'!$N$4</f>
        <v/>
      </c>
      <c r="F16" s="4">
        <f>'Newport County'!$N$5</f>
        <v/>
      </c>
      <c r="G16" s="4">
        <f>'Newport County'!$N$6</f>
        <v/>
      </c>
      <c r="H16" s="4">
        <f>'Newport County'!$N$7</f>
        <v/>
      </c>
    </row>
    <row r="17">
      <c r="A17" s="3" t="inlineStr">
        <is>
          <t>Accrington Stanley</t>
        </is>
      </c>
      <c r="B17" s="5">
        <f>'Accrington Stanley'!$E$15</f>
        <v/>
      </c>
      <c r="C17" s="4">
        <f>'Accrington Stanley'!$N$2</f>
        <v/>
      </c>
      <c r="D17" s="4">
        <f>'Accrington Stanley'!$N$3</f>
        <v/>
      </c>
      <c r="E17" s="4">
        <f>'Accrington Stanley'!$N$4</f>
        <v/>
      </c>
      <c r="F17" s="4">
        <f>'Accrington Stanley'!$N$5</f>
        <v/>
      </c>
      <c r="G17" s="4">
        <f>'Accrington Stanley'!$N$6</f>
        <v/>
      </c>
      <c r="H17" s="4">
        <f>'Accrington Stanley'!$N$7</f>
        <v/>
      </c>
    </row>
    <row r="18">
      <c r="A18" s="3" t="inlineStr">
        <is>
          <t>Walsall</t>
        </is>
      </c>
      <c r="B18" s="5">
        <f>'Walsall'!$E$15</f>
        <v/>
      </c>
      <c r="C18" s="4">
        <f>'Walsall'!$N$2</f>
        <v/>
      </c>
      <c r="D18" s="4">
        <f>'Walsall'!$N$3</f>
        <v/>
      </c>
      <c r="E18" s="4">
        <f>'Walsall'!$N$4</f>
        <v/>
      </c>
      <c r="F18" s="4">
        <f>'Walsall'!$N$5</f>
        <v/>
      </c>
      <c r="G18" s="4">
        <f>'Walsall'!$N$6</f>
        <v/>
      </c>
      <c r="H18" s="4">
        <f>'Walsall'!$N$7</f>
        <v/>
      </c>
    </row>
    <row r="19">
      <c r="A19" s="3" t="inlineStr">
        <is>
          <t>Chesterfield</t>
        </is>
      </c>
      <c r="B19" s="5">
        <f>'Chesterfield'!$E$15</f>
        <v/>
      </c>
      <c r="C19" s="4">
        <f>'Chesterfield'!$N$2</f>
        <v/>
      </c>
      <c r="D19" s="4">
        <f>'Chesterfield'!$N$3</f>
        <v/>
      </c>
      <c r="E19" s="4">
        <f>'Chesterfield'!$N$4</f>
        <v/>
      </c>
      <c r="F19" s="4">
        <f>'Chesterfield'!$N$5</f>
        <v/>
      </c>
      <c r="G19" s="4">
        <f>'Chesterfield'!$N$6</f>
        <v/>
      </c>
      <c r="H19" s="4">
        <f>'Chesterfield'!$N$7</f>
        <v/>
      </c>
    </row>
    <row r="20">
      <c r="A20" s="3" t="inlineStr">
        <is>
          <t>Crawley Town</t>
        </is>
      </c>
      <c r="B20" s="5">
        <f>'Crawley Town'!$E$15</f>
        <v/>
      </c>
      <c r="C20" s="4">
        <f>'Crawley Town'!$N$2</f>
        <v/>
      </c>
      <c r="D20" s="4">
        <f>'Crawley Town'!$N$3</f>
        <v/>
      </c>
      <c r="E20" s="4">
        <f>'Crawley Town'!$N$4</f>
        <v/>
      </c>
      <c r="F20" s="4">
        <f>'Crawley Town'!$N$5</f>
        <v/>
      </c>
      <c r="G20" s="4">
        <f>'Crawley Town'!$N$6</f>
        <v/>
      </c>
      <c r="H20" s="4">
        <f>'Crawley Town'!$N$7</f>
        <v/>
      </c>
    </row>
    <row r="21">
      <c r="A21" s="3" t="inlineStr">
        <is>
          <t>Exeter</t>
        </is>
      </c>
      <c r="B21" s="5">
        <f>'Exeter'!$E$15</f>
        <v/>
      </c>
      <c r="C21" s="4">
        <f>'Exeter'!$N$2</f>
        <v/>
      </c>
      <c r="D21" s="4">
        <f>'Exeter'!$N$3</f>
        <v/>
      </c>
      <c r="E21" s="4">
        <f>'Exeter'!$N$4</f>
        <v/>
      </c>
      <c r="F21" s="4">
        <f>'Exeter'!$N$5</f>
        <v/>
      </c>
      <c r="G21" s="4">
        <f>'Exeter'!$N$6</f>
        <v/>
      </c>
      <c r="H21" s="4">
        <f>'Exeter'!$N$7</f>
        <v/>
      </c>
    </row>
    <row r="22">
      <c r="A22" s="3" t="inlineStr">
        <is>
          <t>York</t>
        </is>
      </c>
      <c r="B22" s="5">
        <f>'York'!$E$15</f>
        <v/>
      </c>
      <c r="C22" s="4">
        <f>'York'!$N$2</f>
        <v/>
      </c>
      <c r="D22" s="4">
        <f>'York'!$N$3</f>
        <v/>
      </c>
      <c r="E22" s="4">
        <f>'York'!$N$4</f>
        <v/>
      </c>
      <c r="F22" s="4">
        <f>'York'!$N$5</f>
        <v/>
      </c>
      <c r="G22" s="4">
        <f>'York'!$N$6</f>
        <v/>
      </c>
      <c r="H22" s="4">
        <f>'York'!$N$7</f>
        <v/>
      </c>
    </row>
    <row r="23">
      <c r="A23" s="3" t="inlineStr">
        <is>
          <t>Bristol Rvs</t>
        </is>
      </c>
      <c r="B23" s="5">
        <f>'Bristol Rvs'!$E$15</f>
        <v/>
      </c>
      <c r="C23" s="4">
        <f>'Bristol Rvs'!$N$2</f>
        <v/>
      </c>
      <c r="D23" s="4">
        <f>'Bristol Rvs'!$N$3</f>
        <v/>
      </c>
      <c r="E23" s="4">
        <f>'Bristol Rvs'!$N$4</f>
        <v/>
      </c>
      <c r="F23" s="4">
        <f>'Bristol Rvs'!$N$5</f>
        <v/>
      </c>
      <c r="G23" s="4">
        <f>'Bristol Rvs'!$N$6</f>
        <v/>
      </c>
      <c r="H23" s="4">
        <f>'Bristol Rvs'!$N$7</f>
        <v/>
      </c>
    </row>
    <row r="24">
      <c r="A24" s="3" t="inlineStr">
        <is>
          <t>Shrewsbury Town</t>
        </is>
      </c>
      <c r="B24" s="5">
        <f>'Shrewsbury Town'!$E$15</f>
        <v/>
      </c>
      <c r="C24" s="4">
        <f>'Shrewsbury Town'!$N$2</f>
        <v/>
      </c>
      <c r="D24" s="4">
        <f>'Shrewsbury Town'!$N$3</f>
        <v/>
      </c>
      <c r="E24" s="4">
        <f>'Shrewsbury Town'!$N$4</f>
        <v/>
      </c>
      <c r="F24" s="4">
        <f>'Shrewsbury Town'!$N$5</f>
        <v/>
      </c>
      <c r="G24" s="4">
        <f>'Shrewsbury Town'!$N$6</f>
        <v/>
      </c>
      <c r="H24" s="4">
        <f>'Shrewsbury Town'!$N$7</f>
        <v/>
      </c>
    </row>
    <row r="25">
      <c r="A25" s="3" t="inlineStr">
        <is>
          <t>Rotherham United</t>
        </is>
      </c>
      <c r="B25" s="5">
        <f>'Rotherham United'!$E$15</f>
        <v/>
      </c>
      <c r="C25" s="4">
        <f>'Rotherham United'!$N$2</f>
        <v/>
      </c>
      <c r="D25" s="4">
        <f>'Rotherham United'!$N$3</f>
        <v/>
      </c>
      <c r="E25" s="4">
        <f>'Rotherham United'!$N$4</f>
        <v/>
      </c>
      <c r="F25" s="4">
        <f>'Rotherham United'!$N$5</f>
        <v/>
      </c>
      <c r="G25" s="4">
        <f>'Rotherham United'!$N$6</f>
        <v/>
      </c>
      <c r="H25" s="4">
        <f>'Rotherham United'!$N$7</f>
        <v/>
      </c>
    </row>
  </sheetData>
  <conditionalFormatting sqref="B2:H25">
    <cfRule type="colorScale" priority="1">
      <colorScale>
        <cfvo type="min"/>
        <cfvo type="percentile" val="50"/>
        <cfvo type="max"/>
        <color rgb="00F8696B"/>
        <color rgb="00FFFFFF"/>
        <color rgb="0063BE7B"/>
      </colorScale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6" customWidth="1" min="2" max="2"/>
    <col width="6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</cols>
  <sheetData>
    <row r="1" ht="30" customHeight="1">
      <c r="A1" s="1" t="inlineStr">
        <is>
          <t>Team</t>
        </is>
      </c>
      <c r="B1" s="1" t="inlineStr">
        <is>
          <t>Average</t>
        </is>
      </c>
      <c r="C1" s="1" t="inlineStr">
        <is>
          <t>MW1</t>
        </is>
      </c>
      <c r="D1" s="1" t="inlineStr">
        <is>
          <t>MW2</t>
        </is>
      </c>
      <c r="E1" s="1" t="inlineStr">
        <is>
          <t>MW3</t>
        </is>
      </c>
      <c r="F1" s="1" t="inlineStr">
        <is>
          <t>MW4</t>
        </is>
      </c>
      <c r="G1" s="1" t="inlineStr">
        <is>
          <t>MW5</t>
        </is>
      </c>
      <c r="H1" s="1" t="inlineStr">
        <is>
          <t>MW6</t>
        </is>
      </c>
    </row>
    <row r="2">
      <c r="A2" s="3" t="inlineStr">
        <is>
          <t>Northampton Town</t>
        </is>
      </c>
      <c r="B2" s="5">
        <f>'Northampton Town'!$E$16</f>
        <v/>
      </c>
      <c r="C2" s="4">
        <f>'Northampton Town'!$O$2</f>
        <v/>
      </c>
      <c r="D2" s="4">
        <f>'Northampton Town'!$O$3</f>
        <v/>
      </c>
      <c r="E2" s="4">
        <f>'Northampton Town'!$O$4</f>
        <v/>
      </c>
      <c r="F2" s="4">
        <f>'Northampton Town'!$O$5</f>
        <v/>
      </c>
      <c r="G2" s="4">
        <f>'Northampton Town'!$O$6</f>
        <v/>
      </c>
      <c r="H2" s="4">
        <f>'Northampton Town'!$O$7</f>
        <v/>
      </c>
    </row>
    <row r="3">
      <c r="A3" s="3" t="inlineStr">
        <is>
          <t>Shrewsbury Town</t>
        </is>
      </c>
      <c r="B3" s="5">
        <f>'Shrewsbury Town'!$E$16</f>
        <v/>
      </c>
      <c r="C3" s="4">
        <f>'Shrewsbury Town'!$O$2</f>
        <v/>
      </c>
      <c r="D3" s="4">
        <f>'Shrewsbury Town'!$O$3</f>
        <v/>
      </c>
      <c r="E3" s="4">
        <f>'Shrewsbury Town'!$O$4</f>
        <v/>
      </c>
      <c r="F3" s="4">
        <f>'Shrewsbury Town'!$O$5</f>
        <v/>
      </c>
      <c r="G3" s="4">
        <f>'Shrewsbury Town'!$O$6</f>
        <v/>
      </c>
      <c r="H3" s="4">
        <f>'Shrewsbury Town'!$O$7</f>
        <v/>
      </c>
    </row>
    <row r="4">
      <c r="A4" s="3" t="inlineStr">
        <is>
          <t>Rochdale</t>
        </is>
      </c>
      <c r="B4" s="5">
        <f>'Rochdale'!$E$16</f>
        <v/>
      </c>
      <c r="C4" s="4">
        <f>'Rochdale'!$O$2</f>
        <v/>
      </c>
      <c r="D4" s="4">
        <f>'Rochdale'!$O$3</f>
        <v/>
      </c>
      <c r="E4" s="4">
        <f>'Rochdale'!$O$4</f>
        <v/>
      </c>
      <c r="F4" s="4">
        <f>'Rochdale'!$O$5</f>
        <v/>
      </c>
      <c r="G4" s="4">
        <f>'Rochdale'!$O$6</f>
        <v/>
      </c>
      <c r="H4" s="4">
        <f>'Rochdale'!$O$7</f>
        <v/>
      </c>
    </row>
    <row r="5">
      <c r="A5" s="3" t="inlineStr">
        <is>
          <t>Exeter</t>
        </is>
      </c>
      <c r="B5" s="5">
        <f>'Exeter'!$E$16</f>
        <v/>
      </c>
      <c r="C5" s="4">
        <f>'Exeter'!$O$2</f>
        <v/>
      </c>
      <c r="D5" s="4">
        <f>'Exeter'!$O$3</f>
        <v/>
      </c>
      <c r="E5" s="4">
        <f>'Exeter'!$O$4</f>
        <v/>
      </c>
      <c r="F5" s="4">
        <f>'Exeter'!$O$5</f>
        <v/>
      </c>
      <c r="G5" s="4">
        <f>'Exeter'!$O$6</f>
        <v/>
      </c>
      <c r="H5" s="4">
        <f>'Exeter'!$O$7</f>
        <v/>
      </c>
    </row>
    <row r="6">
      <c r="A6" s="3" t="inlineStr">
        <is>
          <t>Port Vale</t>
        </is>
      </c>
      <c r="B6" s="5">
        <f>'Port Vale'!$E$16</f>
        <v/>
      </c>
      <c r="C6" s="4">
        <f>'Port Vale'!$O$2</f>
        <v/>
      </c>
      <c r="D6" s="4">
        <f>'Port Vale'!$O$3</f>
        <v/>
      </c>
      <c r="E6" s="4">
        <f>'Port Vale'!$O$4</f>
        <v/>
      </c>
      <c r="F6" s="4">
        <f>'Port Vale'!$O$5</f>
        <v/>
      </c>
      <c r="G6" s="4">
        <f>'Port Vale'!$O$6</f>
        <v/>
      </c>
      <c r="H6" s="4">
        <f>'Port Vale'!$O$7</f>
        <v/>
      </c>
    </row>
    <row r="7">
      <c r="A7" s="3" t="inlineStr">
        <is>
          <t>Salford City</t>
        </is>
      </c>
      <c r="B7" s="5">
        <f>'Salford City'!$E$16</f>
        <v/>
      </c>
      <c r="C7" s="4">
        <f>'Salford City'!$O$2</f>
        <v/>
      </c>
      <c r="D7" s="4">
        <f>'Salford City'!$O$3</f>
        <v/>
      </c>
      <c r="E7" s="4">
        <f>'Salford City'!$O$4</f>
        <v/>
      </c>
      <c r="F7" s="4">
        <f>'Salford City'!$O$5</f>
        <v/>
      </c>
      <c r="G7" s="4">
        <f>'Salford City'!$O$6</f>
        <v/>
      </c>
      <c r="H7" s="4">
        <f>'Salford City'!$O$7</f>
        <v/>
      </c>
    </row>
    <row r="8">
      <c r="A8" s="3" t="inlineStr">
        <is>
          <t>Newport County</t>
        </is>
      </c>
      <c r="B8" s="5">
        <f>'Newport County'!$E$16</f>
        <v/>
      </c>
      <c r="C8" s="4">
        <f>'Newport County'!$O$2</f>
        <v/>
      </c>
      <c r="D8" s="4">
        <f>'Newport County'!$O$3</f>
        <v/>
      </c>
      <c r="E8" s="4">
        <f>'Newport County'!$O$4</f>
        <v/>
      </c>
      <c r="F8" s="4">
        <f>'Newport County'!$O$5</f>
        <v/>
      </c>
      <c r="G8" s="4">
        <f>'Newport County'!$O$6</f>
        <v/>
      </c>
      <c r="H8" s="4">
        <f>'Newport County'!$O$7</f>
        <v/>
      </c>
    </row>
    <row r="9">
      <c r="A9" s="3" t="inlineStr">
        <is>
          <t>Swindon Town</t>
        </is>
      </c>
      <c r="B9" s="5">
        <f>'Swindon Town'!$E$16</f>
        <v/>
      </c>
      <c r="C9" s="4">
        <f>'Swindon Town'!$O$2</f>
        <v/>
      </c>
      <c r="D9" s="4">
        <f>'Swindon Town'!$O$3</f>
        <v/>
      </c>
      <c r="E9" s="4">
        <f>'Swindon Town'!$O$4</f>
        <v/>
      </c>
      <c r="F9" s="4">
        <f>'Swindon Town'!$O$5</f>
        <v/>
      </c>
      <c r="G9" s="4">
        <f>'Swindon Town'!$O$6</f>
        <v/>
      </c>
      <c r="H9" s="4">
        <f>'Swindon Town'!$O$7</f>
        <v/>
      </c>
    </row>
    <row r="10">
      <c r="A10" s="3" t="inlineStr">
        <is>
          <t>Crewe Alexandra</t>
        </is>
      </c>
      <c r="B10" s="5">
        <f>'Crewe Alexandra'!$E$16</f>
        <v/>
      </c>
      <c r="C10" s="4">
        <f>'Crewe Alexandra'!$O$2</f>
        <v/>
      </c>
      <c r="D10" s="4">
        <f>'Crewe Alexandra'!$O$3</f>
        <v/>
      </c>
      <c r="E10" s="4">
        <f>'Crewe Alexandra'!$O$4</f>
        <v/>
      </c>
      <c r="F10" s="4">
        <f>'Crewe Alexandra'!$O$5</f>
        <v/>
      </c>
      <c r="G10" s="4">
        <f>'Crewe Alexandra'!$O$6</f>
        <v/>
      </c>
      <c r="H10" s="4">
        <f>'Crewe Alexandra'!$O$7</f>
        <v/>
      </c>
    </row>
    <row r="11">
      <c r="A11" s="3" t="inlineStr">
        <is>
          <t>Gillingham</t>
        </is>
      </c>
      <c r="B11" s="5">
        <f>'Gillingham'!$E$16</f>
        <v/>
      </c>
      <c r="C11" s="4">
        <f>'Gillingham'!$O$2</f>
        <v/>
      </c>
      <c r="D11" s="4">
        <f>'Gillingham'!$O$3</f>
        <v/>
      </c>
      <c r="E11" s="4">
        <f>'Gillingham'!$O$4</f>
        <v/>
      </c>
      <c r="F11" s="4">
        <f>'Gillingham'!$O$5</f>
        <v/>
      </c>
      <c r="G11" s="4">
        <f>'Gillingham'!$O$6</f>
        <v/>
      </c>
      <c r="H11" s="4">
        <f>'Gillingham'!$O$7</f>
        <v/>
      </c>
    </row>
    <row r="12">
      <c r="A12" s="3" t="inlineStr">
        <is>
          <t>Tranmere Rovers</t>
        </is>
      </c>
      <c r="B12" s="5">
        <f>'Tranmere Rovers'!$E$16</f>
        <v/>
      </c>
      <c r="C12" s="4">
        <f>'Tranmere Rovers'!$O$2</f>
        <v/>
      </c>
      <c r="D12" s="4">
        <f>'Tranmere Rovers'!$O$3</f>
        <v/>
      </c>
      <c r="E12" s="4">
        <f>'Tranmere Rovers'!$O$4</f>
        <v/>
      </c>
      <c r="F12" s="4">
        <f>'Tranmere Rovers'!$O$5</f>
        <v/>
      </c>
      <c r="G12" s="4">
        <f>'Tranmere Rovers'!$O$6</f>
        <v/>
      </c>
      <c r="H12" s="4">
        <f>'Tranmere Rovers'!$O$7</f>
        <v/>
      </c>
    </row>
    <row r="13">
      <c r="A13" s="3" t="inlineStr">
        <is>
          <t>Bristol Rvs</t>
        </is>
      </c>
      <c r="B13" s="5">
        <f>'Bristol Rvs'!$E$16</f>
        <v/>
      </c>
      <c r="C13" s="4">
        <f>'Bristol Rvs'!$O$2</f>
        <v/>
      </c>
      <c r="D13" s="4">
        <f>'Bristol Rvs'!$O$3</f>
        <v/>
      </c>
      <c r="E13" s="4">
        <f>'Bristol Rvs'!$O$4</f>
        <v/>
      </c>
      <c r="F13" s="4">
        <f>'Bristol Rvs'!$O$5</f>
        <v/>
      </c>
      <c r="G13" s="4">
        <f>'Bristol Rvs'!$O$6</f>
        <v/>
      </c>
      <c r="H13" s="4">
        <f>'Bristol Rvs'!$O$7</f>
        <v/>
      </c>
    </row>
    <row r="14">
      <c r="A14" s="3" t="inlineStr">
        <is>
          <t>Oldham Athletic</t>
        </is>
      </c>
      <c r="B14" s="5">
        <f>'Oldham Athletic'!$E$16</f>
        <v/>
      </c>
      <c r="C14" s="4">
        <f>'Oldham Athletic'!$O$2</f>
        <v/>
      </c>
      <c r="D14" s="4">
        <f>'Oldham Athletic'!$O$3</f>
        <v/>
      </c>
      <c r="E14" s="4">
        <f>'Oldham Athletic'!$O$4</f>
        <v/>
      </c>
      <c r="F14" s="4">
        <f>'Oldham Athletic'!$O$5</f>
        <v/>
      </c>
      <c r="G14" s="4">
        <f>'Oldham Athletic'!$O$6</f>
        <v/>
      </c>
      <c r="H14" s="4">
        <f>'Oldham Athletic'!$O$7</f>
        <v/>
      </c>
    </row>
    <row r="15">
      <c r="A15" s="3" t="inlineStr">
        <is>
          <t>Colchester United</t>
        </is>
      </c>
      <c r="B15" s="5">
        <f>'Colchester United'!$E$16</f>
        <v/>
      </c>
      <c r="C15" s="4">
        <f>'Colchester United'!$O$2</f>
        <v/>
      </c>
      <c r="D15" s="4">
        <f>'Colchester United'!$O$3</f>
        <v/>
      </c>
      <c r="E15" s="4">
        <f>'Colchester United'!$O$4</f>
        <v/>
      </c>
      <c r="F15" s="4">
        <f>'Colchester United'!$O$5</f>
        <v/>
      </c>
      <c r="G15" s="4">
        <f>'Colchester United'!$O$6</f>
        <v/>
      </c>
      <c r="H15" s="4">
        <f>'Colchester United'!$O$7</f>
        <v/>
      </c>
    </row>
    <row r="16">
      <c r="A16" s="3" t="inlineStr">
        <is>
          <t>Grimsby Town</t>
        </is>
      </c>
      <c r="B16" s="5">
        <f>'Grimsby Town'!$E$16</f>
        <v/>
      </c>
      <c r="C16" s="4">
        <f>'Grimsby Town'!$O$2</f>
        <v/>
      </c>
      <c r="D16" s="4">
        <f>'Grimsby Town'!$O$3</f>
        <v/>
      </c>
      <c r="E16" s="4">
        <f>'Grimsby Town'!$O$4</f>
        <v/>
      </c>
      <c r="F16" s="4">
        <f>'Grimsby Town'!$O$5</f>
        <v/>
      </c>
      <c r="G16" s="4">
        <f>'Grimsby Town'!$O$6</f>
        <v/>
      </c>
      <c r="H16" s="4">
        <f>'Grimsby Town'!$O$7</f>
        <v/>
      </c>
    </row>
    <row r="17">
      <c r="A17" s="3" t="inlineStr">
        <is>
          <t>Crawley Town</t>
        </is>
      </c>
      <c r="B17" s="5">
        <f>'Crawley Town'!$E$16</f>
        <v/>
      </c>
      <c r="C17" s="4">
        <f>'Crawley Town'!$O$2</f>
        <v/>
      </c>
      <c r="D17" s="4">
        <f>'Crawley Town'!$O$3</f>
        <v/>
      </c>
      <c r="E17" s="4">
        <f>'Crawley Town'!$O$4</f>
        <v/>
      </c>
      <c r="F17" s="4">
        <f>'Crawley Town'!$O$5</f>
        <v/>
      </c>
      <c r="G17" s="4">
        <f>'Crawley Town'!$O$6</f>
        <v/>
      </c>
      <c r="H17" s="4">
        <f>'Crawley Town'!$O$7</f>
        <v/>
      </c>
    </row>
    <row r="18">
      <c r="A18" s="3" t="inlineStr">
        <is>
          <t>Cheltenham Town</t>
        </is>
      </c>
      <c r="B18" s="5">
        <f>'Cheltenham Town'!$E$16</f>
        <v/>
      </c>
      <c r="C18" s="4">
        <f>'Cheltenham Town'!$O$2</f>
        <v/>
      </c>
      <c r="D18" s="4">
        <f>'Cheltenham Town'!$O$3</f>
        <v/>
      </c>
      <c r="E18" s="4">
        <f>'Cheltenham Town'!$O$4</f>
        <v/>
      </c>
      <c r="F18" s="4">
        <f>'Cheltenham Town'!$O$5</f>
        <v/>
      </c>
      <c r="G18" s="4">
        <f>'Cheltenham Town'!$O$6</f>
        <v/>
      </c>
      <c r="H18" s="4">
        <f>'Cheltenham Town'!$O$7</f>
        <v/>
      </c>
    </row>
    <row r="19">
      <c r="A19" s="3" t="inlineStr">
        <is>
          <t>Fleetwood Town</t>
        </is>
      </c>
      <c r="B19" s="5">
        <f>'Fleetwood Town'!$E$16</f>
        <v/>
      </c>
      <c r="C19" s="4">
        <f>'Fleetwood Town'!$O$2</f>
        <v/>
      </c>
      <c r="D19" s="4">
        <f>'Fleetwood Town'!$O$3</f>
        <v/>
      </c>
      <c r="E19" s="4">
        <f>'Fleetwood Town'!$O$4</f>
        <v/>
      </c>
      <c r="F19" s="4">
        <f>'Fleetwood Town'!$O$5</f>
        <v/>
      </c>
      <c r="G19" s="4">
        <f>'Fleetwood Town'!$O$6</f>
        <v/>
      </c>
      <c r="H19" s="4">
        <f>'Fleetwood Town'!$O$7</f>
        <v/>
      </c>
    </row>
    <row r="20">
      <c r="A20" s="3" t="inlineStr">
        <is>
          <t>Rotherham United</t>
        </is>
      </c>
      <c r="B20" s="5">
        <f>'Rotherham United'!$E$16</f>
        <v/>
      </c>
      <c r="C20" s="4">
        <f>'Rotherham United'!$O$2</f>
        <v/>
      </c>
      <c r="D20" s="4">
        <f>'Rotherham United'!$O$3</f>
        <v/>
      </c>
      <c r="E20" s="4">
        <f>'Rotherham United'!$O$4</f>
        <v/>
      </c>
      <c r="F20" s="4">
        <f>'Rotherham United'!$O$5</f>
        <v/>
      </c>
      <c r="G20" s="4">
        <f>'Rotherham United'!$O$6</f>
        <v/>
      </c>
      <c r="H20" s="4">
        <f>'Rotherham United'!$O$7</f>
        <v/>
      </c>
    </row>
    <row r="21">
      <c r="A21" s="3" t="inlineStr">
        <is>
          <t>Barnet</t>
        </is>
      </c>
      <c r="B21" s="5">
        <f>'Barnet'!$E$16</f>
        <v/>
      </c>
      <c r="C21" s="4">
        <f>'Barnet'!$O$2</f>
        <v/>
      </c>
      <c r="D21" s="4">
        <f>'Barnet'!$O$3</f>
        <v/>
      </c>
      <c r="E21" s="4">
        <f>'Barnet'!$O$4</f>
        <v/>
      </c>
      <c r="F21" s="4">
        <f>'Barnet'!$O$5</f>
        <v/>
      </c>
      <c r="G21" s="4">
        <f>'Barnet'!$O$6</f>
        <v/>
      </c>
      <c r="H21" s="4">
        <f>'Barnet'!$O$7</f>
        <v/>
      </c>
    </row>
    <row r="22">
      <c r="A22" s="3" t="inlineStr">
        <is>
          <t>Walsall</t>
        </is>
      </c>
      <c r="B22" s="5">
        <f>'Walsall'!$E$16</f>
        <v/>
      </c>
      <c r="C22" s="4">
        <f>'Walsall'!$O$2</f>
        <v/>
      </c>
      <c r="D22" s="4">
        <f>'Walsall'!$O$3</f>
        <v/>
      </c>
      <c r="E22" s="4">
        <f>'Walsall'!$O$4</f>
        <v/>
      </c>
      <c r="F22" s="4">
        <f>'Walsall'!$O$5</f>
        <v/>
      </c>
      <c r="G22" s="4">
        <f>'Walsall'!$O$6</f>
        <v/>
      </c>
      <c r="H22" s="4">
        <f>'Walsall'!$O$7</f>
        <v/>
      </c>
    </row>
    <row r="23">
      <c r="A23" s="3" t="inlineStr">
        <is>
          <t>York</t>
        </is>
      </c>
      <c r="B23" s="5">
        <f>'York'!$E$16</f>
        <v/>
      </c>
      <c r="C23" s="4">
        <f>'York'!$O$2</f>
        <v/>
      </c>
      <c r="D23" s="4">
        <f>'York'!$O$3</f>
        <v/>
      </c>
      <c r="E23" s="4">
        <f>'York'!$O$4</f>
        <v/>
      </c>
      <c r="F23" s="4">
        <f>'York'!$O$5</f>
        <v/>
      </c>
      <c r="G23" s="4">
        <f>'York'!$O$6</f>
        <v/>
      </c>
      <c r="H23" s="4">
        <f>'York'!$O$7</f>
        <v/>
      </c>
    </row>
    <row r="24">
      <c r="A24" s="3" t="inlineStr">
        <is>
          <t>Chesterfield</t>
        </is>
      </c>
      <c r="B24" s="5">
        <f>'Chesterfield'!$E$16</f>
        <v/>
      </c>
      <c r="C24" s="4">
        <f>'Chesterfield'!$O$2</f>
        <v/>
      </c>
      <c r="D24" s="4">
        <f>'Chesterfield'!$O$3</f>
        <v/>
      </c>
      <c r="E24" s="4">
        <f>'Chesterfield'!$O$4</f>
        <v/>
      </c>
      <c r="F24" s="4">
        <f>'Chesterfield'!$O$5</f>
        <v/>
      </c>
      <c r="G24" s="4">
        <f>'Chesterfield'!$O$6</f>
        <v/>
      </c>
      <c r="H24" s="4">
        <f>'Chesterfield'!$O$7</f>
        <v/>
      </c>
    </row>
    <row r="25">
      <c r="A25" s="3" t="inlineStr">
        <is>
          <t>Accrington Stanley</t>
        </is>
      </c>
      <c r="B25" s="5">
        <f>'Accrington Stanley'!$E$16</f>
        <v/>
      </c>
      <c r="C25" s="4">
        <f>'Accrington Stanley'!$O$2</f>
        <v/>
      </c>
      <c r="D25" s="4">
        <f>'Accrington Stanley'!$O$3</f>
        <v/>
      </c>
      <c r="E25" s="4">
        <f>'Accrington Stanley'!$O$4</f>
        <v/>
      </c>
      <c r="F25" s="4">
        <f>'Accrington Stanley'!$O$5</f>
        <v/>
      </c>
      <c r="G25" s="4">
        <f>'Accrington Stanley'!$O$6</f>
        <v/>
      </c>
      <c r="H25" s="4">
        <f>'Accrington Stanley'!$O$7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5" customWidth="1" min="12" max="12"/>
    <col width="6" customWidth="1" min="13" max="13"/>
    <col width="6" customWidth="1" min="14" max="14"/>
    <col width="5" customWidth="1" min="15" max="15"/>
  </cols>
  <sheetData>
    <row r="1" ht="30" customHeight="1">
      <c r="A1" s="1" t="inlineStr">
        <is>
          <t>Date</t>
        </is>
      </c>
      <c r="B1" s="1" t="inlineStr">
        <is>
          <t>Opponent</t>
        </is>
      </c>
      <c r="C1" s="1" t="inlineStr">
        <is>
          <t>Venue</t>
        </is>
      </c>
      <c r="D1" s="1" t="inlineStr">
        <is>
          <t>Goals For</t>
        </is>
      </c>
      <c r="E1" s="1" t="inlineStr">
        <is>
          <t>Goals Against</t>
        </is>
      </c>
      <c r="F1" s="1" t="inlineStr">
        <is>
          <t>xG Pre-Match (For)</t>
        </is>
      </c>
      <c r="G1" s="1" t="inlineStr">
        <is>
          <t>xG Pre-Match (Against)</t>
        </is>
      </c>
      <c r="H1" s="1" t="inlineStr">
        <is>
          <t>xG Actual (For)</t>
        </is>
      </c>
      <c r="I1" s="1" t="inlineStr">
        <is>
          <t>xG Actual (Against)</t>
        </is>
      </c>
      <c r="J1" s="1" t="inlineStr">
        <is>
          <t>xG Delta (For)</t>
        </is>
      </c>
      <c r="K1" s="1" t="inlineStr">
        <is>
          <t>xG Delta (Against)</t>
        </is>
      </c>
      <c r="L1" s="1" t="inlineStr">
        <is>
          <t>Rolling Delta (For)</t>
        </is>
      </c>
      <c r="M1" s="1" t="inlineStr">
        <is>
          <t>Rolling Delta (Against)</t>
        </is>
      </c>
      <c r="N1" s="1" t="inlineStr">
        <is>
          <t>Supremacy Delta</t>
        </is>
      </c>
      <c r="O1" s="1" t="inlineStr">
        <is>
          <t>Match Total xG Delta</t>
        </is>
      </c>
    </row>
    <row r="2">
      <c r="A2" s="3" t="inlineStr">
        <is>
          <t>2026-08-15</t>
        </is>
      </c>
      <c r="B2" s="3" t="inlineStr">
        <is>
          <t>Colchester United</t>
        </is>
      </c>
      <c r="C2" s="3" t="inlineStr">
        <is>
          <t>Home</t>
        </is>
      </c>
      <c r="D2" s="3" t="n">
        <v>2</v>
      </c>
      <c r="E2" s="3" t="n">
        <v>2</v>
      </c>
      <c r="F2" s="4" t="n">
        <v>1.33</v>
      </c>
      <c r="G2" s="4" t="n">
        <v>1.19</v>
      </c>
      <c r="H2" s="4" t="n">
        <v>2.78</v>
      </c>
      <c r="I2" s="4" t="n">
        <v>0.74</v>
      </c>
      <c r="J2" s="4" t="n">
        <v>1.45</v>
      </c>
      <c r="K2" s="4" t="n">
        <v>-0.45</v>
      </c>
      <c r="L2" s="4" t="n">
        <v>1.45</v>
      </c>
      <c r="M2" s="4" t="n">
        <v>-0.45</v>
      </c>
      <c r="N2" s="4">
        <f>(H2-I2)-(F2-G2)</f>
        <v/>
      </c>
      <c r="O2" s="4">
        <f>(H2+I2)-(F2+G2)</f>
        <v/>
      </c>
    </row>
    <row r="3">
      <c r="A3" s="3" t="inlineStr">
        <is>
          <t>2026-08-22</t>
        </is>
      </c>
      <c r="B3" s="3" t="inlineStr">
        <is>
          <t>Exeter</t>
        </is>
      </c>
      <c r="C3" s="3" t="inlineStr">
        <is>
          <t>Away</t>
        </is>
      </c>
      <c r="D3" s="3" t="n">
        <v>0</v>
      </c>
      <c r="E3" s="3" t="n">
        <v>2</v>
      </c>
      <c r="F3" s="4" t="n">
        <v>1.06</v>
      </c>
      <c r="G3" s="4" t="n">
        <v>1.58</v>
      </c>
      <c r="H3" s="4" t="n">
        <v>0.68</v>
      </c>
      <c r="I3" s="4" t="n">
        <v>2.31</v>
      </c>
      <c r="J3" s="4" t="n">
        <v>-0.38</v>
      </c>
      <c r="K3" s="4" t="n">
        <v>0.73</v>
      </c>
      <c r="L3" s="4" t="n">
        <v>0.53</v>
      </c>
      <c r="M3" s="4" t="n">
        <v>0.14</v>
      </c>
      <c r="N3" s="4">
        <f>(H3-I3)-(F3-G3)</f>
        <v/>
      </c>
      <c r="O3" s="4">
        <f>(H3+I3)-(F3+G3)</f>
        <v/>
      </c>
    </row>
    <row r="4">
      <c r="A4" s="3" t="inlineStr">
        <is>
          <t>2026-08-29</t>
        </is>
      </c>
      <c r="B4" s="3" t="inlineStr">
        <is>
          <t>Walsall</t>
        </is>
      </c>
      <c r="C4" s="3" t="inlineStr">
        <is>
          <t>Away</t>
        </is>
      </c>
      <c r="D4" s="3" t="n">
        <v>2</v>
      </c>
      <c r="E4" s="3" t="n">
        <v>3</v>
      </c>
      <c r="F4" s="4" t="n">
        <v>0.97</v>
      </c>
      <c r="G4" s="4" t="n">
        <v>1.58</v>
      </c>
      <c r="H4" s="4" t="n">
        <v>2.29</v>
      </c>
      <c r="I4" s="4" t="n">
        <v>2.22</v>
      </c>
      <c r="J4" s="4" t="n">
        <v>1.32</v>
      </c>
      <c r="K4" s="4" t="n">
        <v>0.64</v>
      </c>
      <c r="L4" s="4" t="n">
        <v>0.8</v>
      </c>
      <c r="M4" s="4" t="n">
        <v>0.31</v>
      </c>
      <c r="N4" s="4">
        <f>(H4-I4)-(F4-G4)</f>
        <v/>
      </c>
      <c r="O4" s="4">
        <f>(H4+I4)-(F4+G4)</f>
        <v/>
      </c>
    </row>
    <row r="5">
      <c r="A5" s="3" t="inlineStr">
        <is>
          <t>2026-09-01</t>
        </is>
      </c>
      <c r="B5" s="3" t="inlineStr">
        <is>
          <t>Grimsby Town</t>
        </is>
      </c>
      <c r="C5" s="3" t="inlineStr">
        <is>
          <t>Home</t>
        </is>
      </c>
      <c r="D5" s="3" t="n">
        <v>2</v>
      </c>
      <c r="E5" s="3" t="n">
        <v>2</v>
      </c>
      <c r="F5" s="4" t="n">
        <v>1.09</v>
      </c>
      <c r="G5" s="4" t="n">
        <v>1.62</v>
      </c>
      <c r="H5" s="4" t="n">
        <v>2.6</v>
      </c>
      <c r="I5" s="4" t="n">
        <v>2.19</v>
      </c>
      <c r="J5" s="4" t="n">
        <v>1.51</v>
      </c>
      <c r="K5" s="4" t="n">
        <v>0.57</v>
      </c>
      <c r="L5" s="4" t="n">
        <v>0.97</v>
      </c>
      <c r="M5" s="4" t="n">
        <v>0.37</v>
      </c>
      <c r="N5" s="4">
        <f>(H5-I5)-(F5-G5)</f>
        <v/>
      </c>
      <c r="O5" s="4">
        <f>(H5+I5)-(F5+G5)</f>
        <v/>
      </c>
    </row>
    <row r="6">
      <c r="A6" s="3" t="inlineStr">
        <is>
          <t>2026-09-05</t>
        </is>
      </c>
      <c r="B6" s="3" t="inlineStr">
        <is>
          <t>Crawley Town</t>
        </is>
      </c>
      <c r="C6" s="3" t="inlineStr">
        <is>
          <t>Home</t>
        </is>
      </c>
      <c r="D6" s="3" t="n">
        <v>3</v>
      </c>
      <c r="E6" s="3" t="n">
        <v>2</v>
      </c>
      <c r="F6" s="4" t="n">
        <v>1.66</v>
      </c>
      <c r="G6" s="4" t="n">
        <v>1.17</v>
      </c>
      <c r="H6" s="4" t="n">
        <v>2.07</v>
      </c>
      <c r="I6" s="4" t="n">
        <v>1.49</v>
      </c>
      <c r="J6" s="4" t="n">
        <v>0.41</v>
      </c>
      <c r="K6" s="4" t="n">
        <v>0.32</v>
      </c>
      <c r="L6" s="4" t="n">
        <v>0.86</v>
      </c>
      <c r="M6" s="4" t="n">
        <v>0.36</v>
      </c>
      <c r="N6" s="4">
        <f>(H6-I6)-(F6-G6)</f>
        <v/>
      </c>
      <c r="O6" s="4">
        <f>(H6+I6)-(F6+G6)</f>
        <v/>
      </c>
    </row>
    <row r="7">
      <c r="A7" s="3" t="inlineStr">
        <is>
          <t>2026-09-12</t>
        </is>
      </c>
      <c r="B7" s="3" t="inlineStr">
        <is>
          <t>Barnet</t>
        </is>
      </c>
      <c r="C7" s="3" t="inlineStr">
        <is>
          <t>Away</t>
        </is>
      </c>
      <c r="D7" s="3" t="n">
        <v>1</v>
      </c>
      <c r="E7" s="3" t="n">
        <v>2</v>
      </c>
      <c r="F7" s="4" t="n">
        <v>1.04</v>
      </c>
      <c r="G7" s="4" t="n">
        <v>2.02</v>
      </c>
      <c r="H7" s="4" t="n">
        <v>0.6899999999999999</v>
      </c>
      <c r="I7" s="4" t="n">
        <v>2.41</v>
      </c>
      <c r="J7" s="4" t="n">
        <v>-0.35</v>
      </c>
      <c r="K7" s="4" t="n">
        <v>0.39</v>
      </c>
      <c r="L7" s="4" t="n">
        <v>0.66</v>
      </c>
      <c r="M7" s="4" t="n">
        <v>0.37</v>
      </c>
      <c r="N7" s="4">
        <f>(H7-I7)-(F7-G7)</f>
        <v/>
      </c>
      <c r="O7" s="4">
        <f>(H7+I7)-(F7+G7)</f>
        <v/>
      </c>
    </row>
    <row r="9">
      <c r="A9" s="6" t="inlineStr">
        <is>
          <t>Season summary</t>
        </is>
      </c>
    </row>
    <row r="10">
      <c r="A10" s="3" t="inlineStr">
        <is>
          <t>Matches played</t>
        </is>
      </c>
      <c r="E10" s="7">
        <f>COUNTA(A2:A7)</f>
        <v/>
      </c>
    </row>
    <row r="11">
      <c r="A11" s="3" t="inlineStr">
        <is>
          <t>Total goals for</t>
        </is>
      </c>
      <c r="E11" s="7">
        <f>SUM(D2:D7)</f>
        <v/>
      </c>
    </row>
    <row r="12">
      <c r="A12" s="3" t="inlineStr">
        <is>
          <t>Total goals against</t>
        </is>
      </c>
      <c r="E12" s="7">
        <f>SUM(E2:E7)</f>
        <v/>
      </c>
    </row>
    <row r="13">
      <c r="A13" s="3" t="inlineStr">
        <is>
          <t>Avg xG Delta (For)</t>
        </is>
      </c>
      <c r="E13" s="8">
        <f>AVERAGE(J2:J7)</f>
        <v/>
      </c>
    </row>
    <row r="14">
      <c r="A14" s="3" t="inlineStr">
        <is>
          <t>Avg xG Delta (Against)</t>
        </is>
      </c>
      <c r="E14" s="8">
        <f>AVERAGE(K2:K7)</f>
        <v/>
      </c>
    </row>
    <row r="15">
      <c r="A15" s="3" t="inlineStr">
        <is>
          <t>Avg Supremacy Delta</t>
        </is>
      </c>
      <c r="E15" s="8">
        <f>AVERAGE(N2:N7)</f>
        <v/>
      </c>
    </row>
    <row r="16">
      <c r="A16" s="3" t="inlineStr">
        <is>
          <t>Avg Total xG Delta</t>
        </is>
      </c>
      <c r="E16" s="8">
        <f>AVERAGE(O2:O7)</f>
        <v/>
      </c>
    </row>
    <row r="17">
      <c r="A17" s="3" t="inlineStr">
        <is>
          <t>Current form (last 6, For)</t>
        </is>
      </c>
      <c r="E17" s="8">
        <f>L7</f>
        <v/>
      </c>
    </row>
    <row r="18">
      <c r="A18" s="3" t="inlineStr">
        <is>
          <t>Current form (last 6, Against)</t>
        </is>
      </c>
      <c r="E18" s="8">
        <f>M7</f>
        <v/>
      </c>
    </row>
  </sheetData>
  <mergeCells count="9">
    <mergeCell ref="A17:D17"/>
    <mergeCell ref="A18:D18"/>
    <mergeCell ref="A12:D12"/>
    <mergeCell ref="A15:D15"/>
    <mergeCell ref="A16:D16"/>
    <mergeCell ref="A11:D11"/>
    <mergeCell ref="A10:D10"/>
    <mergeCell ref="A13:D13"/>
    <mergeCell ref="A14:D14"/>
  </mergeCells>
  <conditionalFormatting sqref="J2:J7">
    <cfRule type="colorScale" priority="1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L2:L7">
    <cfRule type="colorScale" priority="2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N2:N7">
    <cfRule type="colorScale" priority="3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K2:K7">
    <cfRule type="colorScale" priority="4">
      <colorScale>
        <cfvo type="min"/>
        <cfvo type="percentile" val="50"/>
        <cfvo type="max"/>
        <color rgb="0063BE7B"/>
        <color rgb="00FFFFFF"/>
        <color rgb="00F8696B"/>
      </colorScale>
    </cfRule>
  </conditionalFormatting>
  <conditionalFormatting sqref="M2:M7">
    <cfRule type="colorScale" priority="5">
      <colorScale>
        <cfvo type="min"/>
        <cfvo type="percentile" val="5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9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</cols>
  <sheetData>
    <row r="1" ht="30" customHeight="1">
      <c r="A1" s="1" t="inlineStr">
        <is>
          <t>Date</t>
        </is>
      </c>
      <c r="B1" s="1" t="inlineStr">
        <is>
          <t>Opponent</t>
        </is>
      </c>
      <c r="C1" s="1" t="inlineStr">
        <is>
          <t>Venue</t>
        </is>
      </c>
      <c r="D1" s="1" t="inlineStr">
        <is>
          <t>Goals For</t>
        </is>
      </c>
      <c r="E1" s="1" t="inlineStr">
        <is>
          <t>Goals Against</t>
        </is>
      </c>
      <c r="F1" s="1" t="inlineStr">
        <is>
          <t>xG Pre-Match (For)</t>
        </is>
      </c>
      <c r="G1" s="1" t="inlineStr">
        <is>
          <t>xG Pre-Match (Against)</t>
        </is>
      </c>
      <c r="H1" s="1" t="inlineStr">
        <is>
          <t>xG Actual (For)</t>
        </is>
      </c>
      <c r="I1" s="1" t="inlineStr">
        <is>
          <t>xG Actual (Against)</t>
        </is>
      </c>
      <c r="J1" s="1" t="inlineStr">
        <is>
          <t>xG Delta (For)</t>
        </is>
      </c>
      <c r="K1" s="1" t="inlineStr">
        <is>
          <t>xG Delta (Against)</t>
        </is>
      </c>
      <c r="L1" s="1" t="inlineStr">
        <is>
          <t>Rolling Delta (For)</t>
        </is>
      </c>
      <c r="M1" s="1" t="inlineStr">
        <is>
          <t>Rolling Delta (Against)</t>
        </is>
      </c>
      <c r="N1" s="1" t="inlineStr">
        <is>
          <t>Supremacy Delta</t>
        </is>
      </c>
      <c r="O1" s="1" t="inlineStr">
        <is>
          <t>Match Total xG Delta</t>
        </is>
      </c>
    </row>
    <row r="2">
      <c r="A2" s="3" t="inlineStr">
        <is>
          <t>2026-08-15</t>
        </is>
      </c>
      <c r="B2" s="3" t="inlineStr">
        <is>
          <t>Salford City</t>
        </is>
      </c>
      <c r="C2" s="3" t="inlineStr">
        <is>
          <t>Home</t>
        </is>
      </c>
      <c r="D2" s="3" t="n">
        <v>3</v>
      </c>
      <c r="E2" s="3" t="n">
        <v>1</v>
      </c>
      <c r="F2" s="4" t="n">
        <v>1.42</v>
      </c>
      <c r="G2" s="4" t="n">
        <v>1.18</v>
      </c>
      <c r="H2" s="4" t="n">
        <v>1.62</v>
      </c>
      <c r="I2" s="4" t="n">
        <v>0.92</v>
      </c>
      <c r="J2" s="4" t="n">
        <v>0.2</v>
      </c>
      <c r="K2" s="4" t="n">
        <v>-0.26</v>
      </c>
      <c r="L2" s="4" t="n">
        <v>0.2</v>
      </c>
      <c r="M2" s="4" t="n">
        <v>-0.26</v>
      </c>
      <c r="N2" s="4">
        <f>(H2-I2)-(F2-G2)</f>
        <v/>
      </c>
      <c r="O2" s="4">
        <f>(H2+I2)-(F2+G2)</f>
        <v/>
      </c>
    </row>
    <row r="3">
      <c r="A3" s="3" t="inlineStr">
        <is>
          <t>2026-08-22</t>
        </is>
      </c>
      <c r="B3" s="3" t="inlineStr">
        <is>
          <t>Shrewsbury Town</t>
        </is>
      </c>
      <c r="C3" s="3" t="inlineStr">
        <is>
          <t>Away</t>
        </is>
      </c>
      <c r="D3" s="3" t="n">
        <v>3</v>
      </c>
      <c r="E3" s="3" t="n">
        <v>1</v>
      </c>
      <c r="F3" s="4" t="n">
        <v>1.6</v>
      </c>
      <c r="G3" s="4" t="n">
        <v>1.02</v>
      </c>
      <c r="H3" s="4" t="n">
        <v>1.07</v>
      </c>
      <c r="I3" s="4" t="n">
        <v>1.78</v>
      </c>
      <c r="J3" s="4" t="n">
        <v>-0.53</v>
      </c>
      <c r="K3" s="4" t="n">
        <v>0.76</v>
      </c>
      <c r="L3" s="4" t="n">
        <v>-0.17</v>
      </c>
      <c r="M3" s="4" t="n">
        <v>0.25</v>
      </c>
      <c r="N3" s="4">
        <f>(H3-I3)-(F3-G3)</f>
        <v/>
      </c>
      <c r="O3" s="4">
        <f>(H3+I3)-(F3+G3)</f>
        <v/>
      </c>
    </row>
    <row r="4">
      <c r="A4" s="3" t="inlineStr">
        <is>
          <t>2026-08-29</t>
        </is>
      </c>
      <c r="B4" s="3" t="inlineStr">
        <is>
          <t>Cheltenham Town</t>
        </is>
      </c>
      <c r="C4" s="3" t="inlineStr">
        <is>
          <t>Home</t>
        </is>
      </c>
      <c r="D4" s="3" t="n">
        <v>2</v>
      </c>
      <c r="E4" s="3" t="n">
        <v>2</v>
      </c>
      <c r="F4" s="4" t="n">
        <v>1.86</v>
      </c>
      <c r="G4" s="4" t="n">
        <v>0.92</v>
      </c>
      <c r="H4" s="4" t="n">
        <v>2.15</v>
      </c>
      <c r="I4" s="4" t="n">
        <v>1.78</v>
      </c>
      <c r="J4" s="4" t="n">
        <v>0.29</v>
      </c>
      <c r="K4" s="4" t="n">
        <v>0.86</v>
      </c>
      <c r="L4" s="4" t="n">
        <v>-0.01</v>
      </c>
      <c r="M4" s="4" t="n">
        <v>0.45</v>
      </c>
      <c r="N4" s="4">
        <f>(H4-I4)-(F4-G4)</f>
        <v/>
      </c>
      <c r="O4" s="4">
        <f>(H4+I4)-(F4+G4)</f>
        <v/>
      </c>
    </row>
    <row r="5">
      <c r="A5" s="3" t="inlineStr">
        <is>
          <t>2026-09-01</t>
        </is>
      </c>
      <c r="B5" s="3" t="inlineStr">
        <is>
          <t>Exeter</t>
        </is>
      </c>
      <c r="C5" s="3" t="inlineStr">
        <is>
          <t>Away</t>
        </is>
      </c>
      <c r="D5" s="3" t="n">
        <v>1</v>
      </c>
      <c r="E5" s="3" t="n">
        <v>1</v>
      </c>
      <c r="F5" s="4" t="n">
        <v>1.76</v>
      </c>
      <c r="G5" s="4" t="n">
        <v>1.18</v>
      </c>
      <c r="H5" s="4" t="n">
        <v>1.02</v>
      </c>
      <c r="I5" s="4" t="n">
        <v>1.05</v>
      </c>
      <c r="J5" s="4" t="n">
        <v>-0.74</v>
      </c>
      <c r="K5" s="4" t="n">
        <v>-0.13</v>
      </c>
      <c r="L5" s="4" t="n">
        <v>-0.19</v>
      </c>
      <c r="M5" s="4" t="n">
        <v>0.31</v>
      </c>
      <c r="N5" s="4">
        <f>(H5-I5)-(F5-G5)</f>
        <v/>
      </c>
      <c r="O5" s="4">
        <f>(H5+I5)-(F5+G5)</f>
        <v/>
      </c>
    </row>
    <row r="6">
      <c r="A6" s="3" t="inlineStr">
        <is>
          <t>2026-09-05</t>
        </is>
      </c>
      <c r="B6" s="3" t="inlineStr">
        <is>
          <t>Chesterfield</t>
        </is>
      </c>
      <c r="C6" s="3" t="inlineStr">
        <is>
          <t>Away</t>
        </is>
      </c>
      <c r="D6" s="3" t="n">
        <v>3</v>
      </c>
      <c r="E6" s="3" t="n">
        <v>3</v>
      </c>
      <c r="F6" s="4" t="n">
        <v>1.24</v>
      </c>
      <c r="G6" s="4" t="n">
        <v>1.59</v>
      </c>
      <c r="H6" s="4" t="n">
        <v>2.36</v>
      </c>
      <c r="I6" s="4" t="n">
        <v>2.08</v>
      </c>
      <c r="J6" s="4" t="n">
        <v>1.12</v>
      </c>
      <c r="K6" s="4" t="n">
        <v>0.49</v>
      </c>
      <c r="L6" s="4" t="n">
        <v>0.07000000000000001</v>
      </c>
      <c r="M6" s="4" t="n">
        <v>0.34</v>
      </c>
      <c r="N6" s="4">
        <f>(H6-I6)-(F6-G6)</f>
        <v/>
      </c>
      <c r="O6" s="4">
        <f>(H6+I6)-(F6+G6)</f>
        <v/>
      </c>
    </row>
    <row r="7">
      <c r="A7" s="3" t="inlineStr">
        <is>
          <t>2026-09-12</t>
        </is>
      </c>
      <c r="B7" s="3" t="inlineStr">
        <is>
          <t>Accrington Stanley</t>
        </is>
      </c>
      <c r="C7" s="3" t="inlineStr">
        <is>
          <t>Home</t>
        </is>
      </c>
      <c r="D7" s="3" t="n">
        <v>2</v>
      </c>
      <c r="E7" s="3" t="n">
        <v>1</v>
      </c>
      <c r="F7" s="4" t="n">
        <v>2.02</v>
      </c>
      <c r="G7" s="4" t="n">
        <v>1.04</v>
      </c>
      <c r="H7" s="4" t="n">
        <v>2.41</v>
      </c>
      <c r="I7" s="4" t="n">
        <v>0.6899999999999999</v>
      </c>
      <c r="J7" s="4" t="n">
        <v>0.39</v>
      </c>
      <c r="K7" s="4" t="n">
        <v>-0.35</v>
      </c>
      <c r="L7" s="4" t="n">
        <v>0.12</v>
      </c>
      <c r="M7" s="4" t="n">
        <v>0.23</v>
      </c>
      <c r="N7" s="4">
        <f>(H7-I7)-(F7-G7)</f>
        <v/>
      </c>
      <c r="O7" s="4">
        <f>(H7+I7)-(F7+G7)</f>
        <v/>
      </c>
    </row>
    <row r="9">
      <c r="A9" s="6" t="inlineStr">
        <is>
          <t>Season summary</t>
        </is>
      </c>
    </row>
    <row r="10">
      <c r="A10" s="3" t="inlineStr">
        <is>
          <t>Matches played</t>
        </is>
      </c>
      <c r="E10" s="7">
        <f>COUNTA(A2:A7)</f>
        <v/>
      </c>
    </row>
    <row r="11">
      <c r="A11" s="3" t="inlineStr">
        <is>
          <t>Total goals for</t>
        </is>
      </c>
      <c r="E11" s="7">
        <f>SUM(D2:D7)</f>
        <v/>
      </c>
    </row>
    <row r="12">
      <c r="A12" s="3" t="inlineStr">
        <is>
          <t>Total goals against</t>
        </is>
      </c>
      <c r="E12" s="7">
        <f>SUM(E2:E7)</f>
        <v/>
      </c>
    </row>
    <row r="13">
      <c r="A13" s="3" t="inlineStr">
        <is>
          <t>Avg xG Delta (For)</t>
        </is>
      </c>
      <c r="E13" s="8">
        <f>AVERAGE(J2:J7)</f>
        <v/>
      </c>
    </row>
    <row r="14">
      <c r="A14" s="3" t="inlineStr">
        <is>
          <t>Avg xG Delta (Against)</t>
        </is>
      </c>
      <c r="E14" s="8">
        <f>AVERAGE(K2:K7)</f>
        <v/>
      </c>
    </row>
    <row r="15">
      <c r="A15" s="3" t="inlineStr">
        <is>
          <t>Avg Supremacy Delta</t>
        </is>
      </c>
      <c r="E15" s="8">
        <f>AVERAGE(N2:N7)</f>
        <v/>
      </c>
    </row>
    <row r="16">
      <c r="A16" s="3" t="inlineStr">
        <is>
          <t>Avg Total xG Delta</t>
        </is>
      </c>
      <c r="E16" s="8">
        <f>AVERAGE(O2:O7)</f>
        <v/>
      </c>
    </row>
    <row r="17">
      <c r="A17" s="3" t="inlineStr">
        <is>
          <t>Current form (last 6, For)</t>
        </is>
      </c>
      <c r="E17" s="8">
        <f>L7</f>
        <v/>
      </c>
    </row>
    <row r="18">
      <c r="A18" s="3" t="inlineStr">
        <is>
          <t>Current form (last 6, Against)</t>
        </is>
      </c>
      <c r="E18" s="8">
        <f>M7</f>
        <v/>
      </c>
    </row>
  </sheetData>
  <mergeCells count="9">
    <mergeCell ref="A17:D17"/>
    <mergeCell ref="A18:D18"/>
    <mergeCell ref="A12:D12"/>
    <mergeCell ref="A15:D15"/>
    <mergeCell ref="A16:D16"/>
    <mergeCell ref="A11:D11"/>
    <mergeCell ref="A10:D10"/>
    <mergeCell ref="A13:D13"/>
    <mergeCell ref="A14:D14"/>
  </mergeCells>
  <conditionalFormatting sqref="J2:J7">
    <cfRule type="colorScale" priority="1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L2:L7">
    <cfRule type="colorScale" priority="2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N2:N7">
    <cfRule type="colorScale" priority="3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K2:K7">
    <cfRule type="colorScale" priority="4">
      <colorScale>
        <cfvo type="min"/>
        <cfvo type="percentile" val="50"/>
        <cfvo type="max"/>
        <color rgb="0063BE7B"/>
        <color rgb="00FFFFFF"/>
        <color rgb="00F8696B"/>
      </colorScale>
    </cfRule>
  </conditionalFormatting>
  <conditionalFormatting sqref="M2:M7">
    <cfRule type="colorScale" priority="5">
      <colorScale>
        <cfvo type="min"/>
        <cfvo type="percentile" val="5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5" customWidth="1" min="12" max="12"/>
    <col width="6" customWidth="1" min="13" max="13"/>
    <col width="6" customWidth="1" min="14" max="14"/>
    <col width="6" customWidth="1" min="15" max="15"/>
  </cols>
  <sheetData>
    <row r="1" ht="30" customHeight="1">
      <c r="A1" s="1" t="inlineStr">
        <is>
          <t>Date</t>
        </is>
      </c>
      <c r="B1" s="1" t="inlineStr">
        <is>
          <t>Opponent</t>
        </is>
      </c>
      <c r="C1" s="1" t="inlineStr">
        <is>
          <t>Venue</t>
        </is>
      </c>
      <c r="D1" s="1" t="inlineStr">
        <is>
          <t>Goals For</t>
        </is>
      </c>
      <c r="E1" s="1" t="inlineStr">
        <is>
          <t>Goals Against</t>
        </is>
      </c>
      <c r="F1" s="1" t="inlineStr">
        <is>
          <t>xG Pre-Match (For)</t>
        </is>
      </c>
      <c r="G1" s="1" t="inlineStr">
        <is>
          <t>xG Pre-Match (Against)</t>
        </is>
      </c>
      <c r="H1" s="1" t="inlineStr">
        <is>
          <t>xG Actual (For)</t>
        </is>
      </c>
      <c r="I1" s="1" t="inlineStr">
        <is>
          <t>xG Actual (Against)</t>
        </is>
      </c>
      <c r="J1" s="1" t="inlineStr">
        <is>
          <t>xG Delta (For)</t>
        </is>
      </c>
      <c r="K1" s="1" t="inlineStr">
        <is>
          <t>xG Delta (Against)</t>
        </is>
      </c>
      <c r="L1" s="1" t="inlineStr">
        <is>
          <t>Rolling Delta (For)</t>
        </is>
      </c>
      <c r="M1" s="1" t="inlineStr">
        <is>
          <t>Rolling Delta (Against)</t>
        </is>
      </c>
      <c r="N1" s="1" t="inlineStr">
        <is>
          <t>Supremacy Delta</t>
        </is>
      </c>
      <c r="O1" s="1" t="inlineStr">
        <is>
          <t>Match Total xG Delta</t>
        </is>
      </c>
    </row>
    <row r="2">
      <c r="A2" s="3" t="inlineStr">
        <is>
          <t>2026-08-15</t>
        </is>
      </c>
      <c r="B2" s="3" t="inlineStr">
        <is>
          <t>York</t>
        </is>
      </c>
      <c r="C2" s="3" t="inlineStr">
        <is>
          <t>Away</t>
        </is>
      </c>
      <c r="D2" s="3" t="n">
        <v>2</v>
      </c>
      <c r="E2" s="3" t="n">
        <v>3</v>
      </c>
      <c r="F2" s="4" t="n">
        <v>1.09</v>
      </c>
      <c r="G2" s="4" t="n">
        <v>1.41</v>
      </c>
      <c r="H2" s="4" t="n">
        <v>1.83</v>
      </c>
      <c r="I2" s="4" t="n">
        <v>1.93</v>
      </c>
      <c r="J2" s="4" t="n">
        <v>0.74</v>
      </c>
      <c r="K2" s="4" t="n">
        <v>0.52</v>
      </c>
      <c r="L2" s="4" t="n">
        <v>0.74</v>
      </c>
      <c r="M2" s="4" t="n">
        <v>0.52</v>
      </c>
      <c r="N2" s="4">
        <f>(H2-I2)-(F2-G2)</f>
        <v/>
      </c>
      <c r="O2" s="4">
        <f>(H2+I2)-(F2+G2)</f>
        <v/>
      </c>
    </row>
    <row r="3">
      <c r="A3" s="3" t="inlineStr">
        <is>
          <t>2026-08-22</t>
        </is>
      </c>
      <c r="B3" s="3" t="inlineStr">
        <is>
          <t>Newport County</t>
        </is>
      </c>
      <c r="C3" s="3" t="inlineStr">
        <is>
          <t>Home</t>
        </is>
      </c>
      <c r="D3" s="3" t="n">
        <v>5</v>
      </c>
      <c r="E3" s="3" t="n">
        <v>3</v>
      </c>
      <c r="F3" s="4" t="n">
        <v>1.83</v>
      </c>
      <c r="G3" s="4" t="n">
        <v>0.9399999999999999</v>
      </c>
      <c r="H3" s="4" t="n">
        <v>3.99</v>
      </c>
      <c r="I3" s="4" t="n">
        <v>0.66</v>
      </c>
      <c r="J3" s="4" t="n">
        <v>2.16</v>
      </c>
      <c r="K3" s="4" t="n">
        <v>-0.28</v>
      </c>
      <c r="L3" s="4" t="n">
        <v>1.45</v>
      </c>
      <c r="M3" s="4" t="n">
        <v>0.12</v>
      </c>
      <c r="N3" s="4">
        <f>(H3-I3)-(F3-G3)</f>
        <v/>
      </c>
      <c r="O3" s="4">
        <f>(H3+I3)-(F3+G3)</f>
        <v/>
      </c>
    </row>
    <row r="4">
      <c r="A4" s="3" t="inlineStr">
        <is>
          <t>2026-08-29</t>
        </is>
      </c>
      <c r="B4" s="3" t="inlineStr">
        <is>
          <t>Crawley Town</t>
        </is>
      </c>
      <c r="C4" s="3" t="inlineStr">
        <is>
          <t>Away</t>
        </is>
      </c>
      <c r="D4" s="3" t="n">
        <v>2</v>
      </c>
      <c r="E4" s="3" t="n">
        <v>0</v>
      </c>
      <c r="F4" s="4" t="n">
        <v>1.52</v>
      </c>
      <c r="G4" s="4" t="n">
        <v>1.14</v>
      </c>
      <c r="H4" s="4" t="n">
        <v>1.98</v>
      </c>
      <c r="I4" s="4" t="n">
        <v>0.72</v>
      </c>
      <c r="J4" s="4" t="n">
        <v>0.46</v>
      </c>
      <c r="K4" s="4" t="n">
        <v>-0.41</v>
      </c>
      <c r="L4" s="4" t="n">
        <v>1.12</v>
      </c>
      <c r="M4" s="4" t="n">
        <v>-0.06</v>
      </c>
      <c r="N4" s="4">
        <f>(H4-I4)-(F4-G4)</f>
        <v/>
      </c>
      <c r="O4" s="4">
        <f>(H4+I4)-(F4+G4)</f>
        <v/>
      </c>
    </row>
    <row r="5">
      <c r="A5" s="3" t="inlineStr">
        <is>
          <t>2026-09-01</t>
        </is>
      </c>
      <c r="B5" s="3" t="inlineStr">
        <is>
          <t>Colchester United</t>
        </is>
      </c>
      <c r="C5" s="3" t="inlineStr">
        <is>
          <t>Home</t>
        </is>
      </c>
      <c r="D5" s="3" t="n">
        <v>2</v>
      </c>
      <c r="E5" s="3" t="n">
        <v>0</v>
      </c>
      <c r="F5" s="4" t="n">
        <v>1.74</v>
      </c>
      <c r="G5" s="4" t="n">
        <v>1.09</v>
      </c>
      <c r="H5" s="4" t="n">
        <v>2.99</v>
      </c>
      <c r="I5" s="4" t="n">
        <v>0.86</v>
      </c>
      <c r="J5" s="4" t="n">
        <v>1.25</v>
      </c>
      <c r="K5" s="4" t="n">
        <v>-0.23</v>
      </c>
      <c r="L5" s="4" t="n">
        <v>1.15</v>
      </c>
      <c r="M5" s="4" t="n">
        <v>-0.1</v>
      </c>
      <c r="N5" s="4">
        <f>(H5-I5)-(F5-G5)</f>
        <v/>
      </c>
      <c r="O5" s="4">
        <f>(H5+I5)-(F5+G5)</f>
        <v/>
      </c>
    </row>
    <row r="6">
      <c r="A6" s="3" t="inlineStr">
        <is>
          <t>2026-09-05</t>
        </is>
      </c>
      <c r="B6" s="3" t="inlineStr">
        <is>
          <t>Rotherham United</t>
        </is>
      </c>
      <c r="C6" s="3" t="inlineStr">
        <is>
          <t>Home</t>
        </is>
      </c>
      <c r="D6" s="3" t="n">
        <v>1</v>
      </c>
      <c r="E6" s="3" t="n">
        <v>0</v>
      </c>
      <c r="F6" s="4" t="n">
        <v>1.91</v>
      </c>
      <c r="G6" s="4" t="n">
        <v>1.13</v>
      </c>
      <c r="H6" s="4" t="n">
        <v>0.84</v>
      </c>
      <c r="I6" s="4" t="n">
        <v>0.63</v>
      </c>
      <c r="J6" s="4" t="n">
        <v>-1.07</v>
      </c>
      <c r="K6" s="4" t="n">
        <v>-0.5</v>
      </c>
      <c r="L6" s="4" t="n">
        <v>0.71</v>
      </c>
      <c r="M6" s="4" t="n">
        <v>-0.18</v>
      </c>
      <c r="N6" s="4">
        <f>(H6-I6)-(F6-G6)</f>
        <v/>
      </c>
      <c r="O6" s="4">
        <f>(H6+I6)-(F6+G6)</f>
        <v/>
      </c>
    </row>
    <row r="7">
      <c r="A7" s="3" t="inlineStr">
        <is>
          <t>2026-09-12</t>
        </is>
      </c>
      <c r="B7" s="3" t="inlineStr">
        <is>
          <t>Grimsby Town</t>
        </is>
      </c>
      <c r="C7" s="3" t="inlineStr">
        <is>
          <t>Away</t>
        </is>
      </c>
      <c r="D7" s="3" t="n">
        <v>0</v>
      </c>
      <c r="E7" s="3" t="n">
        <v>2</v>
      </c>
      <c r="F7" s="4" t="n">
        <v>1.34</v>
      </c>
      <c r="G7" s="4" t="n">
        <v>1.52</v>
      </c>
      <c r="H7" s="4" t="n">
        <v>0.09</v>
      </c>
      <c r="I7" s="4" t="n">
        <v>1.23</v>
      </c>
      <c r="J7" s="4" t="n">
        <v>-1.25</v>
      </c>
      <c r="K7" s="4" t="n">
        <v>-0.29</v>
      </c>
      <c r="L7" s="4" t="n">
        <v>0.38</v>
      </c>
      <c r="M7" s="4" t="n">
        <v>-0.2</v>
      </c>
      <c r="N7" s="4">
        <f>(H7-I7)-(F7-G7)</f>
        <v/>
      </c>
      <c r="O7" s="4">
        <f>(H7+I7)-(F7+G7)</f>
        <v/>
      </c>
    </row>
    <row r="9">
      <c r="A9" s="6" t="inlineStr">
        <is>
          <t>Season summary</t>
        </is>
      </c>
    </row>
    <row r="10">
      <c r="A10" s="3" t="inlineStr">
        <is>
          <t>Matches played</t>
        </is>
      </c>
      <c r="E10" s="7">
        <f>COUNTA(A2:A7)</f>
        <v/>
      </c>
    </row>
    <row r="11">
      <c r="A11" s="3" t="inlineStr">
        <is>
          <t>Total goals for</t>
        </is>
      </c>
      <c r="E11" s="7">
        <f>SUM(D2:D7)</f>
        <v/>
      </c>
    </row>
    <row r="12">
      <c r="A12" s="3" t="inlineStr">
        <is>
          <t>Total goals against</t>
        </is>
      </c>
      <c r="E12" s="7">
        <f>SUM(E2:E7)</f>
        <v/>
      </c>
    </row>
    <row r="13">
      <c r="A13" s="3" t="inlineStr">
        <is>
          <t>Avg xG Delta (For)</t>
        </is>
      </c>
      <c r="E13" s="8">
        <f>AVERAGE(J2:J7)</f>
        <v/>
      </c>
    </row>
    <row r="14">
      <c r="A14" s="3" t="inlineStr">
        <is>
          <t>Avg xG Delta (Against)</t>
        </is>
      </c>
      <c r="E14" s="8">
        <f>AVERAGE(K2:K7)</f>
        <v/>
      </c>
    </row>
    <row r="15">
      <c r="A15" s="3" t="inlineStr">
        <is>
          <t>Avg Supremacy Delta</t>
        </is>
      </c>
      <c r="E15" s="8">
        <f>AVERAGE(N2:N7)</f>
        <v/>
      </c>
    </row>
    <row r="16">
      <c r="A16" s="3" t="inlineStr">
        <is>
          <t>Avg Total xG Delta</t>
        </is>
      </c>
      <c r="E16" s="8">
        <f>AVERAGE(O2:O7)</f>
        <v/>
      </c>
    </row>
    <row r="17">
      <c r="A17" s="3" t="inlineStr">
        <is>
          <t>Current form (last 6, For)</t>
        </is>
      </c>
      <c r="E17" s="8">
        <f>L7</f>
        <v/>
      </c>
    </row>
    <row r="18">
      <c r="A18" s="3" t="inlineStr">
        <is>
          <t>Current form (last 6, Against)</t>
        </is>
      </c>
      <c r="E18" s="8">
        <f>M7</f>
        <v/>
      </c>
    </row>
  </sheetData>
  <mergeCells count="9">
    <mergeCell ref="A17:D17"/>
    <mergeCell ref="A18:D18"/>
    <mergeCell ref="A12:D12"/>
    <mergeCell ref="A15:D15"/>
    <mergeCell ref="A16:D16"/>
    <mergeCell ref="A11:D11"/>
    <mergeCell ref="A10:D10"/>
    <mergeCell ref="A13:D13"/>
    <mergeCell ref="A14:D14"/>
  </mergeCells>
  <conditionalFormatting sqref="J2:J7">
    <cfRule type="colorScale" priority="1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L2:L7">
    <cfRule type="colorScale" priority="2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N2:N7">
    <cfRule type="colorScale" priority="3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K2:K7">
    <cfRule type="colorScale" priority="4">
      <colorScale>
        <cfvo type="min"/>
        <cfvo type="percentile" val="50"/>
        <cfvo type="max"/>
        <color rgb="0063BE7B"/>
        <color rgb="00FFFFFF"/>
        <color rgb="00F8696B"/>
      </colorScale>
    </cfRule>
  </conditionalFormatting>
  <conditionalFormatting sqref="M2:M7">
    <cfRule type="colorScale" priority="5">
      <colorScale>
        <cfvo type="min"/>
        <cfvo type="percentile" val="5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6" customWidth="1" min="11" max="11"/>
    <col width="6" customWidth="1" min="12" max="12"/>
    <col width="5" customWidth="1" min="13" max="13"/>
    <col width="6" customWidth="1" min="14" max="14"/>
    <col width="6" customWidth="1" min="15" max="15"/>
  </cols>
  <sheetData>
    <row r="1" ht="30" customHeight="1">
      <c r="A1" s="1" t="inlineStr">
        <is>
          <t>Date</t>
        </is>
      </c>
      <c r="B1" s="1" t="inlineStr">
        <is>
          <t>Opponent</t>
        </is>
      </c>
      <c r="C1" s="1" t="inlineStr">
        <is>
          <t>Venue</t>
        </is>
      </c>
      <c r="D1" s="1" t="inlineStr">
        <is>
          <t>Goals For</t>
        </is>
      </c>
      <c r="E1" s="1" t="inlineStr">
        <is>
          <t>Goals Against</t>
        </is>
      </c>
      <c r="F1" s="1" t="inlineStr">
        <is>
          <t>xG Pre-Match (For)</t>
        </is>
      </c>
      <c r="G1" s="1" t="inlineStr">
        <is>
          <t>xG Pre-Match (Against)</t>
        </is>
      </c>
      <c r="H1" s="1" t="inlineStr">
        <is>
          <t>xG Actual (For)</t>
        </is>
      </c>
      <c r="I1" s="1" t="inlineStr">
        <is>
          <t>xG Actual (Against)</t>
        </is>
      </c>
      <c r="J1" s="1" t="inlineStr">
        <is>
          <t>xG Delta (For)</t>
        </is>
      </c>
      <c r="K1" s="1" t="inlineStr">
        <is>
          <t>xG Delta (Against)</t>
        </is>
      </c>
      <c r="L1" s="1" t="inlineStr">
        <is>
          <t>Rolling Delta (For)</t>
        </is>
      </c>
      <c r="M1" s="1" t="inlineStr">
        <is>
          <t>Rolling Delta (Against)</t>
        </is>
      </c>
      <c r="N1" s="1" t="inlineStr">
        <is>
          <t>Supremacy Delta</t>
        </is>
      </c>
      <c r="O1" s="1" t="inlineStr">
        <is>
          <t>Match Total xG Delta</t>
        </is>
      </c>
    </row>
    <row r="2">
      <c r="A2" s="3" t="inlineStr">
        <is>
          <t>2026-08-15</t>
        </is>
      </c>
      <c r="B2" s="3" t="inlineStr">
        <is>
          <t>Rotherham United</t>
        </is>
      </c>
      <c r="C2" s="3" t="inlineStr">
        <is>
          <t>Home</t>
        </is>
      </c>
      <c r="D2" s="3" t="n">
        <v>2</v>
      </c>
      <c r="E2" s="3" t="n">
        <v>1</v>
      </c>
      <c r="F2" s="4" t="n">
        <v>1.3</v>
      </c>
      <c r="G2" s="4" t="n">
        <v>1.36</v>
      </c>
      <c r="H2" s="4" t="n">
        <v>0.6</v>
      </c>
      <c r="I2" s="4" t="n">
        <v>2.2</v>
      </c>
      <c r="J2" s="4" t="n">
        <v>-0.7</v>
      </c>
      <c r="K2" s="4" t="n">
        <v>0.84</v>
      </c>
      <c r="L2" s="4" t="n">
        <v>-0.7</v>
      </c>
      <c r="M2" s="4" t="n">
        <v>0.84</v>
      </c>
      <c r="N2" s="4">
        <f>(H2-I2)-(F2-G2)</f>
        <v/>
      </c>
      <c r="O2" s="4">
        <f>(H2+I2)-(F2+G2)</f>
        <v/>
      </c>
    </row>
    <row r="3">
      <c r="A3" s="3" t="inlineStr">
        <is>
          <t>2026-08-22</t>
        </is>
      </c>
      <c r="B3" s="3" t="inlineStr">
        <is>
          <t>Swindon Town</t>
        </is>
      </c>
      <c r="C3" s="3" t="inlineStr">
        <is>
          <t>Away</t>
        </is>
      </c>
      <c r="D3" s="3" t="n">
        <v>1</v>
      </c>
      <c r="E3" s="3" t="n">
        <v>2</v>
      </c>
      <c r="F3" s="4" t="n">
        <v>1.04</v>
      </c>
      <c r="G3" s="4" t="n">
        <v>1.74</v>
      </c>
      <c r="H3" s="4" t="n">
        <v>1.1</v>
      </c>
      <c r="I3" s="4" t="n">
        <v>1.04</v>
      </c>
      <c r="J3" s="4" t="n">
        <v>0.06</v>
      </c>
      <c r="K3" s="4" t="n">
        <v>-0.7</v>
      </c>
      <c r="L3" s="4" t="n">
        <v>-0.32</v>
      </c>
      <c r="M3" s="4" t="n">
        <v>0.07000000000000001</v>
      </c>
      <c r="N3" s="4">
        <f>(H3-I3)-(F3-G3)</f>
        <v/>
      </c>
      <c r="O3" s="4">
        <f>(H3+I3)-(F3+G3)</f>
        <v/>
      </c>
    </row>
    <row r="4">
      <c r="A4" s="3" t="inlineStr">
        <is>
          <t>2026-08-29</t>
        </is>
      </c>
      <c r="B4" s="3" t="inlineStr">
        <is>
          <t>Barnet</t>
        </is>
      </c>
      <c r="C4" s="3" t="inlineStr">
        <is>
          <t>Away</t>
        </is>
      </c>
      <c r="D4" s="3" t="n">
        <v>2</v>
      </c>
      <c r="E4" s="3" t="n">
        <v>2</v>
      </c>
      <c r="F4" s="4" t="n">
        <v>0.92</v>
      </c>
      <c r="G4" s="4" t="n">
        <v>1.86</v>
      </c>
      <c r="H4" s="4" t="n">
        <v>1.78</v>
      </c>
      <c r="I4" s="4" t="n">
        <v>2.15</v>
      </c>
      <c r="J4" s="4" t="n">
        <v>0.86</v>
      </c>
      <c r="K4" s="4" t="n">
        <v>0.29</v>
      </c>
      <c r="L4" s="4" t="n">
        <v>0.07000000000000001</v>
      </c>
      <c r="M4" s="4" t="n">
        <v>0.14</v>
      </c>
      <c r="N4" s="4">
        <f>(H4-I4)-(F4-G4)</f>
        <v/>
      </c>
      <c r="O4" s="4">
        <f>(H4+I4)-(F4+G4)</f>
        <v/>
      </c>
    </row>
    <row r="5">
      <c r="A5" s="3" t="inlineStr">
        <is>
          <t>2026-09-01</t>
        </is>
      </c>
      <c r="B5" s="3" t="inlineStr">
        <is>
          <t>York</t>
        </is>
      </c>
      <c r="C5" s="3" t="inlineStr">
        <is>
          <t>Home</t>
        </is>
      </c>
      <c r="D5" s="3" t="n">
        <v>3</v>
      </c>
      <c r="E5" s="3" t="n">
        <v>2</v>
      </c>
      <c r="F5" s="4" t="n">
        <v>1.1</v>
      </c>
      <c r="G5" s="4" t="n">
        <v>1.7</v>
      </c>
      <c r="H5" s="4" t="n">
        <v>1.36</v>
      </c>
      <c r="I5" s="4" t="n">
        <v>2.59</v>
      </c>
      <c r="J5" s="4" t="n">
        <v>0.26</v>
      </c>
      <c r="K5" s="4" t="n">
        <v>0.89</v>
      </c>
      <c r="L5" s="4" t="n">
        <v>0.12</v>
      </c>
      <c r="M5" s="4" t="n">
        <v>0.33</v>
      </c>
      <c r="N5" s="4">
        <f>(H5-I5)-(F5-G5)</f>
        <v/>
      </c>
      <c r="O5" s="4">
        <f>(H5+I5)-(F5+G5)</f>
        <v/>
      </c>
    </row>
    <row r="6">
      <c r="A6" s="3" t="inlineStr">
        <is>
          <t>2026-09-05</t>
        </is>
      </c>
      <c r="B6" s="3" t="inlineStr">
        <is>
          <t>Grimsby Town</t>
        </is>
      </c>
      <c r="C6" s="3" t="inlineStr">
        <is>
          <t>Home</t>
        </is>
      </c>
      <c r="D6" s="3" t="n">
        <v>2</v>
      </c>
      <c r="E6" s="3" t="n">
        <v>2</v>
      </c>
      <c r="F6" s="4" t="n">
        <v>1.17</v>
      </c>
      <c r="G6" s="4" t="n">
        <v>1.68</v>
      </c>
      <c r="H6" s="4" t="n">
        <v>1.29</v>
      </c>
      <c r="I6" s="4" t="n">
        <v>1.59</v>
      </c>
      <c r="J6" s="4" t="n">
        <v>0.12</v>
      </c>
      <c r="K6" s="4" t="n">
        <v>-0.08</v>
      </c>
      <c r="L6" s="4" t="n">
        <v>0.12</v>
      </c>
      <c r="M6" s="4" t="n">
        <v>0.25</v>
      </c>
      <c r="N6" s="4">
        <f>(H6-I6)-(F6-G6)</f>
        <v/>
      </c>
      <c r="O6" s="4">
        <f>(H6+I6)-(F6+G6)</f>
        <v/>
      </c>
    </row>
    <row r="7">
      <c r="A7" s="3" t="inlineStr">
        <is>
          <t>2026-09-12</t>
        </is>
      </c>
      <c r="B7" s="3" t="inlineStr">
        <is>
          <t>Crawley Town</t>
        </is>
      </c>
      <c r="C7" s="3" t="inlineStr">
        <is>
          <t>Away</t>
        </is>
      </c>
      <c r="D7" s="3" t="n">
        <v>3</v>
      </c>
      <c r="E7" s="3" t="n">
        <v>1</v>
      </c>
      <c r="F7" s="4" t="n">
        <v>1.41</v>
      </c>
      <c r="G7" s="4" t="n">
        <v>1.53</v>
      </c>
      <c r="H7" s="4" t="n">
        <v>1.69</v>
      </c>
      <c r="I7" s="4" t="n">
        <v>1.33</v>
      </c>
      <c r="J7" s="4" t="n">
        <v>0.28</v>
      </c>
      <c r="K7" s="4" t="n">
        <v>-0.2</v>
      </c>
      <c r="L7" s="4" t="n">
        <v>0.15</v>
      </c>
      <c r="M7" s="4" t="n">
        <v>0.17</v>
      </c>
      <c r="N7" s="4">
        <f>(H7-I7)-(F7-G7)</f>
        <v/>
      </c>
      <c r="O7" s="4">
        <f>(H7+I7)-(F7+G7)</f>
        <v/>
      </c>
    </row>
    <row r="9">
      <c r="A9" s="6" t="inlineStr">
        <is>
          <t>Season summary</t>
        </is>
      </c>
    </row>
    <row r="10">
      <c r="A10" s="3" t="inlineStr">
        <is>
          <t>Matches played</t>
        </is>
      </c>
      <c r="E10" s="7">
        <f>COUNTA(A2:A7)</f>
        <v/>
      </c>
    </row>
    <row r="11">
      <c r="A11" s="3" t="inlineStr">
        <is>
          <t>Total goals for</t>
        </is>
      </c>
      <c r="E11" s="7">
        <f>SUM(D2:D7)</f>
        <v/>
      </c>
    </row>
    <row r="12">
      <c r="A12" s="3" t="inlineStr">
        <is>
          <t>Total goals against</t>
        </is>
      </c>
      <c r="E12" s="7">
        <f>SUM(E2:E7)</f>
        <v/>
      </c>
    </row>
    <row r="13">
      <c r="A13" s="3" t="inlineStr">
        <is>
          <t>Avg xG Delta (For)</t>
        </is>
      </c>
      <c r="E13" s="8">
        <f>AVERAGE(J2:J7)</f>
        <v/>
      </c>
    </row>
    <row r="14">
      <c r="A14" s="3" t="inlineStr">
        <is>
          <t>Avg xG Delta (Against)</t>
        </is>
      </c>
      <c r="E14" s="8">
        <f>AVERAGE(K2:K7)</f>
        <v/>
      </c>
    </row>
    <row r="15">
      <c r="A15" s="3" t="inlineStr">
        <is>
          <t>Avg Supremacy Delta</t>
        </is>
      </c>
      <c r="E15" s="8">
        <f>AVERAGE(N2:N7)</f>
        <v/>
      </c>
    </row>
    <row r="16">
      <c r="A16" s="3" t="inlineStr">
        <is>
          <t>Avg Total xG Delta</t>
        </is>
      </c>
      <c r="E16" s="8">
        <f>AVERAGE(O2:O7)</f>
        <v/>
      </c>
    </row>
    <row r="17">
      <c r="A17" s="3" t="inlineStr">
        <is>
          <t>Current form (last 6, For)</t>
        </is>
      </c>
      <c r="E17" s="8">
        <f>L7</f>
        <v/>
      </c>
    </row>
    <row r="18">
      <c r="A18" s="3" t="inlineStr">
        <is>
          <t>Current form (last 6, Against)</t>
        </is>
      </c>
      <c r="E18" s="8">
        <f>M7</f>
        <v/>
      </c>
    </row>
  </sheetData>
  <mergeCells count="9">
    <mergeCell ref="A17:D17"/>
    <mergeCell ref="A18:D18"/>
    <mergeCell ref="A12:D12"/>
    <mergeCell ref="A15:D15"/>
    <mergeCell ref="A16:D16"/>
    <mergeCell ref="A11:D11"/>
    <mergeCell ref="A10:D10"/>
    <mergeCell ref="A13:D13"/>
    <mergeCell ref="A14:D14"/>
  </mergeCells>
  <conditionalFormatting sqref="J2:J7">
    <cfRule type="colorScale" priority="1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L2:L7">
    <cfRule type="colorScale" priority="2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N2:N7">
    <cfRule type="colorScale" priority="3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K2:K7">
    <cfRule type="colorScale" priority="4">
      <colorScale>
        <cfvo type="min"/>
        <cfvo type="percentile" val="50"/>
        <cfvo type="max"/>
        <color rgb="0063BE7B"/>
        <color rgb="00FFFFFF"/>
        <color rgb="00F8696B"/>
      </colorScale>
    </cfRule>
  </conditionalFormatting>
  <conditionalFormatting sqref="M2:M7">
    <cfRule type="colorScale" priority="5">
      <colorScale>
        <cfvo type="min"/>
        <cfvo type="percentile" val="5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5" customWidth="1" min="12" max="12"/>
    <col width="6" customWidth="1" min="13" max="13"/>
    <col width="6" customWidth="1" min="14" max="14"/>
    <col width="6" customWidth="1" min="15" max="15"/>
  </cols>
  <sheetData>
    <row r="1" ht="30" customHeight="1">
      <c r="A1" s="1" t="inlineStr">
        <is>
          <t>Date</t>
        </is>
      </c>
      <c r="B1" s="1" t="inlineStr">
        <is>
          <t>Opponent</t>
        </is>
      </c>
      <c r="C1" s="1" t="inlineStr">
        <is>
          <t>Venue</t>
        </is>
      </c>
      <c r="D1" s="1" t="inlineStr">
        <is>
          <t>Goals For</t>
        </is>
      </c>
      <c r="E1" s="1" t="inlineStr">
        <is>
          <t>Goals Against</t>
        </is>
      </c>
      <c r="F1" s="1" t="inlineStr">
        <is>
          <t>xG Pre-Match (For)</t>
        </is>
      </c>
      <c r="G1" s="1" t="inlineStr">
        <is>
          <t>xG Pre-Match (Against)</t>
        </is>
      </c>
      <c r="H1" s="1" t="inlineStr">
        <is>
          <t>xG Actual (For)</t>
        </is>
      </c>
      <c r="I1" s="1" t="inlineStr">
        <is>
          <t>xG Actual (Against)</t>
        </is>
      </c>
      <c r="J1" s="1" t="inlineStr">
        <is>
          <t>xG Delta (For)</t>
        </is>
      </c>
      <c r="K1" s="1" t="inlineStr">
        <is>
          <t>xG Delta (Against)</t>
        </is>
      </c>
      <c r="L1" s="1" t="inlineStr">
        <is>
          <t>Rolling Delta (For)</t>
        </is>
      </c>
      <c r="M1" s="1" t="inlineStr">
        <is>
          <t>Rolling Delta (Against)</t>
        </is>
      </c>
      <c r="N1" s="1" t="inlineStr">
        <is>
          <t>Supremacy Delta</t>
        </is>
      </c>
      <c r="O1" s="1" t="inlineStr">
        <is>
          <t>Match Total xG Delta</t>
        </is>
      </c>
    </row>
    <row r="2">
      <c r="A2" s="3" t="inlineStr">
        <is>
          <t>2026-08-15</t>
        </is>
      </c>
      <c r="B2" s="3" t="inlineStr">
        <is>
          <t>Fleetwood Town</t>
        </is>
      </c>
      <c r="C2" s="3" t="inlineStr">
        <is>
          <t>Home</t>
        </is>
      </c>
      <c r="D2" s="3" t="n">
        <v>0</v>
      </c>
      <c r="E2" s="3" t="n">
        <v>1</v>
      </c>
      <c r="F2" s="4" t="n">
        <v>1.63</v>
      </c>
      <c r="G2" s="4" t="n">
        <v>0.95</v>
      </c>
      <c r="H2" s="4" t="n">
        <v>2.17</v>
      </c>
      <c r="I2" s="4" t="n">
        <v>1.11</v>
      </c>
      <c r="J2" s="4" t="n">
        <v>0.54</v>
      </c>
      <c r="K2" s="4" t="n">
        <v>0.16</v>
      </c>
      <c r="L2" s="4" t="n">
        <v>0.54</v>
      </c>
      <c r="M2" s="4" t="n">
        <v>0.16</v>
      </c>
      <c r="N2" s="4">
        <f>(H2-I2)-(F2-G2)</f>
        <v/>
      </c>
      <c r="O2" s="4">
        <f>(H2+I2)-(F2+G2)</f>
        <v/>
      </c>
    </row>
    <row r="3">
      <c r="A3" s="3" t="inlineStr">
        <is>
          <t>2026-08-22</t>
        </is>
      </c>
      <c r="B3" s="3" t="inlineStr">
        <is>
          <t>Salford City</t>
        </is>
      </c>
      <c r="C3" s="3" t="inlineStr">
        <is>
          <t>Away</t>
        </is>
      </c>
      <c r="D3" s="3" t="n">
        <v>1</v>
      </c>
      <c r="E3" s="3" t="n">
        <v>0</v>
      </c>
      <c r="F3" s="4" t="n">
        <v>1.02</v>
      </c>
      <c r="G3" s="4" t="n">
        <v>1.49</v>
      </c>
      <c r="H3" s="4" t="n">
        <v>2.27</v>
      </c>
      <c r="I3" s="4" t="n">
        <v>0.51</v>
      </c>
      <c r="J3" s="4" t="n">
        <v>1.25</v>
      </c>
      <c r="K3" s="4" t="n">
        <v>-0.98</v>
      </c>
      <c r="L3" s="4" t="n">
        <v>0.89</v>
      </c>
      <c r="M3" s="4" t="n">
        <v>-0.41</v>
      </c>
      <c r="N3" s="4">
        <f>(H3-I3)-(F3-G3)</f>
        <v/>
      </c>
      <c r="O3" s="4">
        <f>(H3+I3)-(F3+G3)</f>
        <v/>
      </c>
    </row>
    <row r="4">
      <c r="A4" s="3" t="inlineStr">
        <is>
          <t>2026-08-29</t>
        </is>
      </c>
      <c r="B4" s="3" t="inlineStr">
        <is>
          <t>Rotherham United</t>
        </is>
      </c>
      <c r="C4" s="3" t="inlineStr">
        <is>
          <t>Away</t>
        </is>
      </c>
      <c r="D4" s="3" t="n">
        <v>1</v>
      </c>
      <c r="E4" s="3" t="n">
        <v>2</v>
      </c>
      <c r="F4" s="4" t="n">
        <v>1.43</v>
      </c>
      <c r="G4" s="4" t="n">
        <v>1.2</v>
      </c>
      <c r="H4" s="4" t="n">
        <v>1.1</v>
      </c>
      <c r="I4" s="4" t="n">
        <v>2.95</v>
      </c>
      <c r="J4" s="4" t="n">
        <v>-0.32</v>
      </c>
      <c r="K4" s="4" t="n">
        <v>1.75</v>
      </c>
      <c r="L4" s="4" t="n">
        <v>0.49</v>
      </c>
      <c r="M4" s="4" t="n">
        <v>0.31</v>
      </c>
      <c r="N4" s="4">
        <f>(H4-I4)-(F4-G4)</f>
        <v/>
      </c>
      <c r="O4" s="4">
        <f>(H4+I4)-(F4+G4)</f>
        <v/>
      </c>
    </row>
    <row r="5">
      <c r="A5" s="3" t="inlineStr">
        <is>
          <t>2026-09-01</t>
        </is>
      </c>
      <c r="B5" s="3" t="inlineStr">
        <is>
          <t>Gillingham</t>
        </is>
      </c>
      <c r="C5" s="3" t="inlineStr">
        <is>
          <t>Home</t>
        </is>
      </c>
      <c r="D5" s="3" t="n">
        <v>1</v>
      </c>
      <c r="E5" s="3" t="n">
        <v>1</v>
      </c>
      <c r="F5" s="4" t="n">
        <v>1.79</v>
      </c>
      <c r="G5" s="4" t="n">
        <v>0.83</v>
      </c>
      <c r="H5" s="4" t="n">
        <v>2.05</v>
      </c>
      <c r="I5" s="4" t="n">
        <v>0.5600000000000001</v>
      </c>
      <c r="J5" s="4" t="n">
        <v>0.26</v>
      </c>
      <c r="K5" s="4" t="n">
        <v>-0.27</v>
      </c>
      <c r="L5" s="4" t="n">
        <v>0.43</v>
      </c>
      <c r="M5" s="4" t="n">
        <v>0.16</v>
      </c>
      <c r="N5" s="4">
        <f>(H5-I5)-(F5-G5)</f>
        <v/>
      </c>
      <c r="O5" s="4">
        <f>(H5+I5)-(F5+G5)</f>
        <v/>
      </c>
    </row>
    <row r="6">
      <c r="A6" s="3" t="inlineStr">
        <is>
          <t>2026-09-05</t>
        </is>
      </c>
      <c r="B6" s="3" t="inlineStr">
        <is>
          <t>Barnet</t>
        </is>
      </c>
      <c r="C6" s="3" t="inlineStr">
        <is>
          <t>Home</t>
        </is>
      </c>
      <c r="D6" s="3" t="n">
        <v>3</v>
      </c>
      <c r="E6" s="3" t="n">
        <v>3</v>
      </c>
      <c r="F6" s="4" t="n">
        <v>1.59</v>
      </c>
      <c r="G6" s="4" t="n">
        <v>1.24</v>
      </c>
      <c r="H6" s="4" t="n">
        <v>2.08</v>
      </c>
      <c r="I6" s="4" t="n">
        <v>2.36</v>
      </c>
      <c r="J6" s="4" t="n">
        <v>0.49</v>
      </c>
      <c r="K6" s="4" t="n">
        <v>1.12</v>
      </c>
      <c r="L6" s="4" t="n">
        <v>0.44</v>
      </c>
      <c r="M6" s="4" t="n">
        <v>0.35</v>
      </c>
      <c r="N6" s="4">
        <f>(H6-I6)-(F6-G6)</f>
        <v/>
      </c>
      <c r="O6" s="4">
        <f>(H6+I6)-(F6+G6)</f>
        <v/>
      </c>
    </row>
    <row r="7">
      <c r="A7" s="3" t="inlineStr">
        <is>
          <t>2026-09-12</t>
        </is>
      </c>
      <c r="B7" s="3" t="inlineStr">
        <is>
          <t>Oldham Athletic</t>
        </is>
      </c>
      <c r="C7" s="3" t="inlineStr">
        <is>
          <t>Away</t>
        </is>
      </c>
      <c r="D7" s="3" t="n">
        <v>2</v>
      </c>
      <c r="E7" s="3" t="n">
        <v>1</v>
      </c>
      <c r="F7" s="4" t="n">
        <v>1.17</v>
      </c>
      <c r="G7" s="4" t="n">
        <v>1.49</v>
      </c>
      <c r="H7" s="4" t="n">
        <v>2.24</v>
      </c>
      <c r="I7" s="4" t="n">
        <v>1.08</v>
      </c>
      <c r="J7" s="4" t="n">
        <v>1.07</v>
      </c>
      <c r="K7" s="4" t="n">
        <v>-0.41</v>
      </c>
      <c r="L7" s="4" t="n">
        <v>0.55</v>
      </c>
      <c r="M7" s="4" t="n">
        <v>0.22</v>
      </c>
      <c r="N7" s="4">
        <f>(H7-I7)-(F7-G7)</f>
        <v/>
      </c>
      <c r="O7" s="4">
        <f>(H7+I7)-(F7+G7)</f>
        <v/>
      </c>
    </row>
    <row r="9">
      <c r="A9" s="6" t="inlineStr">
        <is>
          <t>Season summary</t>
        </is>
      </c>
    </row>
    <row r="10">
      <c r="A10" s="3" t="inlineStr">
        <is>
          <t>Matches played</t>
        </is>
      </c>
      <c r="E10" s="7">
        <f>COUNTA(A2:A7)</f>
        <v/>
      </c>
    </row>
    <row r="11">
      <c r="A11" s="3" t="inlineStr">
        <is>
          <t>Total goals for</t>
        </is>
      </c>
      <c r="E11" s="7">
        <f>SUM(D2:D7)</f>
        <v/>
      </c>
    </row>
    <row r="12">
      <c r="A12" s="3" t="inlineStr">
        <is>
          <t>Total goals against</t>
        </is>
      </c>
      <c r="E12" s="7">
        <f>SUM(E2:E7)</f>
        <v/>
      </c>
    </row>
    <row r="13">
      <c r="A13" s="3" t="inlineStr">
        <is>
          <t>Avg xG Delta (For)</t>
        </is>
      </c>
      <c r="E13" s="8">
        <f>AVERAGE(J2:J7)</f>
        <v/>
      </c>
    </row>
    <row r="14">
      <c r="A14" s="3" t="inlineStr">
        <is>
          <t>Avg xG Delta (Against)</t>
        </is>
      </c>
      <c r="E14" s="8">
        <f>AVERAGE(K2:K7)</f>
        <v/>
      </c>
    </row>
    <row r="15">
      <c r="A15" s="3" t="inlineStr">
        <is>
          <t>Avg Supremacy Delta</t>
        </is>
      </c>
      <c r="E15" s="8">
        <f>AVERAGE(N2:N7)</f>
        <v/>
      </c>
    </row>
    <row r="16">
      <c r="A16" s="3" t="inlineStr">
        <is>
          <t>Avg Total xG Delta</t>
        </is>
      </c>
      <c r="E16" s="8">
        <f>AVERAGE(O2:O7)</f>
        <v/>
      </c>
    </row>
    <row r="17">
      <c r="A17" s="3" t="inlineStr">
        <is>
          <t>Current form (last 6, For)</t>
        </is>
      </c>
      <c r="E17" s="8">
        <f>L7</f>
        <v/>
      </c>
    </row>
    <row r="18">
      <c r="A18" s="3" t="inlineStr">
        <is>
          <t>Current form (last 6, Against)</t>
        </is>
      </c>
      <c r="E18" s="8">
        <f>M7</f>
        <v/>
      </c>
    </row>
  </sheetData>
  <mergeCells count="9">
    <mergeCell ref="A17:D17"/>
    <mergeCell ref="A18:D18"/>
    <mergeCell ref="A12:D12"/>
    <mergeCell ref="A15:D15"/>
    <mergeCell ref="A16:D16"/>
    <mergeCell ref="A11:D11"/>
    <mergeCell ref="A10:D10"/>
    <mergeCell ref="A13:D13"/>
    <mergeCell ref="A14:D14"/>
  </mergeCells>
  <conditionalFormatting sqref="J2:J7">
    <cfRule type="colorScale" priority="1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L2:L7">
    <cfRule type="colorScale" priority="2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N2:N7">
    <cfRule type="colorScale" priority="3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K2:K7">
    <cfRule type="colorScale" priority="4">
      <colorScale>
        <cfvo type="min"/>
        <cfvo type="percentile" val="50"/>
        <cfvo type="max"/>
        <color rgb="0063BE7B"/>
        <color rgb="00FFFFFF"/>
        <color rgb="00F8696B"/>
      </colorScale>
    </cfRule>
  </conditionalFormatting>
  <conditionalFormatting sqref="M2:M7">
    <cfRule type="colorScale" priority="5">
      <colorScale>
        <cfvo type="min"/>
        <cfvo type="percentile" val="5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O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9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5" customWidth="1" min="13" max="13"/>
    <col width="6" customWidth="1" min="14" max="14"/>
    <col width="6" customWidth="1" min="15" max="15"/>
  </cols>
  <sheetData>
    <row r="1" ht="30" customHeight="1">
      <c r="A1" s="1" t="inlineStr">
        <is>
          <t>Date</t>
        </is>
      </c>
      <c r="B1" s="1" t="inlineStr">
        <is>
          <t>Opponent</t>
        </is>
      </c>
      <c r="C1" s="1" t="inlineStr">
        <is>
          <t>Venue</t>
        </is>
      </c>
      <c r="D1" s="1" t="inlineStr">
        <is>
          <t>Goals For</t>
        </is>
      </c>
      <c r="E1" s="1" t="inlineStr">
        <is>
          <t>Goals Against</t>
        </is>
      </c>
      <c r="F1" s="1" t="inlineStr">
        <is>
          <t>xG Pre-Match (For)</t>
        </is>
      </c>
      <c r="G1" s="1" t="inlineStr">
        <is>
          <t>xG Pre-Match (Against)</t>
        </is>
      </c>
      <c r="H1" s="1" t="inlineStr">
        <is>
          <t>xG Actual (For)</t>
        </is>
      </c>
      <c r="I1" s="1" t="inlineStr">
        <is>
          <t>xG Actual (Against)</t>
        </is>
      </c>
      <c r="J1" s="1" t="inlineStr">
        <is>
          <t>xG Delta (For)</t>
        </is>
      </c>
      <c r="K1" s="1" t="inlineStr">
        <is>
          <t>xG Delta (Against)</t>
        </is>
      </c>
      <c r="L1" s="1" t="inlineStr">
        <is>
          <t>Rolling Delta (For)</t>
        </is>
      </c>
      <c r="M1" s="1" t="inlineStr">
        <is>
          <t>Rolling Delta (Against)</t>
        </is>
      </c>
      <c r="N1" s="1" t="inlineStr">
        <is>
          <t>Supremacy Delta</t>
        </is>
      </c>
      <c r="O1" s="1" t="inlineStr">
        <is>
          <t>Match Total xG Delta</t>
        </is>
      </c>
    </row>
    <row r="2">
      <c r="A2" s="3" t="inlineStr">
        <is>
          <t>2026-08-15</t>
        </is>
      </c>
      <c r="B2" s="3" t="inlineStr">
        <is>
          <t>Accrington Stanley</t>
        </is>
      </c>
      <c r="C2" s="3" t="inlineStr">
        <is>
          <t>Away</t>
        </is>
      </c>
      <c r="D2" s="3" t="n">
        <v>2</v>
      </c>
      <c r="E2" s="3" t="n">
        <v>2</v>
      </c>
      <c r="F2" s="4" t="n">
        <v>1.19</v>
      </c>
      <c r="G2" s="4" t="n">
        <v>1.33</v>
      </c>
      <c r="H2" s="4" t="n">
        <v>0.74</v>
      </c>
      <c r="I2" s="4" t="n">
        <v>2.78</v>
      </c>
      <c r="J2" s="4" t="n">
        <v>-0.45</v>
      </c>
      <c r="K2" s="4" t="n">
        <v>1.45</v>
      </c>
      <c r="L2" s="4" t="n">
        <v>-0.45</v>
      </c>
      <c r="M2" s="4" t="n">
        <v>1.45</v>
      </c>
      <c r="N2" s="4">
        <f>(H2-I2)-(F2-G2)</f>
        <v/>
      </c>
      <c r="O2" s="4">
        <f>(H2+I2)-(F2+G2)</f>
        <v/>
      </c>
    </row>
    <row r="3">
      <c r="A3" s="3" t="inlineStr">
        <is>
          <t>2026-08-22</t>
        </is>
      </c>
      <c r="B3" s="3" t="inlineStr">
        <is>
          <t>Oldham Athletic</t>
        </is>
      </c>
      <c r="C3" s="3" t="inlineStr">
        <is>
          <t>Home</t>
        </is>
      </c>
      <c r="D3" s="3" t="n">
        <v>2</v>
      </c>
      <c r="E3" s="3" t="n">
        <v>1</v>
      </c>
      <c r="F3" s="4" t="n">
        <v>1.38</v>
      </c>
      <c r="G3" s="4" t="n">
        <v>1.3</v>
      </c>
      <c r="H3" s="4" t="n">
        <v>2.37</v>
      </c>
      <c r="I3" s="4" t="n">
        <v>0.27</v>
      </c>
      <c r="J3" s="4" t="n">
        <v>0.99</v>
      </c>
      <c r="K3" s="4" t="n">
        <v>-1.03</v>
      </c>
      <c r="L3" s="4" t="n">
        <v>0.27</v>
      </c>
      <c r="M3" s="4" t="n">
        <v>0.21</v>
      </c>
      <c r="N3" s="4">
        <f>(H3-I3)-(F3-G3)</f>
        <v/>
      </c>
      <c r="O3" s="4">
        <f>(H3+I3)-(F3+G3)</f>
        <v/>
      </c>
    </row>
    <row r="4">
      <c r="A4" s="3" t="inlineStr">
        <is>
          <t>2026-08-29</t>
        </is>
      </c>
      <c r="B4" s="3" t="inlineStr">
        <is>
          <t>Rochdale</t>
        </is>
      </c>
      <c r="C4" s="3" t="inlineStr">
        <is>
          <t>Home</t>
        </is>
      </c>
      <c r="D4" s="3" t="n">
        <v>1</v>
      </c>
      <c r="E4" s="3" t="n">
        <v>0</v>
      </c>
      <c r="F4" s="4" t="n">
        <v>1.43</v>
      </c>
      <c r="G4" s="4" t="n">
        <v>1.19</v>
      </c>
      <c r="H4" s="4" t="n">
        <v>1.12</v>
      </c>
      <c r="I4" s="4" t="n">
        <v>0.78</v>
      </c>
      <c r="J4" s="4" t="n">
        <v>-0.31</v>
      </c>
      <c r="K4" s="4" t="n">
        <v>-0.41</v>
      </c>
      <c r="L4" s="4" t="n">
        <v>0.08</v>
      </c>
      <c r="M4" s="4" t="n">
        <v>0</v>
      </c>
      <c r="N4" s="4">
        <f>(H4-I4)-(F4-G4)</f>
        <v/>
      </c>
      <c r="O4" s="4">
        <f>(H4+I4)-(F4+G4)</f>
        <v/>
      </c>
    </row>
    <row r="5">
      <c r="A5" s="3" t="inlineStr">
        <is>
          <t>2026-09-01</t>
        </is>
      </c>
      <c r="B5" s="3" t="inlineStr">
        <is>
          <t>Bristol Rvs</t>
        </is>
      </c>
      <c r="C5" s="3" t="inlineStr">
        <is>
          <t>Away</t>
        </is>
      </c>
      <c r="D5" s="3" t="n">
        <v>0</v>
      </c>
      <c r="E5" s="3" t="n">
        <v>2</v>
      </c>
      <c r="F5" s="4" t="n">
        <v>1.09</v>
      </c>
      <c r="G5" s="4" t="n">
        <v>1.74</v>
      </c>
      <c r="H5" s="4" t="n">
        <v>0.86</v>
      </c>
      <c r="I5" s="4" t="n">
        <v>2.99</v>
      </c>
      <c r="J5" s="4" t="n">
        <v>-0.23</v>
      </c>
      <c r="K5" s="4" t="n">
        <v>1.25</v>
      </c>
      <c r="L5" s="4" t="n">
        <v>0</v>
      </c>
      <c r="M5" s="4" t="n">
        <v>0.31</v>
      </c>
      <c r="N5" s="4">
        <f>(H5-I5)-(F5-G5)</f>
        <v/>
      </c>
      <c r="O5" s="4">
        <f>(H5+I5)-(F5+G5)</f>
        <v/>
      </c>
    </row>
    <row r="6">
      <c r="A6" s="3" t="inlineStr">
        <is>
          <t>2026-09-05</t>
        </is>
      </c>
      <c r="B6" s="3" t="inlineStr">
        <is>
          <t>Swindon Town</t>
        </is>
      </c>
      <c r="C6" s="3" t="inlineStr">
        <is>
          <t>Away</t>
        </is>
      </c>
      <c r="D6" s="3" t="n">
        <v>1</v>
      </c>
      <c r="E6" s="3" t="n">
        <v>3</v>
      </c>
      <c r="F6" s="4" t="n">
        <v>1.34</v>
      </c>
      <c r="G6" s="4" t="n">
        <v>1.4</v>
      </c>
      <c r="H6" s="4" t="n">
        <v>1.49</v>
      </c>
      <c r="I6" s="4" t="n">
        <v>2.06</v>
      </c>
      <c r="J6" s="4" t="n">
        <v>0.15</v>
      </c>
      <c r="K6" s="4" t="n">
        <v>0.66</v>
      </c>
      <c r="L6" s="4" t="n">
        <v>0.03</v>
      </c>
      <c r="M6" s="4" t="n">
        <v>0.38</v>
      </c>
      <c r="N6" s="4">
        <f>(H6-I6)-(F6-G6)</f>
        <v/>
      </c>
      <c r="O6" s="4">
        <f>(H6+I6)-(F6+G6)</f>
        <v/>
      </c>
    </row>
    <row r="7">
      <c r="A7" s="3" t="inlineStr">
        <is>
          <t>2026-09-12</t>
        </is>
      </c>
      <c r="B7" s="3" t="inlineStr">
        <is>
          <t>Crewe Alexandra</t>
        </is>
      </c>
      <c r="C7" s="3" t="inlineStr">
        <is>
          <t>Home</t>
        </is>
      </c>
      <c r="D7" s="3" t="n">
        <v>1</v>
      </c>
      <c r="E7" s="3" t="n">
        <v>1</v>
      </c>
      <c r="F7" s="4" t="n">
        <v>1.58</v>
      </c>
      <c r="G7" s="4" t="n">
        <v>1.2</v>
      </c>
      <c r="H7" s="4" t="n">
        <v>1.3</v>
      </c>
      <c r="I7" s="4" t="n">
        <v>0.64</v>
      </c>
      <c r="J7" s="4" t="n">
        <v>-0.28</v>
      </c>
      <c r="K7" s="4" t="n">
        <v>-0.5600000000000001</v>
      </c>
      <c r="L7" s="4" t="n">
        <v>-0.02</v>
      </c>
      <c r="M7" s="4" t="n">
        <v>0.22</v>
      </c>
      <c r="N7" s="4">
        <f>(H7-I7)-(F7-G7)</f>
        <v/>
      </c>
      <c r="O7" s="4">
        <f>(H7+I7)-(F7+G7)</f>
        <v/>
      </c>
    </row>
    <row r="9">
      <c r="A9" s="6" t="inlineStr">
        <is>
          <t>Season summary</t>
        </is>
      </c>
    </row>
    <row r="10">
      <c r="A10" s="3" t="inlineStr">
        <is>
          <t>Matches played</t>
        </is>
      </c>
      <c r="E10" s="7">
        <f>COUNTA(A2:A7)</f>
        <v/>
      </c>
    </row>
    <row r="11">
      <c r="A11" s="3" t="inlineStr">
        <is>
          <t>Total goals for</t>
        </is>
      </c>
      <c r="E11" s="7">
        <f>SUM(D2:D7)</f>
        <v/>
      </c>
    </row>
    <row r="12">
      <c r="A12" s="3" t="inlineStr">
        <is>
          <t>Total goals against</t>
        </is>
      </c>
      <c r="E12" s="7">
        <f>SUM(E2:E7)</f>
        <v/>
      </c>
    </row>
    <row r="13">
      <c r="A13" s="3" t="inlineStr">
        <is>
          <t>Avg xG Delta (For)</t>
        </is>
      </c>
      <c r="E13" s="8">
        <f>AVERAGE(J2:J7)</f>
        <v/>
      </c>
    </row>
    <row r="14">
      <c r="A14" s="3" t="inlineStr">
        <is>
          <t>Avg xG Delta (Against)</t>
        </is>
      </c>
      <c r="E14" s="8">
        <f>AVERAGE(K2:K7)</f>
        <v/>
      </c>
    </row>
    <row r="15">
      <c r="A15" s="3" t="inlineStr">
        <is>
          <t>Avg Supremacy Delta</t>
        </is>
      </c>
      <c r="E15" s="8">
        <f>AVERAGE(N2:N7)</f>
        <v/>
      </c>
    </row>
    <row r="16">
      <c r="A16" s="3" t="inlineStr">
        <is>
          <t>Avg Total xG Delta</t>
        </is>
      </c>
      <c r="E16" s="8">
        <f>AVERAGE(O2:O7)</f>
        <v/>
      </c>
    </row>
    <row r="17">
      <c r="A17" s="3" t="inlineStr">
        <is>
          <t>Current form (last 6, For)</t>
        </is>
      </c>
      <c r="E17" s="8">
        <f>L7</f>
        <v/>
      </c>
    </row>
    <row r="18">
      <c r="A18" s="3" t="inlineStr">
        <is>
          <t>Current form (last 6, Against)</t>
        </is>
      </c>
      <c r="E18" s="8">
        <f>M7</f>
        <v/>
      </c>
    </row>
  </sheetData>
  <mergeCells count="9">
    <mergeCell ref="A17:D17"/>
    <mergeCell ref="A18:D18"/>
    <mergeCell ref="A12:D12"/>
    <mergeCell ref="A15:D15"/>
    <mergeCell ref="A16:D16"/>
    <mergeCell ref="A11:D11"/>
    <mergeCell ref="A10:D10"/>
    <mergeCell ref="A13:D13"/>
    <mergeCell ref="A14:D14"/>
  </mergeCells>
  <conditionalFormatting sqref="J2:J7">
    <cfRule type="colorScale" priority="1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L2:L7">
    <cfRule type="colorScale" priority="2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N2:N7">
    <cfRule type="colorScale" priority="3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K2:K7">
    <cfRule type="colorScale" priority="4">
      <colorScale>
        <cfvo type="min"/>
        <cfvo type="percentile" val="50"/>
        <cfvo type="max"/>
        <color rgb="0063BE7B"/>
        <color rgb="00FFFFFF"/>
        <color rgb="00F8696B"/>
      </colorScale>
    </cfRule>
  </conditionalFormatting>
  <conditionalFormatting sqref="M2:M7">
    <cfRule type="colorScale" priority="5">
      <colorScale>
        <cfvo type="min"/>
        <cfvo type="percentile" val="5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9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5" customWidth="1" min="12" max="12"/>
    <col width="6" customWidth="1" min="13" max="13"/>
    <col width="6" customWidth="1" min="14" max="14"/>
    <col width="6" customWidth="1" min="15" max="15"/>
  </cols>
  <sheetData>
    <row r="1" ht="30" customHeight="1">
      <c r="A1" s="1" t="inlineStr">
        <is>
          <t>Date</t>
        </is>
      </c>
      <c r="B1" s="1" t="inlineStr">
        <is>
          <t>Opponent</t>
        </is>
      </c>
      <c r="C1" s="1" t="inlineStr">
        <is>
          <t>Venue</t>
        </is>
      </c>
      <c r="D1" s="1" t="inlineStr">
        <is>
          <t>Goals For</t>
        </is>
      </c>
      <c r="E1" s="1" t="inlineStr">
        <is>
          <t>Goals Against</t>
        </is>
      </c>
      <c r="F1" s="1" t="inlineStr">
        <is>
          <t>xG Pre-Match (For)</t>
        </is>
      </c>
      <c r="G1" s="1" t="inlineStr">
        <is>
          <t>xG Pre-Match (Against)</t>
        </is>
      </c>
      <c r="H1" s="1" t="inlineStr">
        <is>
          <t>xG Actual (For)</t>
        </is>
      </c>
      <c r="I1" s="1" t="inlineStr">
        <is>
          <t>xG Actual (Against)</t>
        </is>
      </c>
      <c r="J1" s="1" t="inlineStr">
        <is>
          <t>xG Delta (For)</t>
        </is>
      </c>
      <c r="K1" s="1" t="inlineStr">
        <is>
          <t>xG Delta (Against)</t>
        </is>
      </c>
      <c r="L1" s="1" t="inlineStr">
        <is>
          <t>Rolling Delta (For)</t>
        </is>
      </c>
      <c r="M1" s="1" t="inlineStr">
        <is>
          <t>Rolling Delta (Against)</t>
        </is>
      </c>
      <c r="N1" s="1" t="inlineStr">
        <is>
          <t>Supremacy Delta</t>
        </is>
      </c>
      <c r="O1" s="1" t="inlineStr">
        <is>
          <t>Match Total xG Delta</t>
        </is>
      </c>
    </row>
    <row r="2">
      <c r="A2" s="3" t="inlineStr">
        <is>
          <t>2026-08-15</t>
        </is>
      </c>
      <c r="B2" s="3" t="inlineStr">
        <is>
          <t>Crewe Alexandra</t>
        </is>
      </c>
      <c r="C2" s="3" t="inlineStr">
        <is>
          <t>Home</t>
        </is>
      </c>
      <c r="D2" s="3" t="n">
        <v>0</v>
      </c>
      <c r="E2" s="3" t="n">
        <v>1</v>
      </c>
      <c r="F2" s="4" t="n">
        <v>1.33</v>
      </c>
      <c r="G2" s="4" t="n">
        <v>1.29</v>
      </c>
      <c r="H2" s="4" t="n">
        <v>0.93</v>
      </c>
      <c r="I2" s="4" t="n">
        <v>2.2</v>
      </c>
      <c r="J2" s="4" t="n">
        <v>-0.4</v>
      </c>
      <c r="K2" s="4" t="n">
        <v>0.91</v>
      </c>
      <c r="L2" s="4" t="n">
        <v>-0.4</v>
      </c>
      <c r="M2" s="4" t="n">
        <v>0.91</v>
      </c>
      <c r="N2" s="4">
        <f>(H2-I2)-(F2-G2)</f>
        <v/>
      </c>
      <c r="O2" s="4">
        <f>(H2+I2)-(F2+G2)</f>
        <v/>
      </c>
    </row>
    <row r="3">
      <c r="A3" s="3" t="inlineStr">
        <is>
          <t>2026-08-22</t>
        </is>
      </c>
      <c r="B3" s="3" t="inlineStr">
        <is>
          <t>Rochdale</t>
        </is>
      </c>
      <c r="C3" s="3" t="inlineStr">
        <is>
          <t>Away</t>
        </is>
      </c>
      <c r="D3" s="3" t="n">
        <v>2</v>
      </c>
      <c r="E3" s="3" t="n">
        <v>1</v>
      </c>
      <c r="F3" s="4" t="n">
        <v>1.07</v>
      </c>
      <c r="G3" s="4" t="n">
        <v>1.65</v>
      </c>
      <c r="H3" s="4" t="n">
        <v>2.16</v>
      </c>
      <c r="I3" s="4" t="n">
        <v>0.53</v>
      </c>
      <c r="J3" s="4" t="n">
        <v>1.09</v>
      </c>
      <c r="K3" s="4" t="n">
        <v>-1.11</v>
      </c>
      <c r="L3" s="4" t="n">
        <v>0.34</v>
      </c>
      <c r="M3" s="4" t="n">
        <v>-0.1</v>
      </c>
      <c r="N3" s="4">
        <f>(H3-I3)-(F3-G3)</f>
        <v/>
      </c>
      <c r="O3" s="4">
        <f>(H3+I3)-(F3+G3)</f>
        <v/>
      </c>
    </row>
    <row r="4">
      <c r="A4" s="3" t="inlineStr">
        <is>
          <t>2026-08-29</t>
        </is>
      </c>
      <c r="B4" s="3" t="inlineStr">
        <is>
          <t>Bristol Rvs</t>
        </is>
      </c>
      <c r="C4" s="3" t="inlineStr">
        <is>
          <t>Home</t>
        </is>
      </c>
      <c r="D4" s="3" t="n">
        <v>0</v>
      </c>
      <c r="E4" s="3" t="n">
        <v>2</v>
      </c>
      <c r="F4" s="4" t="n">
        <v>1.14</v>
      </c>
      <c r="G4" s="4" t="n">
        <v>1.52</v>
      </c>
      <c r="H4" s="4" t="n">
        <v>0.72</v>
      </c>
      <c r="I4" s="4" t="n">
        <v>1.98</v>
      </c>
      <c r="J4" s="4" t="n">
        <v>-0.41</v>
      </c>
      <c r="K4" s="4" t="n">
        <v>0.46</v>
      </c>
      <c r="L4" s="4" t="n">
        <v>0.09</v>
      </c>
      <c r="M4" s="4" t="n">
        <v>0.09</v>
      </c>
      <c r="N4" s="4">
        <f>(H4-I4)-(F4-G4)</f>
        <v/>
      </c>
      <c r="O4" s="4">
        <f>(H4+I4)-(F4+G4)</f>
        <v/>
      </c>
    </row>
    <row r="5">
      <c r="A5" s="3" t="inlineStr">
        <is>
          <t>2026-09-01</t>
        </is>
      </c>
      <c r="B5" s="3" t="inlineStr">
        <is>
          <t>Northampton Town</t>
        </is>
      </c>
      <c r="C5" s="3" t="inlineStr">
        <is>
          <t>Away</t>
        </is>
      </c>
      <c r="D5" s="3" t="n">
        <v>1</v>
      </c>
      <c r="E5" s="3" t="n">
        <v>1</v>
      </c>
      <c r="F5" s="4" t="n">
        <v>0.99</v>
      </c>
      <c r="G5" s="4" t="n">
        <v>1.76</v>
      </c>
      <c r="H5" s="4" t="n">
        <v>2.62</v>
      </c>
      <c r="I5" s="4" t="n">
        <v>0.55</v>
      </c>
      <c r="J5" s="4" t="n">
        <v>1.63</v>
      </c>
      <c r="K5" s="4" t="n">
        <v>-1.21</v>
      </c>
      <c r="L5" s="4" t="n">
        <v>0.47</v>
      </c>
      <c r="M5" s="4" t="n">
        <v>-0.24</v>
      </c>
      <c r="N5" s="4">
        <f>(H5-I5)-(F5-G5)</f>
        <v/>
      </c>
      <c r="O5" s="4">
        <f>(H5+I5)-(F5+G5)</f>
        <v/>
      </c>
    </row>
    <row r="6">
      <c r="A6" s="3" t="inlineStr">
        <is>
          <t>2026-09-05</t>
        </is>
      </c>
      <c r="B6" s="3" t="inlineStr">
        <is>
          <t>Accrington Stanley</t>
        </is>
      </c>
      <c r="C6" s="3" t="inlineStr">
        <is>
          <t>Away</t>
        </is>
      </c>
      <c r="D6" s="3" t="n">
        <v>2</v>
      </c>
      <c r="E6" s="3" t="n">
        <v>3</v>
      </c>
      <c r="F6" s="4" t="n">
        <v>1.17</v>
      </c>
      <c r="G6" s="4" t="n">
        <v>1.66</v>
      </c>
      <c r="H6" s="4" t="n">
        <v>1.49</v>
      </c>
      <c r="I6" s="4" t="n">
        <v>2.07</v>
      </c>
      <c r="J6" s="4" t="n">
        <v>0.32</v>
      </c>
      <c r="K6" s="4" t="n">
        <v>0.41</v>
      </c>
      <c r="L6" s="4" t="n">
        <v>0.44</v>
      </c>
      <c r="M6" s="4" t="n">
        <v>-0.11</v>
      </c>
      <c r="N6" s="4">
        <f>(H6-I6)-(F6-G6)</f>
        <v/>
      </c>
      <c r="O6" s="4">
        <f>(H6+I6)-(F6+G6)</f>
        <v/>
      </c>
    </row>
    <row r="7">
      <c r="A7" s="3" t="inlineStr">
        <is>
          <t>2026-09-12</t>
        </is>
      </c>
      <c r="B7" s="3" t="inlineStr">
        <is>
          <t>Cheltenham Town</t>
        </is>
      </c>
      <c r="C7" s="3" t="inlineStr">
        <is>
          <t>Home</t>
        </is>
      </c>
      <c r="D7" s="3" t="n">
        <v>1</v>
      </c>
      <c r="E7" s="3" t="n">
        <v>3</v>
      </c>
      <c r="F7" s="4" t="n">
        <v>1.53</v>
      </c>
      <c r="G7" s="4" t="n">
        <v>1.41</v>
      </c>
      <c r="H7" s="4" t="n">
        <v>1.33</v>
      </c>
      <c r="I7" s="4" t="n">
        <v>1.69</v>
      </c>
      <c r="J7" s="4" t="n">
        <v>-0.2</v>
      </c>
      <c r="K7" s="4" t="n">
        <v>0.28</v>
      </c>
      <c r="L7" s="4" t="n">
        <v>0.34</v>
      </c>
      <c r="M7" s="4" t="n">
        <v>-0.04</v>
      </c>
      <c r="N7" s="4">
        <f>(H7-I7)-(F7-G7)</f>
        <v/>
      </c>
      <c r="O7" s="4">
        <f>(H7+I7)-(F7+G7)</f>
        <v/>
      </c>
    </row>
    <row r="9">
      <c r="A9" s="6" t="inlineStr">
        <is>
          <t>Season summary</t>
        </is>
      </c>
    </row>
    <row r="10">
      <c r="A10" s="3" t="inlineStr">
        <is>
          <t>Matches played</t>
        </is>
      </c>
      <c r="E10" s="7">
        <f>COUNTA(A2:A7)</f>
        <v/>
      </c>
    </row>
    <row r="11">
      <c r="A11" s="3" t="inlineStr">
        <is>
          <t>Total goals for</t>
        </is>
      </c>
      <c r="E11" s="7">
        <f>SUM(D2:D7)</f>
        <v/>
      </c>
    </row>
    <row r="12">
      <c r="A12" s="3" t="inlineStr">
        <is>
          <t>Total goals against</t>
        </is>
      </c>
      <c r="E12" s="7">
        <f>SUM(E2:E7)</f>
        <v/>
      </c>
    </row>
    <row r="13">
      <c r="A13" s="3" t="inlineStr">
        <is>
          <t>Avg xG Delta (For)</t>
        </is>
      </c>
      <c r="E13" s="8">
        <f>AVERAGE(J2:J7)</f>
        <v/>
      </c>
    </row>
    <row r="14">
      <c r="A14" s="3" t="inlineStr">
        <is>
          <t>Avg xG Delta (Against)</t>
        </is>
      </c>
      <c r="E14" s="8">
        <f>AVERAGE(K2:K7)</f>
        <v/>
      </c>
    </row>
    <row r="15">
      <c r="A15" s="3" t="inlineStr">
        <is>
          <t>Avg Supremacy Delta</t>
        </is>
      </c>
      <c r="E15" s="8">
        <f>AVERAGE(N2:N7)</f>
        <v/>
      </c>
    </row>
    <row r="16">
      <c r="A16" s="3" t="inlineStr">
        <is>
          <t>Avg Total xG Delta</t>
        </is>
      </c>
      <c r="E16" s="8">
        <f>AVERAGE(O2:O7)</f>
        <v/>
      </c>
    </row>
    <row r="17">
      <c r="A17" s="3" t="inlineStr">
        <is>
          <t>Current form (last 6, For)</t>
        </is>
      </c>
      <c r="E17" s="8">
        <f>L7</f>
        <v/>
      </c>
    </row>
    <row r="18">
      <c r="A18" s="3" t="inlineStr">
        <is>
          <t>Current form (last 6, Against)</t>
        </is>
      </c>
      <c r="E18" s="8">
        <f>M7</f>
        <v/>
      </c>
    </row>
  </sheetData>
  <mergeCells count="9">
    <mergeCell ref="A17:D17"/>
    <mergeCell ref="A18:D18"/>
    <mergeCell ref="A12:D12"/>
    <mergeCell ref="A15:D15"/>
    <mergeCell ref="A16:D16"/>
    <mergeCell ref="A11:D11"/>
    <mergeCell ref="A10:D10"/>
    <mergeCell ref="A13:D13"/>
    <mergeCell ref="A14:D14"/>
  </mergeCells>
  <conditionalFormatting sqref="J2:J7">
    <cfRule type="colorScale" priority="1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L2:L7">
    <cfRule type="colorScale" priority="2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N2:N7">
    <cfRule type="colorScale" priority="3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K2:K7">
    <cfRule type="colorScale" priority="4">
      <colorScale>
        <cfvo type="min"/>
        <cfvo type="percentile" val="50"/>
        <cfvo type="max"/>
        <color rgb="0063BE7B"/>
        <color rgb="00FFFFFF"/>
        <color rgb="00F8696B"/>
      </colorScale>
    </cfRule>
  </conditionalFormatting>
  <conditionalFormatting sqref="M2:M7">
    <cfRule type="colorScale" priority="5">
      <colorScale>
        <cfvo type="min"/>
        <cfvo type="percentile" val="5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O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</cols>
  <sheetData>
    <row r="1" ht="30" customHeight="1">
      <c r="A1" s="1" t="inlineStr">
        <is>
          <t>Date</t>
        </is>
      </c>
      <c r="B1" s="1" t="inlineStr">
        <is>
          <t>Opponent</t>
        </is>
      </c>
      <c r="C1" s="1" t="inlineStr">
        <is>
          <t>Venue</t>
        </is>
      </c>
      <c r="D1" s="1" t="inlineStr">
        <is>
          <t>Goals For</t>
        </is>
      </c>
      <c r="E1" s="1" t="inlineStr">
        <is>
          <t>Goals Against</t>
        </is>
      </c>
      <c r="F1" s="1" t="inlineStr">
        <is>
          <t>xG Pre-Match (For)</t>
        </is>
      </c>
      <c r="G1" s="1" t="inlineStr">
        <is>
          <t>xG Pre-Match (Against)</t>
        </is>
      </c>
      <c r="H1" s="1" t="inlineStr">
        <is>
          <t>xG Actual (For)</t>
        </is>
      </c>
      <c r="I1" s="1" t="inlineStr">
        <is>
          <t>xG Actual (Against)</t>
        </is>
      </c>
      <c r="J1" s="1" t="inlineStr">
        <is>
          <t>xG Delta (For)</t>
        </is>
      </c>
      <c r="K1" s="1" t="inlineStr">
        <is>
          <t>xG Delta (Against)</t>
        </is>
      </c>
      <c r="L1" s="1" t="inlineStr">
        <is>
          <t>Rolling Delta (For)</t>
        </is>
      </c>
      <c r="M1" s="1" t="inlineStr">
        <is>
          <t>Rolling Delta (Against)</t>
        </is>
      </c>
      <c r="N1" s="1" t="inlineStr">
        <is>
          <t>Supremacy Delta</t>
        </is>
      </c>
      <c r="O1" s="1" t="inlineStr">
        <is>
          <t>Match Total xG Delta</t>
        </is>
      </c>
    </row>
    <row r="2">
      <c r="A2" s="3" t="inlineStr">
        <is>
          <t>2026-08-15</t>
        </is>
      </c>
      <c r="B2" s="3" t="inlineStr">
        <is>
          <t>Crawley Town</t>
        </is>
      </c>
      <c r="C2" s="3" t="inlineStr">
        <is>
          <t>Away</t>
        </is>
      </c>
      <c r="D2" s="3" t="n">
        <v>1</v>
      </c>
      <c r="E2" s="3" t="n">
        <v>0</v>
      </c>
      <c r="F2" s="4" t="n">
        <v>1.29</v>
      </c>
      <c r="G2" s="4" t="n">
        <v>1.33</v>
      </c>
      <c r="H2" s="4" t="n">
        <v>2.2</v>
      </c>
      <c r="I2" s="4" t="n">
        <v>0.93</v>
      </c>
      <c r="J2" s="4" t="n">
        <v>0.91</v>
      </c>
      <c r="K2" s="4" t="n">
        <v>-0.4</v>
      </c>
      <c r="L2" s="4" t="n">
        <v>0.91</v>
      </c>
      <c r="M2" s="4" t="n">
        <v>-0.4</v>
      </c>
      <c r="N2" s="4">
        <f>(H2-I2)-(F2-G2)</f>
        <v/>
      </c>
      <c r="O2" s="4">
        <f>(H2+I2)-(F2+G2)</f>
        <v/>
      </c>
    </row>
    <row r="3">
      <c r="A3" s="3" t="inlineStr">
        <is>
          <t>2026-08-22</t>
        </is>
      </c>
      <c r="B3" s="3" t="inlineStr">
        <is>
          <t>Northampton Town</t>
        </is>
      </c>
      <c r="C3" s="3" t="inlineStr">
        <is>
          <t>Home</t>
        </is>
      </c>
      <c r="D3" s="3" t="n">
        <v>1</v>
      </c>
      <c r="E3" s="3" t="n">
        <v>0</v>
      </c>
      <c r="F3" s="4" t="n">
        <v>1.46</v>
      </c>
      <c r="G3" s="4" t="n">
        <v>1.13</v>
      </c>
      <c r="H3" s="4" t="n">
        <v>0.48</v>
      </c>
      <c r="I3" s="4" t="n">
        <v>0.77</v>
      </c>
      <c r="J3" s="4" t="n">
        <v>-0.98</v>
      </c>
      <c r="K3" s="4" t="n">
        <v>-0.36</v>
      </c>
      <c r="L3" s="4" t="n">
        <v>-0.04</v>
      </c>
      <c r="M3" s="4" t="n">
        <v>-0.38</v>
      </c>
      <c r="N3" s="4">
        <f>(H3-I3)-(F3-G3)</f>
        <v/>
      </c>
      <c r="O3" s="4">
        <f>(H3+I3)-(F3+G3)</f>
        <v/>
      </c>
    </row>
    <row r="4">
      <c r="A4" s="3" t="inlineStr">
        <is>
          <t>2026-08-29</t>
        </is>
      </c>
      <c r="B4" s="3" t="inlineStr">
        <is>
          <t>Port Vale</t>
        </is>
      </c>
      <c r="C4" s="3" t="inlineStr">
        <is>
          <t>Away</t>
        </is>
      </c>
      <c r="D4" s="3" t="n">
        <v>0</v>
      </c>
      <c r="E4" s="3" t="n">
        <v>0</v>
      </c>
      <c r="F4" s="4" t="n">
        <v>1.19</v>
      </c>
      <c r="G4" s="4" t="n">
        <v>1.49</v>
      </c>
      <c r="H4" s="4" t="n">
        <v>1.18</v>
      </c>
      <c r="I4" s="4" t="n">
        <v>1.06</v>
      </c>
      <c r="J4" s="4" t="n">
        <v>-0.01</v>
      </c>
      <c r="K4" s="4" t="n">
        <v>-0.43</v>
      </c>
      <c r="L4" s="4" t="n">
        <v>-0.03</v>
      </c>
      <c r="M4" s="4" t="n">
        <v>-0.4</v>
      </c>
      <c r="N4" s="4">
        <f>(H4-I4)-(F4-G4)</f>
        <v/>
      </c>
      <c r="O4" s="4">
        <f>(H4+I4)-(F4+G4)</f>
        <v/>
      </c>
    </row>
    <row r="5">
      <c r="A5" s="3" t="inlineStr">
        <is>
          <t>2026-09-01</t>
        </is>
      </c>
      <c r="B5" s="3" t="inlineStr">
        <is>
          <t>Walsall</t>
        </is>
      </c>
      <c r="C5" s="3" t="inlineStr">
        <is>
          <t>Home</t>
        </is>
      </c>
      <c r="D5" s="3" t="n">
        <v>2</v>
      </c>
      <c r="E5" s="3" t="n">
        <v>2</v>
      </c>
      <c r="F5" s="4" t="n">
        <v>1.52</v>
      </c>
      <c r="G5" s="4" t="n">
        <v>1.27</v>
      </c>
      <c r="H5" s="4" t="n">
        <v>1.49</v>
      </c>
      <c r="I5" s="4" t="n">
        <v>1.82</v>
      </c>
      <c r="J5" s="4" t="n">
        <v>-0.03</v>
      </c>
      <c r="K5" s="4" t="n">
        <v>0.55</v>
      </c>
      <c r="L5" s="4" t="n">
        <v>-0.03</v>
      </c>
      <c r="M5" s="4" t="n">
        <v>-0.16</v>
      </c>
      <c r="N5" s="4">
        <f>(H5-I5)-(F5-G5)</f>
        <v/>
      </c>
      <c r="O5" s="4">
        <f>(H5+I5)-(F5+G5)</f>
        <v/>
      </c>
    </row>
    <row r="6">
      <c r="A6" s="3" t="inlineStr">
        <is>
          <t>2026-09-05</t>
        </is>
      </c>
      <c r="B6" s="3" t="inlineStr">
        <is>
          <t>York</t>
        </is>
      </c>
      <c r="C6" s="3" t="inlineStr">
        <is>
          <t>Home</t>
        </is>
      </c>
      <c r="D6" s="3" t="n">
        <v>1</v>
      </c>
      <c r="E6" s="3" t="n">
        <v>1</v>
      </c>
      <c r="F6" s="4" t="n">
        <v>1.28</v>
      </c>
      <c r="G6" s="4" t="n">
        <v>1.44</v>
      </c>
      <c r="H6" s="4" t="n">
        <v>1.14</v>
      </c>
      <c r="I6" s="4" t="n">
        <v>2.51</v>
      </c>
      <c r="J6" s="4" t="n">
        <v>-0.14</v>
      </c>
      <c r="K6" s="4" t="n">
        <v>1.07</v>
      </c>
      <c r="L6" s="4" t="n">
        <v>-0.05</v>
      </c>
      <c r="M6" s="4" t="n">
        <v>0.08</v>
      </c>
      <c r="N6" s="4">
        <f>(H6-I6)-(F6-G6)</f>
        <v/>
      </c>
      <c r="O6" s="4">
        <f>(H6+I6)-(F6+G6)</f>
        <v/>
      </c>
    </row>
    <row r="7">
      <c r="A7" s="3" t="inlineStr">
        <is>
          <t>2026-09-12</t>
        </is>
      </c>
      <c r="B7" s="3" t="inlineStr">
        <is>
          <t>Colchester United</t>
        </is>
      </c>
      <c r="C7" s="3" t="inlineStr">
        <is>
          <t>Away</t>
        </is>
      </c>
      <c r="D7" s="3" t="n">
        <v>1</v>
      </c>
      <c r="E7" s="3" t="n">
        <v>1</v>
      </c>
      <c r="F7" s="4" t="n">
        <v>1.2</v>
      </c>
      <c r="G7" s="4" t="n">
        <v>1.58</v>
      </c>
      <c r="H7" s="4" t="n">
        <v>0.64</v>
      </c>
      <c r="I7" s="4" t="n">
        <v>1.3</v>
      </c>
      <c r="J7" s="4" t="n">
        <v>-0.5600000000000001</v>
      </c>
      <c r="K7" s="4" t="n">
        <v>-0.28</v>
      </c>
      <c r="L7" s="4" t="n">
        <v>-0.14</v>
      </c>
      <c r="M7" s="4" t="n">
        <v>0.02</v>
      </c>
      <c r="N7" s="4">
        <f>(H7-I7)-(F7-G7)</f>
        <v/>
      </c>
      <c r="O7" s="4">
        <f>(H7+I7)-(F7+G7)</f>
        <v/>
      </c>
    </row>
    <row r="9">
      <c r="A9" s="6" t="inlineStr">
        <is>
          <t>Season summary</t>
        </is>
      </c>
    </row>
    <row r="10">
      <c r="A10" s="3" t="inlineStr">
        <is>
          <t>Matches played</t>
        </is>
      </c>
      <c r="E10" s="7">
        <f>COUNTA(A2:A7)</f>
        <v/>
      </c>
    </row>
    <row r="11">
      <c r="A11" s="3" t="inlineStr">
        <is>
          <t>Total goals for</t>
        </is>
      </c>
      <c r="E11" s="7">
        <f>SUM(D2:D7)</f>
        <v/>
      </c>
    </row>
    <row r="12">
      <c r="A12" s="3" t="inlineStr">
        <is>
          <t>Total goals against</t>
        </is>
      </c>
      <c r="E12" s="7">
        <f>SUM(E2:E7)</f>
        <v/>
      </c>
    </row>
    <row r="13">
      <c r="A13" s="3" t="inlineStr">
        <is>
          <t>Avg xG Delta (For)</t>
        </is>
      </c>
      <c r="E13" s="8">
        <f>AVERAGE(J2:J7)</f>
        <v/>
      </c>
    </row>
    <row r="14">
      <c r="A14" s="3" t="inlineStr">
        <is>
          <t>Avg xG Delta (Against)</t>
        </is>
      </c>
      <c r="E14" s="8">
        <f>AVERAGE(K2:K7)</f>
        <v/>
      </c>
    </row>
    <row r="15">
      <c r="A15" s="3" t="inlineStr">
        <is>
          <t>Avg Supremacy Delta</t>
        </is>
      </c>
      <c r="E15" s="8">
        <f>AVERAGE(N2:N7)</f>
        <v/>
      </c>
    </row>
    <row r="16">
      <c r="A16" s="3" t="inlineStr">
        <is>
          <t>Avg Total xG Delta</t>
        </is>
      </c>
      <c r="E16" s="8">
        <f>AVERAGE(O2:O7)</f>
        <v/>
      </c>
    </row>
    <row r="17">
      <c r="A17" s="3" t="inlineStr">
        <is>
          <t>Current form (last 6, For)</t>
        </is>
      </c>
      <c r="E17" s="8">
        <f>L7</f>
        <v/>
      </c>
    </row>
    <row r="18">
      <c r="A18" s="3" t="inlineStr">
        <is>
          <t>Current form (last 6, Against)</t>
        </is>
      </c>
      <c r="E18" s="8">
        <f>M7</f>
        <v/>
      </c>
    </row>
  </sheetData>
  <mergeCells count="9">
    <mergeCell ref="A17:D17"/>
    <mergeCell ref="A18:D18"/>
    <mergeCell ref="A12:D12"/>
    <mergeCell ref="A15:D15"/>
    <mergeCell ref="A16:D16"/>
    <mergeCell ref="A11:D11"/>
    <mergeCell ref="A10:D10"/>
    <mergeCell ref="A13:D13"/>
    <mergeCell ref="A14:D14"/>
  </mergeCells>
  <conditionalFormatting sqref="J2:J7">
    <cfRule type="colorScale" priority="1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L2:L7">
    <cfRule type="colorScale" priority="2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N2:N7">
    <cfRule type="colorScale" priority="3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K2:K7">
    <cfRule type="colorScale" priority="4">
      <colorScale>
        <cfvo type="min"/>
        <cfvo type="percentile" val="50"/>
        <cfvo type="max"/>
        <color rgb="0063BE7B"/>
        <color rgb="00FFFFFF"/>
        <color rgb="00F8696B"/>
      </colorScale>
    </cfRule>
  </conditionalFormatting>
  <conditionalFormatting sqref="M2:M7">
    <cfRule type="colorScale" priority="5">
      <colorScale>
        <cfvo type="min"/>
        <cfvo type="percentile" val="5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O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9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</cols>
  <sheetData>
    <row r="1" ht="30" customHeight="1">
      <c r="A1" s="1" t="inlineStr">
        <is>
          <t>Date</t>
        </is>
      </c>
      <c r="B1" s="1" t="inlineStr">
        <is>
          <t>Opponent</t>
        </is>
      </c>
      <c r="C1" s="1" t="inlineStr">
        <is>
          <t>Venue</t>
        </is>
      </c>
      <c r="D1" s="1" t="inlineStr">
        <is>
          <t>Goals For</t>
        </is>
      </c>
      <c r="E1" s="1" t="inlineStr">
        <is>
          <t>Goals Against</t>
        </is>
      </c>
      <c r="F1" s="1" t="inlineStr">
        <is>
          <t>xG Pre-Match (For)</t>
        </is>
      </c>
      <c r="G1" s="1" t="inlineStr">
        <is>
          <t>xG Pre-Match (Against)</t>
        </is>
      </c>
      <c r="H1" s="1" t="inlineStr">
        <is>
          <t>xG Actual (For)</t>
        </is>
      </c>
      <c r="I1" s="1" t="inlineStr">
        <is>
          <t>xG Actual (Against)</t>
        </is>
      </c>
      <c r="J1" s="1" t="inlineStr">
        <is>
          <t>xG Delta (For)</t>
        </is>
      </c>
      <c r="K1" s="1" t="inlineStr">
        <is>
          <t>xG Delta (Against)</t>
        </is>
      </c>
      <c r="L1" s="1" t="inlineStr">
        <is>
          <t>Rolling Delta (For)</t>
        </is>
      </c>
      <c r="M1" s="1" t="inlineStr">
        <is>
          <t>Rolling Delta (Against)</t>
        </is>
      </c>
      <c r="N1" s="1" t="inlineStr">
        <is>
          <t>Supremacy Delta</t>
        </is>
      </c>
      <c r="O1" s="1" t="inlineStr">
        <is>
          <t>Match Total xG Delta</t>
        </is>
      </c>
    </row>
    <row r="2">
      <c r="A2" s="3" t="inlineStr">
        <is>
          <t>2026-08-15</t>
        </is>
      </c>
      <c r="B2" s="3" t="inlineStr">
        <is>
          <t>Grimsby Town</t>
        </is>
      </c>
      <c r="C2" s="3" t="inlineStr">
        <is>
          <t>Away</t>
        </is>
      </c>
      <c r="D2" s="3" t="n">
        <v>0</v>
      </c>
      <c r="E2" s="3" t="n">
        <v>1</v>
      </c>
      <c r="F2" s="4" t="n">
        <v>1.02</v>
      </c>
      <c r="G2" s="4" t="n">
        <v>1.7</v>
      </c>
      <c r="H2" s="4" t="n">
        <v>0.75</v>
      </c>
      <c r="I2" s="4" t="n">
        <v>1.43</v>
      </c>
      <c r="J2" s="4" t="n">
        <v>-0.27</v>
      </c>
      <c r="K2" s="4" t="n">
        <v>-0.27</v>
      </c>
      <c r="L2" s="4" t="n">
        <v>-0.27</v>
      </c>
      <c r="M2" s="4" t="n">
        <v>-0.27</v>
      </c>
      <c r="N2" s="4">
        <f>(H2-I2)-(F2-G2)</f>
        <v/>
      </c>
      <c r="O2" s="4">
        <f>(H2+I2)-(F2+G2)</f>
        <v/>
      </c>
    </row>
    <row r="3">
      <c r="A3" s="3" t="inlineStr">
        <is>
          <t>2026-08-22</t>
        </is>
      </c>
      <c r="B3" s="3" t="inlineStr">
        <is>
          <t>Accrington Stanley</t>
        </is>
      </c>
      <c r="C3" s="3" t="inlineStr">
        <is>
          <t>Home</t>
        </is>
      </c>
      <c r="D3" s="3" t="n">
        <v>2</v>
      </c>
      <c r="E3" s="3" t="n">
        <v>0</v>
      </c>
      <c r="F3" s="4" t="n">
        <v>1.58</v>
      </c>
      <c r="G3" s="4" t="n">
        <v>1.06</v>
      </c>
      <c r="H3" s="4" t="n">
        <v>2.31</v>
      </c>
      <c r="I3" s="4" t="n">
        <v>0.68</v>
      </c>
      <c r="J3" s="4" t="n">
        <v>0.73</v>
      </c>
      <c r="K3" s="4" t="n">
        <v>-0.38</v>
      </c>
      <c r="L3" s="4" t="n">
        <v>0.23</v>
      </c>
      <c r="M3" s="4" t="n">
        <v>-0.33</v>
      </c>
      <c r="N3" s="4">
        <f>(H3-I3)-(F3-G3)</f>
        <v/>
      </c>
      <c r="O3" s="4">
        <f>(H3+I3)-(F3+G3)</f>
        <v/>
      </c>
    </row>
    <row r="4">
      <c r="A4" s="3" t="inlineStr">
        <is>
          <t>2026-08-29</t>
        </is>
      </c>
      <c r="B4" s="3" t="inlineStr">
        <is>
          <t>York</t>
        </is>
      </c>
      <c r="C4" s="3" t="inlineStr">
        <is>
          <t>Away</t>
        </is>
      </c>
      <c r="D4" s="3" t="n">
        <v>1</v>
      </c>
      <c r="E4" s="3" t="n">
        <v>2</v>
      </c>
      <c r="F4" s="4" t="n">
        <v>0.96</v>
      </c>
      <c r="G4" s="4" t="n">
        <v>1.8</v>
      </c>
      <c r="H4" s="4" t="n">
        <v>0.89</v>
      </c>
      <c r="I4" s="4" t="n">
        <v>1.18</v>
      </c>
      <c r="J4" s="4" t="n">
        <v>-0.07000000000000001</v>
      </c>
      <c r="K4" s="4" t="n">
        <v>-0.62</v>
      </c>
      <c r="L4" s="4" t="n">
        <v>0.13</v>
      </c>
      <c r="M4" s="4" t="n">
        <v>-0.43</v>
      </c>
      <c r="N4" s="4">
        <f>(H4-I4)-(F4-G4)</f>
        <v/>
      </c>
      <c r="O4" s="4">
        <f>(H4+I4)-(F4+G4)</f>
        <v/>
      </c>
    </row>
    <row r="5">
      <c r="A5" s="3" t="inlineStr">
        <is>
          <t>2026-09-01</t>
        </is>
      </c>
      <c r="B5" s="3" t="inlineStr">
        <is>
          <t>Barnet</t>
        </is>
      </c>
      <c r="C5" s="3" t="inlineStr">
        <is>
          <t>Home</t>
        </is>
      </c>
      <c r="D5" s="3" t="n">
        <v>1</v>
      </c>
      <c r="E5" s="3" t="n">
        <v>1</v>
      </c>
      <c r="F5" s="4" t="n">
        <v>1.18</v>
      </c>
      <c r="G5" s="4" t="n">
        <v>1.76</v>
      </c>
      <c r="H5" s="4" t="n">
        <v>1.05</v>
      </c>
      <c r="I5" s="4" t="n">
        <v>1.02</v>
      </c>
      <c r="J5" s="4" t="n">
        <v>-0.13</v>
      </c>
      <c r="K5" s="4" t="n">
        <v>-0.74</v>
      </c>
      <c r="L5" s="4" t="n">
        <v>0.07000000000000001</v>
      </c>
      <c r="M5" s="4" t="n">
        <v>-0.5</v>
      </c>
      <c r="N5" s="4">
        <f>(H5-I5)-(F5-G5)</f>
        <v/>
      </c>
      <c r="O5" s="4">
        <f>(H5+I5)-(F5+G5)</f>
        <v/>
      </c>
    </row>
    <row r="6">
      <c r="A6" s="3" t="inlineStr">
        <is>
          <t>2026-09-05</t>
        </is>
      </c>
      <c r="B6" s="3" t="inlineStr">
        <is>
          <t>Walsall</t>
        </is>
      </c>
      <c r="C6" s="3" t="inlineStr">
        <is>
          <t>Home</t>
        </is>
      </c>
      <c r="D6" s="3" t="n">
        <v>0</v>
      </c>
      <c r="E6" s="3" t="n">
        <v>0</v>
      </c>
      <c r="F6" s="4" t="n">
        <v>1.41</v>
      </c>
      <c r="G6" s="4" t="n">
        <v>1.35</v>
      </c>
      <c r="H6" s="4" t="n">
        <v>1.52</v>
      </c>
      <c r="I6" s="4" t="n">
        <v>0.4</v>
      </c>
      <c r="J6" s="4" t="n">
        <v>0.11</v>
      </c>
      <c r="K6" s="4" t="n">
        <v>-0.95</v>
      </c>
      <c r="L6" s="4" t="n">
        <v>0.07000000000000001</v>
      </c>
      <c r="M6" s="4" t="n">
        <v>-0.59</v>
      </c>
      <c r="N6" s="4">
        <f>(H6-I6)-(F6-G6)</f>
        <v/>
      </c>
      <c r="O6" s="4">
        <f>(H6+I6)-(F6+G6)</f>
        <v/>
      </c>
    </row>
    <row r="7">
      <c r="A7" s="3" t="inlineStr">
        <is>
          <t>2026-09-12</t>
        </is>
      </c>
      <c r="B7" s="3" t="inlineStr">
        <is>
          <t>Port Vale</t>
        </is>
      </c>
      <c r="C7" s="3" t="inlineStr">
        <is>
          <t>Away</t>
        </is>
      </c>
      <c r="D7" s="3" t="n">
        <v>0</v>
      </c>
      <c r="E7" s="3" t="n">
        <v>1</v>
      </c>
      <c r="F7" s="4" t="n">
        <v>1.06</v>
      </c>
      <c r="G7" s="4" t="n">
        <v>1.52</v>
      </c>
      <c r="H7" s="4" t="n">
        <v>0.55</v>
      </c>
      <c r="I7" s="4" t="n">
        <v>1.95</v>
      </c>
      <c r="J7" s="4" t="n">
        <v>-0.51</v>
      </c>
      <c r="K7" s="4" t="n">
        <v>0.43</v>
      </c>
      <c r="L7" s="4" t="n">
        <v>-0.02</v>
      </c>
      <c r="M7" s="4" t="n">
        <v>-0.42</v>
      </c>
      <c r="N7" s="4">
        <f>(H7-I7)-(F7-G7)</f>
        <v/>
      </c>
      <c r="O7" s="4">
        <f>(H7+I7)-(F7+G7)</f>
        <v/>
      </c>
    </row>
    <row r="9">
      <c r="A9" s="6" t="inlineStr">
        <is>
          <t>Season summary</t>
        </is>
      </c>
    </row>
    <row r="10">
      <c r="A10" s="3" t="inlineStr">
        <is>
          <t>Matches played</t>
        </is>
      </c>
      <c r="E10" s="7">
        <f>COUNTA(A2:A7)</f>
        <v/>
      </c>
    </row>
    <row r="11">
      <c r="A11" s="3" t="inlineStr">
        <is>
          <t>Total goals for</t>
        </is>
      </c>
      <c r="E11" s="7">
        <f>SUM(D2:D7)</f>
        <v/>
      </c>
    </row>
    <row r="12">
      <c r="A12" s="3" t="inlineStr">
        <is>
          <t>Total goals against</t>
        </is>
      </c>
      <c r="E12" s="7">
        <f>SUM(E2:E7)</f>
        <v/>
      </c>
    </row>
    <row r="13">
      <c r="A13" s="3" t="inlineStr">
        <is>
          <t>Avg xG Delta (For)</t>
        </is>
      </c>
      <c r="E13" s="8">
        <f>AVERAGE(J2:J7)</f>
        <v/>
      </c>
    </row>
    <row r="14">
      <c r="A14" s="3" t="inlineStr">
        <is>
          <t>Avg xG Delta (Against)</t>
        </is>
      </c>
      <c r="E14" s="8">
        <f>AVERAGE(K2:K7)</f>
        <v/>
      </c>
    </row>
    <row r="15">
      <c r="A15" s="3" t="inlineStr">
        <is>
          <t>Avg Supremacy Delta</t>
        </is>
      </c>
      <c r="E15" s="8">
        <f>AVERAGE(N2:N7)</f>
        <v/>
      </c>
    </row>
    <row r="16">
      <c r="A16" s="3" t="inlineStr">
        <is>
          <t>Avg Total xG Delta</t>
        </is>
      </c>
      <c r="E16" s="8">
        <f>AVERAGE(O2:O7)</f>
        <v/>
      </c>
    </row>
    <row r="17">
      <c r="A17" s="3" t="inlineStr">
        <is>
          <t>Current form (last 6, For)</t>
        </is>
      </c>
      <c r="E17" s="8">
        <f>L7</f>
        <v/>
      </c>
    </row>
    <row r="18">
      <c r="A18" s="3" t="inlineStr">
        <is>
          <t>Current form (last 6, Against)</t>
        </is>
      </c>
      <c r="E18" s="8">
        <f>M7</f>
        <v/>
      </c>
    </row>
  </sheetData>
  <mergeCells count="9">
    <mergeCell ref="A17:D17"/>
    <mergeCell ref="A18:D18"/>
    <mergeCell ref="A12:D12"/>
    <mergeCell ref="A15:D15"/>
    <mergeCell ref="A16:D16"/>
    <mergeCell ref="A11:D11"/>
    <mergeCell ref="A10:D10"/>
    <mergeCell ref="A13:D13"/>
    <mergeCell ref="A14:D14"/>
  </mergeCells>
  <conditionalFormatting sqref="J2:J7">
    <cfRule type="colorScale" priority="1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L2:L7">
    <cfRule type="colorScale" priority="2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N2:N7">
    <cfRule type="colorScale" priority="3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K2:K7">
    <cfRule type="colorScale" priority="4">
      <colorScale>
        <cfvo type="min"/>
        <cfvo type="percentile" val="50"/>
        <cfvo type="max"/>
        <color rgb="0063BE7B"/>
        <color rgb="00FFFFFF"/>
        <color rgb="00F8696B"/>
      </colorScale>
    </cfRule>
  </conditionalFormatting>
  <conditionalFormatting sqref="M2:M7">
    <cfRule type="colorScale" priority="5">
      <colorScale>
        <cfvo type="min"/>
        <cfvo type="percentile" val="5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O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6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5" customWidth="1" min="13" max="13"/>
    <col width="6" customWidth="1" min="14" max="14"/>
    <col width="6" customWidth="1" min="15" max="15"/>
  </cols>
  <sheetData>
    <row r="1" ht="30" customHeight="1">
      <c r="A1" s="1" t="inlineStr">
        <is>
          <t>Date</t>
        </is>
      </c>
      <c r="B1" s="1" t="inlineStr">
        <is>
          <t>Opponent</t>
        </is>
      </c>
      <c r="C1" s="1" t="inlineStr">
        <is>
          <t>Venue</t>
        </is>
      </c>
      <c r="D1" s="1" t="inlineStr">
        <is>
          <t>Goals For</t>
        </is>
      </c>
      <c r="E1" s="1" t="inlineStr">
        <is>
          <t>Goals Against</t>
        </is>
      </c>
      <c r="F1" s="1" t="inlineStr">
        <is>
          <t>xG Pre-Match (For)</t>
        </is>
      </c>
      <c r="G1" s="1" t="inlineStr">
        <is>
          <t>xG Pre-Match (Against)</t>
        </is>
      </c>
      <c r="H1" s="1" t="inlineStr">
        <is>
          <t>xG Actual (For)</t>
        </is>
      </c>
      <c r="I1" s="1" t="inlineStr">
        <is>
          <t>xG Actual (Against)</t>
        </is>
      </c>
      <c r="J1" s="1" t="inlineStr">
        <is>
          <t>xG Delta (For)</t>
        </is>
      </c>
      <c r="K1" s="1" t="inlineStr">
        <is>
          <t>xG Delta (Against)</t>
        </is>
      </c>
      <c r="L1" s="1" t="inlineStr">
        <is>
          <t>Rolling Delta (For)</t>
        </is>
      </c>
      <c r="M1" s="1" t="inlineStr">
        <is>
          <t>Rolling Delta (Against)</t>
        </is>
      </c>
      <c r="N1" s="1" t="inlineStr">
        <is>
          <t>Supremacy Delta</t>
        </is>
      </c>
      <c r="O1" s="1" t="inlineStr">
        <is>
          <t>Match Total xG Delta</t>
        </is>
      </c>
    </row>
    <row r="2">
      <c r="A2" s="3" t="inlineStr">
        <is>
          <t>2026-08-15</t>
        </is>
      </c>
      <c r="B2" s="3" t="inlineStr">
        <is>
          <t>Chesterfield</t>
        </is>
      </c>
      <c r="C2" s="3" t="inlineStr">
        <is>
          <t>Away</t>
        </is>
      </c>
      <c r="D2" s="3" t="n">
        <v>1</v>
      </c>
      <c r="E2" s="3" t="n">
        <v>0</v>
      </c>
      <c r="F2" s="4" t="n">
        <v>0.95</v>
      </c>
      <c r="G2" s="4" t="n">
        <v>1.63</v>
      </c>
      <c r="H2" s="4" t="n">
        <v>1.11</v>
      </c>
      <c r="I2" s="4" t="n">
        <v>2.17</v>
      </c>
      <c r="J2" s="4" t="n">
        <v>0.16</v>
      </c>
      <c r="K2" s="4" t="n">
        <v>0.54</v>
      </c>
      <c r="L2" s="4" t="n">
        <v>0.16</v>
      </c>
      <c r="M2" s="4" t="n">
        <v>0.54</v>
      </c>
      <c r="N2" s="4">
        <f>(H2-I2)-(F2-G2)</f>
        <v/>
      </c>
      <c r="O2" s="4">
        <f>(H2+I2)-(F2+G2)</f>
        <v/>
      </c>
    </row>
    <row r="3">
      <c r="A3" s="3" t="inlineStr">
        <is>
          <t>2026-08-22</t>
        </is>
      </c>
      <c r="B3" s="3" t="inlineStr">
        <is>
          <t>Gillingham</t>
        </is>
      </c>
      <c r="C3" s="3" t="inlineStr">
        <is>
          <t>Home</t>
        </is>
      </c>
      <c r="D3" s="3" t="n">
        <v>0</v>
      </c>
      <c r="E3" s="3" t="n">
        <v>0</v>
      </c>
      <c r="F3" s="4" t="n">
        <v>1.64</v>
      </c>
      <c r="G3" s="4" t="n">
        <v>1</v>
      </c>
      <c r="H3" s="4" t="n">
        <v>1.16</v>
      </c>
      <c r="I3" s="4" t="n">
        <v>1.18</v>
      </c>
      <c r="J3" s="4" t="n">
        <v>-0.48</v>
      </c>
      <c r="K3" s="4" t="n">
        <v>0.18</v>
      </c>
      <c r="L3" s="4" t="n">
        <v>-0.16</v>
      </c>
      <c r="M3" s="4" t="n">
        <v>0.36</v>
      </c>
      <c r="N3" s="4">
        <f>(H3-I3)-(F3-G3)</f>
        <v/>
      </c>
      <c r="O3" s="4">
        <f>(H3+I3)-(F3+G3)</f>
        <v/>
      </c>
    </row>
    <row r="4">
      <c r="A4" s="3" t="inlineStr">
        <is>
          <t>2026-08-29</t>
        </is>
      </c>
      <c r="B4" s="3" t="inlineStr">
        <is>
          <t>Grimsby Town</t>
        </is>
      </c>
      <c r="C4" s="3" t="inlineStr">
        <is>
          <t>Away</t>
        </is>
      </c>
      <c r="D4" s="3" t="n">
        <v>2</v>
      </c>
      <c r="E4" s="3" t="n">
        <v>2</v>
      </c>
      <c r="F4" s="4" t="n">
        <v>0.98</v>
      </c>
      <c r="G4" s="4" t="n">
        <v>1.61</v>
      </c>
      <c r="H4" s="4" t="n">
        <v>1.61</v>
      </c>
      <c r="I4" s="4" t="n">
        <v>2.92</v>
      </c>
      <c r="J4" s="4" t="n">
        <v>0.63</v>
      </c>
      <c r="K4" s="4" t="n">
        <v>1.31</v>
      </c>
      <c r="L4" s="4" t="n">
        <v>0.1</v>
      </c>
      <c r="M4" s="4" t="n">
        <v>0.67</v>
      </c>
      <c r="N4" s="4">
        <f>(H4-I4)-(F4-G4)</f>
        <v/>
      </c>
      <c r="O4" s="4">
        <f>(H4+I4)-(F4+G4)</f>
        <v/>
      </c>
    </row>
    <row r="5">
      <c r="A5" s="3" t="inlineStr">
        <is>
          <t>2026-09-01</t>
        </is>
      </c>
      <c r="B5" s="3" t="inlineStr">
        <is>
          <t>Oldham Athletic</t>
        </is>
      </c>
      <c r="C5" s="3" t="inlineStr">
        <is>
          <t>Home</t>
        </is>
      </c>
      <c r="D5" s="3" t="n">
        <v>1</v>
      </c>
      <c r="E5" s="3" t="n">
        <v>1</v>
      </c>
      <c r="F5" s="4" t="n">
        <v>1.31</v>
      </c>
      <c r="G5" s="4" t="n">
        <v>1.3</v>
      </c>
      <c r="H5" s="4" t="n">
        <v>0.84</v>
      </c>
      <c r="I5" s="4" t="n">
        <v>1.42</v>
      </c>
      <c r="J5" s="4" t="n">
        <v>-0.47</v>
      </c>
      <c r="K5" s="4" t="n">
        <v>0.12</v>
      </c>
      <c r="L5" s="4" t="n">
        <v>-0.04</v>
      </c>
      <c r="M5" s="4" t="n">
        <v>0.53</v>
      </c>
      <c r="N5" s="4">
        <f>(H5-I5)-(F5-G5)</f>
        <v/>
      </c>
      <c r="O5" s="4">
        <f>(H5+I5)-(F5+G5)</f>
        <v/>
      </c>
    </row>
    <row r="6">
      <c r="A6" s="3" t="inlineStr">
        <is>
          <t>2026-09-05</t>
        </is>
      </c>
      <c r="B6" s="3" t="inlineStr">
        <is>
          <t>Shrewsbury Town</t>
        </is>
      </c>
      <c r="C6" s="3" t="inlineStr">
        <is>
          <t>Home</t>
        </is>
      </c>
      <c r="D6" s="3" t="n">
        <v>2</v>
      </c>
      <c r="E6" s="3" t="n">
        <v>0</v>
      </c>
      <c r="F6" s="4" t="n">
        <v>1.56</v>
      </c>
      <c r="G6" s="4" t="n">
        <v>0.99</v>
      </c>
      <c r="H6" s="4" t="n">
        <v>0.8</v>
      </c>
      <c r="I6" s="4" t="n">
        <v>0.71</v>
      </c>
      <c r="J6" s="4" t="n">
        <v>-0.76</v>
      </c>
      <c r="K6" s="4" t="n">
        <v>-0.28</v>
      </c>
      <c r="L6" s="4" t="n">
        <v>-0.18</v>
      </c>
      <c r="M6" s="4" t="n">
        <v>0.37</v>
      </c>
      <c r="N6" s="4">
        <f>(H6-I6)-(F6-G6)</f>
        <v/>
      </c>
      <c r="O6" s="4">
        <f>(H6+I6)-(F6+G6)</f>
        <v/>
      </c>
    </row>
    <row r="7">
      <c r="A7" s="3" t="inlineStr">
        <is>
          <t>2026-09-12</t>
        </is>
      </c>
      <c r="B7" s="3" t="inlineStr">
        <is>
          <t>Newport County</t>
        </is>
      </c>
      <c r="C7" s="3" t="inlineStr">
        <is>
          <t>Away</t>
        </is>
      </c>
      <c r="D7" s="3" t="n">
        <v>1</v>
      </c>
      <c r="E7" s="3" t="n">
        <v>1</v>
      </c>
      <c r="F7" s="4" t="n">
        <v>1.55</v>
      </c>
      <c r="G7" s="4" t="n">
        <v>1.16</v>
      </c>
      <c r="H7" s="4" t="n">
        <v>1.06</v>
      </c>
      <c r="I7" s="4" t="n">
        <v>2.64</v>
      </c>
      <c r="J7" s="4" t="n">
        <v>-0.49</v>
      </c>
      <c r="K7" s="4" t="n">
        <v>1.48</v>
      </c>
      <c r="L7" s="4" t="n">
        <v>-0.24</v>
      </c>
      <c r="M7" s="4" t="n">
        <v>0.5600000000000001</v>
      </c>
      <c r="N7" s="4">
        <f>(H7-I7)-(F7-G7)</f>
        <v/>
      </c>
      <c r="O7" s="4">
        <f>(H7+I7)-(F7+G7)</f>
        <v/>
      </c>
    </row>
    <row r="9">
      <c r="A9" s="6" t="inlineStr">
        <is>
          <t>Season summary</t>
        </is>
      </c>
    </row>
    <row r="10">
      <c r="A10" s="3" t="inlineStr">
        <is>
          <t>Matches played</t>
        </is>
      </c>
      <c r="E10" s="7">
        <f>COUNTA(A2:A7)</f>
        <v/>
      </c>
    </row>
    <row r="11">
      <c r="A11" s="3" t="inlineStr">
        <is>
          <t>Total goals for</t>
        </is>
      </c>
      <c r="E11" s="7">
        <f>SUM(D2:D7)</f>
        <v/>
      </c>
    </row>
    <row r="12">
      <c r="A12" s="3" t="inlineStr">
        <is>
          <t>Total goals against</t>
        </is>
      </c>
      <c r="E12" s="7">
        <f>SUM(E2:E7)</f>
        <v/>
      </c>
    </row>
    <row r="13">
      <c r="A13" s="3" t="inlineStr">
        <is>
          <t>Avg xG Delta (For)</t>
        </is>
      </c>
      <c r="E13" s="8">
        <f>AVERAGE(J2:J7)</f>
        <v/>
      </c>
    </row>
    <row r="14">
      <c r="A14" s="3" t="inlineStr">
        <is>
          <t>Avg xG Delta (Against)</t>
        </is>
      </c>
      <c r="E14" s="8">
        <f>AVERAGE(K2:K7)</f>
        <v/>
      </c>
    </row>
    <row r="15">
      <c r="A15" s="3" t="inlineStr">
        <is>
          <t>Avg Supremacy Delta</t>
        </is>
      </c>
      <c r="E15" s="8">
        <f>AVERAGE(N2:N7)</f>
        <v/>
      </c>
    </row>
    <row r="16">
      <c r="A16" s="3" t="inlineStr">
        <is>
          <t>Avg Total xG Delta</t>
        </is>
      </c>
      <c r="E16" s="8">
        <f>AVERAGE(O2:O7)</f>
        <v/>
      </c>
    </row>
    <row r="17">
      <c r="A17" s="3" t="inlineStr">
        <is>
          <t>Current form (last 6, For)</t>
        </is>
      </c>
      <c r="E17" s="8">
        <f>L7</f>
        <v/>
      </c>
    </row>
    <row r="18">
      <c r="A18" s="3" t="inlineStr">
        <is>
          <t>Current form (last 6, Against)</t>
        </is>
      </c>
      <c r="E18" s="8">
        <f>M7</f>
        <v/>
      </c>
    </row>
  </sheetData>
  <mergeCells count="9">
    <mergeCell ref="A17:D17"/>
    <mergeCell ref="A18:D18"/>
    <mergeCell ref="A12:D12"/>
    <mergeCell ref="A15:D15"/>
    <mergeCell ref="A16:D16"/>
    <mergeCell ref="A11:D11"/>
    <mergeCell ref="A10:D10"/>
    <mergeCell ref="A13:D13"/>
    <mergeCell ref="A14:D14"/>
  </mergeCells>
  <conditionalFormatting sqref="J2:J7">
    <cfRule type="colorScale" priority="1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L2:L7">
    <cfRule type="colorScale" priority="2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N2:N7">
    <cfRule type="colorScale" priority="3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K2:K7">
    <cfRule type="colorScale" priority="4">
      <colorScale>
        <cfvo type="min"/>
        <cfvo type="percentile" val="50"/>
        <cfvo type="max"/>
        <color rgb="0063BE7B"/>
        <color rgb="00FFFFFF"/>
        <color rgb="00F8696B"/>
      </colorScale>
    </cfRule>
  </conditionalFormatting>
  <conditionalFormatting sqref="M2:M7">
    <cfRule type="colorScale" priority="5">
      <colorScale>
        <cfvo type="min"/>
        <cfvo type="percentile" val="5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O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</cols>
  <sheetData>
    <row r="1" ht="30" customHeight="1">
      <c r="A1" s="1" t="inlineStr">
        <is>
          <t>Date</t>
        </is>
      </c>
      <c r="B1" s="1" t="inlineStr">
        <is>
          <t>Opponent</t>
        </is>
      </c>
      <c r="C1" s="1" t="inlineStr">
        <is>
          <t>Venue</t>
        </is>
      </c>
      <c r="D1" s="1" t="inlineStr">
        <is>
          <t>Goals For</t>
        </is>
      </c>
      <c r="E1" s="1" t="inlineStr">
        <is>
          <t>Goals Against</t>
        </is>
      </c>
      <c r="F1" s="1" t="inlineStr">
        <is>
          <t>xG Pre-Match (For)</t>
        </is>
      </c>
      <c r="G1" s="1" t="inlineStr">
        <is>
          <t>xG Pre-Match (Against)</t>
        </is>
      </c>
      <c r="H1" s="1" t="inlineStr">
        <is>
          <t>xG Actual (For)</t>
        </is>
      </c>
      <c r="I1" s="1" t="inlineStr">
        <is>
          <t>xG Actual (Against)</t>
        </is>
      </c>
      <c r="J1" s="1" t="inlineStr">
        <is>
          <t>xG Delta (For)</t>
        </is>
      </c>
      <c r="K1" s="1" t="inlineStr">
        <is>
          <t>xG Delta (Against)</t>
        </is>
      </c>
      <c r="L1" s="1" t="inlineStr">
        <is>
          <t>Rolling Delta (For)</t>
        </is>
      </c>
      <c r="M1" s="1" t="inlineStr">
        <is>
          <t>Rolling Delta (Against)</t>
        </is>
      </c>
      <c r="N1" s="1" t="inlineStr">
        <is>
          <t>Supremacy Delta</t>
        </is>
      </c>
      <c r="O1" s="1" t="inlineStr">
        <is>
          <t>Match Total xG Delta</t>
        </is>
      </c>
    </row>
    <row r="2">
      <c r="A2" s="3" t="inlineStr">
        <is>
          <t>2026-08-15</t>
        </is>
      </c>
      <c r="B2" s="3" t="inlineStr">
        <is>
          <t>Walsall</t>
        </is>
      </c>
      <c r="C2" s="3" t="inlineStr">
        <is>
          <t>Home</t>
        </is>
      </c>
      <c r="D2" s="3" t="n">
        <v>0</v>
      </c>
      <c r="E2" s="3" t="n">
        <v>3</v>
      </c>
      <c r="F2" s="4" t="n">
        <v>1.43</v>
      </c>
      <c r="G2" s="4" t="n">
        <v>1.15</v>
      </c>
      <c r="H2" s="4" t="n">
        <v>1.45</v>
      </c>
      <c r="I2" s="4" t="n">
        <v>3.1</v>
      </c>
      <c r="J2" s="4" t="n">
        <v>0.02</v>
      </c>
      <c r="K2" s="4" t="n">
        <v>1.95</v>
      </c>
      <c r="L2" s="4" t="n">
        <v>0.02</v>
      </c>
      <c r="M2" s="4" t="n">
        <v>1.95</v>
      </c>
      <c r="N2" s="4">
        <f>(H2-I2)-(F2-G2)</f>
        <v/>
      </c>
      <c r="O2" s="4">
        <f>(H2+I2)-(F2+G2)</f>
        <v/>
      </c>
    </row>
    <row r="3">
      <c r="A3" s="3" t="inlineStr">
        <is>
          <t>2026-08-22</t>
        </is>
      </c>
      <c r="B3" s="3" t="inlineStr">
        <is>
          <t>Fleetwood Town</t>
        </is>
      </c>
      <c r="C3" s="3" t="inlineStr">
        <is>
          <t>Away</t>
        </is>
      </c>
      <c r="D3" s="3" t="n">
        <v>0</v>
      </c>
      <c r="E3" s="3" t="n">
        <v>0</v>
      </c>
      <c r="F3" s="4" t="n">
        <v>1</v>
      </c>
      <c r="G3" s="4" t="n">
        <v>1.64</v>
      </c>
      <c r="H3" s="4" t="n">
        <v>1.18</v>
      </c>
      <c r="I3" s="4" t="n">
        <v>1.16</v>
      </c>
      <c r="J3" s="4" t="n">
        <v>0.18</v>
      </c>
      <c r="K3" s="4" t="n">
        <v>-0.48</v>
      </c>
      <c r="L3" s="4" t="n">
        <v>0.1</v>
      </c>
      <c r="M3" s="4" t="n">
        <v>0.74</v>
      </c>
      <c r="N3" s="4">
        <f>(H3-I3)-(F3-G3)</f>
        <v/>
      </c>
      <c r="O3" s="4">
        <f>(H3+I3)-(F3+G3)</f>
        <v/>
      </c>
    </row>
    <row r="4">
      <c r="A4" s="3" t="inlineStr">
        <is>
          <t>2026-08-29</t>
        </is>
      </c>
      <c r="B4" s="3" t="inlineStr">
        <is>
          <t>Northampton Town</t>
        </is>
      </c>
      <c r="C4" s="3" t="inlineStr">
        <is>
          <t>Home</t>
        </is>
      </c>
      <c r="D4" s="3" t="n">
        <v>1</v>
      </c>
      <c r="E4" s="3" t="n">
        <v>1</v>
      </c>
      <c r="F4" s="4" t="n">
        <v>1.32</v>
      </c>
      <c r="G4" s="4" t="n">
        <v>1.26</v>
      </c>
      <c r="H4" s="4" t="n">
        <v>0.89</v>
      </c>
      <c r="I4" s="4" t="n">
        <v>0.35</v>
      </c>
      <c r="J4" s="4" t="n">
        <v>-0.43</v>
      </c>
      <c r="K4" s="4" t="n">
        <v>-0.91</v>
      </c>
      <c r="L4" s="4" t="n">
        <v>-0.08</v>
      </c>
      <c r="M4" s="4" t="n">
        <v>0.19</v>
      </c>
      <c r="N4" s="4">
        <f>(H4-I4)-(F4-G4)</f>
        <v/>
      </c>
      <c r="O4" s="4">
        <f>(H4+I4)-(F4+G4)</f>
        <v/>
      </c>
    </row>
    <row r="5">
      <c r="A5" s="3" t="inlineStr">
        <is>
          <t>2026-09-01</t>
        </is>
      </c>
      <c r="B5" s="3" t="inlineStr">
        <is>
          <t>Chesterfield</t>
        </is>
      </c>
      <c r="C5" s="3" t="inlineStr">
        <is>
          <t>Away</t>
        </is>
      </c>
      <c r="D5" s="3" t="n">
        <v>1</v>
      </c>
      <c r="E5" s="3" t="n">
        <v>1</v>
      </c>
      <c r="F5" s="4" t="n">
        <v>0.83</v>
      </c>
      <c r="G5" s="4" t="n">
        <v>1.79</v>
      </c>
      <c r="H5" s="4" t="n">
        <v>0.5600000000000001</v>
      </c>
      <c r="I5" s="4" t="n">
        <v>2.05</v>
      </c>
      <c r="J5" s="4" t="n">
        <v>-0.27</v>
      </c>
      <c r="K5" s="4" t="n">
        <v>0.26</v>
      </c>
      <c r="L5" s="4" t="n">
        <v>-0.13</v>
      </c>
      <c r="M5" s="4" t="n">
        <v>0.21</v>
      </c>
      <c r="N5" s="4">
        <f>(H5-I5)-(F5-G5)</f>
        <v/>
      </c>
      <c r="O5" s="4">
        <f>(H5+I5)-(F5+G5)</f>
        <v/>
      </c>
    </row>
    <row r="6">
      <c r="A6" s="3" t="inlineStr">
        <is>
          <t>2026-09-05</t>
        </is>
      </c>
      <c r="B6" s="3" t="inlineStr">
        <is>
          <t>Rochdale</t>
        </is>
      </c>
      <c r="C6" s="3" t="inlineStr">
        <is>
          <t>Away</t>
        </is>
      </c>
      <c r="D6" s="3" t="n">
        <v>4</v>
      </c>
      <c r="E6" s="3" t="n">
        <v>1</v>
      </c>
      <c r="F6" s="4" t="n">
        <v>1.07</v>
      </c>
      <c r="G6" s="4" t="n">
        <v>1.45</v>
      </c>
      <c r="H6" s="4" t="n">
        <v>1.95</v>
      </c>
      <c r="I6" s="4" t="n">
        <v>0.8</v>
      </c>
      <c r="J6" s="4" t="n">
        <v>0.88</v>
      </c>
      <c r="K6" s="4" t="n">
        <v>-0.65</v>
      </c>
      <c r="L6" s="4" t="n">
        <v>0.07000000000000001</v>
      </c>
      <c r="M6" s="4" t="n">
        <v>0.04</v>
      </c>
      <c r="N6" s="4">
        <f>(H6-I6)-(F6-G6)</f>
        <v/>
      </c>
      <c r="O6" s="4">
        <f>(H6+I6)-(F6+G6)</f>
        <v/>
      </c>
    </row>
    <row r="7">
      <c r="A7" s="3" t="inlineStr">
        <is>
          <t>2026-09-12</t>
        </is>
      </c>
      <c r="B7" s="3" t="inlineStr">
        <is>
          <t>Tranmere Rovers</t>
        </is>
      </c>
      <c r="C7" s="3" t="inlineStr">
        <is>
          <t>Home</t>
        </is>
      </c>
      <c r="D7" s="3" t="n">
        <v>2</v>
      </c>
      <c r="E7" s="3" t="n">
        <v>0</v>
      </c>
      <c r="F7" s="4" t="n">
        <v>1.28</v>
      </c>
      <c r="G7" s="4" t="n">
        <v>1.26</v>
      </c>
      <c r="H7" s="4" t="n">
        <v>1.28</v>
      </c>
      <c r="I7" s="4" t="n">
        <v>0.9</v>
      </c>
      <c r="J7" s="4" t="n">
        <v>0</v>
      </c>
      <c r="K7" s="4" t="n">
        <v>-0.36</v>
      </c>
      <c r="L7" s="4" t="n">
        <v>0.06</v>
      </c>
      <c r="M7" s="4" t="n">
        <v>-0.03</v>
      </c>
      <c r="N7" s="4">
        <f>(H7-I7)-(F7-G7)</f>
        <v/>
      </c>
      <c r="O7" s="4">
        <f>(H7+I7)-(F7+G7)</f>
        <v/>
      </c>
    </row>
    <row r="9">
      <c r="A9" s="6" t="inlineStr">
        <is>
          <t>Season summary</t>
        </is>
      </c>
    </row>
    <row r="10">
      <c r="A10" s="3" t="inlineStr">
        <is>
          <t>Matches played</t>
        </is>
      </c>
      <c r="E10" s="7">
        <f>COUNTA(A2:A7)</f>
        <v/>
      </c>
    </row>
    <row r="11">
      <c r="A11" s="3" t="inlineStr">
        <is>
          <t>Total goals for</t>
        </is>
      </c>
      <c r="E11" s="7">
        <f>SUM(D2:D7)</f>
        <v/>
      </c>
    </row>
    <row r="12">
      <c r="A12" s="3" t="inlineStr">
        <is>
          <t>Total goals against</t>
        </is>
      </c>
      <c r="E12" s="7">
        <f>SUM(E2:E7)</f>
        <v/>
      </c>
    </row>
    <row r="13">
      <c r="A13" s="3" t="inlineStr">
        <is>
          <t>Avg xG Delta (For)</t>
        </is>
      </c>
      <c r="E13" s="8">
        <f>AVERAGE(J2:J7)</f>
        <v/>
      </c>
    </row>
    <row r="14">
      <c r="A14" s="3" t="inlineStr">
        <is>
          <t>Avg xG Delta (Against)</t>
        </is>
      </c>
      <c r="E14" s="8">
        <f>AVERAGE(K2:K7)</f>
        <v/>
      </c>
    </row>
    <row r="15">
      <c r="A15" s="3" t="inlineStr">
        <is>
          <t>Avg Supremacy Delta</t>
        </is>
      </c>
      <c r="E15" s="8">
        <f>AVERAGE(N2:N7)</f>
        <v/>
      </c>
    </row>
    <row r="16">
      <c r="A16" s="3" t="inlineStr">
        <is>
          <t>Avg Total xG Delta</t>
        </is>
      </c>
      <c r="E16" s="8">
        <f>AVERAGE(O2:O7)</f>
        <v/>
      </c>
    </row>
    <row r="17">
      <c r="A17" s="3" t="inlineStr">
        <is>
          <t>Current form (last 6, For)</t>
        </is>
      </c>
      <c r="E17" s="8">
        <f>L7</f>
        <v/>
      </c>
    </row>
    <row r="18">
      <c r="A18" s="3" t="inlineStr">
        <is>
          <t>Current form (last 6, Against)</t>
        </is>
      </c>
      <c r="E18" s="8">
        <f>M7</f>
        <v/>
      </c>
    </row>
  </sheetData>
  <mergeCells count="9">
    <mergeCell ref="A17:D17"/>
    <mergeCell ref="A18:D18"/>
    <mergeCell ref="A12:D12"/>
    <mergeCell ref="A15:D15"/>
    <mergeCell ref="A16:D16"/>
    <mergeCell ref="A11:D11"/>
    <mergeCell ref="A10:D10"/>
    <mergeCell ref="A13:D13"/>
    <mergeCell ref="A14:D14"/>
  </mergeCells>
  <conditionalFormatting sqref="J2:J7">
    <cfRule type="colorScale" priority="1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L2:L7">
    <cfRule type="colorScale" priority="2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N2:N7">
    <cfRule type="colorScale" priority="3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K2:K7">
    <cfRule type="colorScale" priority="4">
      <colorScale>
        <cfvo type="min"/>
        <cfvo type="percentile" val="50"/>
        <cfvo type="max"/>
        <color rgb="0063BE7B"/>
        <color rgb="00FFFFFF"/>
        <color rgb="00F8696B"/>
      </colorScale>
    </cfRule>
  </conditionalFormatting>
  <conditionalFormatting sqref="M2:M7">
    <cfRule type="colorScale" priority="5">
      <colorScale>
        <cfvo type="min"/>
        <cfvo type="percentile" val="5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O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9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</cols>
  <sheetData>
    <row r="1" ht="30" customHeight="1">
      <c r="A1" s="1" t="inlineStr">
        <is>
          <t>Date</t>
        </is>
      </c>
      <c r="B1" s="1" t="inlineStr">
        <is>
          <t>Opponent</t>
        </is>
      </c>
      <c r="C1" s="1" t="inlineStr">
        <is>
          <t>Venue</t>
        </is>
      </c>
      <c r="D1" s="1" t="inlineStr">
        <is>
          <t>Goals For</t>
        </is>
      </c>
      <c r="E1" s="1" t="inlineStr">
        <is>
          <t>Goals Against</t>
        </is>
      </c>
      <c r="F1" s="1" t="inlineStr">
        <is>
          <t>xG Pre-Match (For)</t>
        </is>
      </c>
      <c r="G1" s="1" t="inlineStr">
        <is>
          <t>xG Pre-Match (Against)</t>
        </is>
      </c>
      <c r="H1" s="1" t="inlineStr">
        <is>
          <t>xG Actual (For)</t>
        </is>
      </c>
      <c r="I1" s="1" t="inlineStr">
        <is>
          <t>xG Actual (Against)</t>
        </is>
      </c>
      <c r="J1" s="1" t="inlineStr">
        <is>
          <t>xG Delta (For)</t>
        </is>
      </c>
      <c r="K1" s="1" t="inlineStr">
        <is>
          <t>xG Delta (Against)</t>
        </is>
      </c>
      <c r="L1" s="1" t="inlineStr">
        <is>
          <t>Rolling Delta (For)</t>
        </is>
      </c>
      <c r="M1" s="1" t="inlineStr">
        <is>
          <t>Rolling Delta (Against)</t>
        </is>
      </c>
      <c r="N1" s="1" t="inlineStr">
        <is>
          <t>Supremacy Delta</t>
        </is>
      </c>
      <c r="O1" s="1" t="inlineStr">
        <is>
          <t>Match Total xG Delta</t>
        </is>
      </c>
    </row>
    <row r="2">
      <c r="A2" s="3" t="inlineStr">
        <is>
          <t>2026-08-15</t>
        </is>
      </c>
      <c r="B2" s="3" t="inlineStr">
        <is>
          <t>Exeter</t>
        </is>
      </c>
      <c r="C2" s="3" t="inlineStr">
        <is>
          <t>Home</t>
        </is>
      </c>
      <c r="D2" s="3" t="n">
        <v>1</v>
      </c>
      <c r="E2" s="3" t="n">
        <v>0</v>
      </c>
      <c r="F2" s="4" t="n">
        <v>1.7</v>
      </c>
      <c r="G2" s="4" t="n">
        <v>1.02</v>
      </c>
      <c r="H2" s="4" t="n">
        <v>1.43</v>
      </c>
      <c r="I2" s="4" t="n">
        <v>0.75</v>
      </c>
      <c r="J2" s="4" t="n">
        <v>-0.27</v>
      </c>
      <c r="K2" s="4" t="n">
        <v>-0.27</v>
      </c>
      <c r="L2" s="4" t="n">
        <v>-0.27</v>
      </c>
      <c r="M2" s="4" t="n">
        <v>-0.27</v>
      </c>
      <c r="N2" s="4">
        <f>(H2-I2)-(F2-G2)</f>
        <v/>
      </c>
      <c r="O2" s="4">
        <f>(H2+I2)-(F2+G2)</f>
        <v/>
      </c>
    </row>
    <row r="3">
      <c r="A3" s="3" t="inlineStr">
        <is>
          <t>2026-08-22</t>
        </is>
      </c>
      <c r="B3" s="3" t="inlineStr">
        <is>
          <t>Walsall</t>
        </is>
      </c>
      <c r="C3" s="3" t="inlineStr">
        <is>
          <t>Away</t>
        </is>
      </c>
      <c r="D3" s="3" t="n">
        <v>0</v>
      </c>
      <c r="E3" s="3" t="n">
        <v>0</v>
      </c>
      <c r="F3" s="4" t="n">
        <v>1.31</v>
      </c>
      <c r="G3" s="4" t="n">
        <v>1.21</v>
      </c>
      <c r="H3" s="4" t="n">
        <v>0.9</v>
      </c>
      <c r="I3" s="4" t="n">
        <v>1.21</v>
      </c>
      <c r="J3" s="4" t="n">
        <v>-0.41</v>
      </c>
      <c r="K3" s="4" t="n">
        <v>0</v>
      </c>
      <c r="L3" s="4" t="n">
        <v>-0.34</v>
      </c>
      <c r="M3" s="4" t="n">
        <v>-0.13</v>
      </c>
      <c r="N3" s="4">
        <f>(H3-I3)-(F3-G3)</f>
        <v/>
      </c>
      <c r="O3" s="4">
        <f>(H3+I3)-(F3+G3)</f>
        <v/>
      </c>
    </row>
    <row r="4">
      <c r="A4" s="3" t="inlineStr">
        <is>
          <t>2026-08-29</t>
        </is>
      </c>
      <c r="B4" s="3" t="inlineStr">
        <is>
          <t>Fleetwood Town</t>
        </is>
      </c>
      <c r="C4" s="3" t="inlineStr">
        <is>
          <t>Home</t>
        </is>
      </c>
      <c r="D4" s="3" t="n">
        <v>2</v>
      </c>
      <c r="E4" s="3" t="n">
        <v>2</v>
      </c>
      <c r="F4" s="4" t="n">
        <v>1.61</v>
      </c>
      <c r="G4" s="4" t="n">
        <v>0.98</v>
      </c>
      <c r="H4" s="4" t="n">
        <v>2.92</v>
      </c>
      <c r="I4" s="4" t="n">
        <v>1.61</v>
      </c>
      <c r="J4" s="4" t="n">
        <v>1.31</v>
      </c>
      <c r="K4" s="4" t="n">
        <v>0.63</v>
      </c>
      <c r="L4" s="4" t="n">
        <v>0.21</v>
      </c>
      <c r="M4" s="4" t="n">
        <v>0.12</v>
      </c>
      <c r="N4" s="4">
        <f>(H4-I4)-(F4-G4)</f>
        <v/>
      </c>
      <c r="O4" s="4">
        <f>(H4+I4)-(F4+G4)</f>
        <v/>
      </c>
    </row>
    <row r="5">
      <c r="A5" s="3" t="inlineStr">
        <is>
          <t>2026-09-01</t>
        </is>
      </c>
      <c r="B5" s="3" t="inlineStr">
        <is>
          <t>Accrington Stanley</t>
        </is>
      </c>
      <c r="C5" s="3" t="inlineStr">
        <is>
          <t>Away</t>
        </is>
      </c>
      <c r="D5" s="3" t="n">
        <v>2</v>
      </c>
      <c r="E5" s="3" t="n">
        <v>2</v>
      </c>
      <c r="F5" s="4" t="n">
        <v>1.62</v>
      </c>
      <c r="G5" s="4" t="n">
        <v>1.09</v>
      </c>
      <c r="H5" s="4" t="n">
        <v>2.19</v>
      </c>
      <c r="I5" s="4" t="n">
        <v>2.6</v>
      </c>
      <c r="J5" s="4" t="n">
        <v>0.57</v>
      </c>
      <c r="K5" s="4" t="n">
        <v>1.51</v>
      </c>
      <c r="L5" s="4" t="n">
        <v>0.3</v>
      </c>
      <c r="M5" s="4" t="n">
        <v>0.47</v>
      </c>
      <c r="N5" s="4">
        <f>(H5-I5)-(F5-G5)</f>
        <v/>
      </c>
      <c r="O5" s="4">
        <f>(H5+I5)-(F5+G5)</f>
        <v/>
      </c>
    </row>
    <row r="6">
      <c r="A6" s="3" t="inlineStr">
        <is>
          <t>2026-09-05</t>
        </is>
      </c>
      <c r="B6" s="3" t="inlineStr">
        <is>
          <t>Cheltenham Town</t>
        </is>
      </c>
      <c r="C6" s="3" t="inlineStr">
        <is>
          <t>Away</t>
        </is>
      </c>
      <c r="D6" s="3" t="n">
        <v>2</v>
      </c>
      <c r="E6" s="3" t="n">
        <v>2</v>
      </c>
      <c r="F6" s="4" t="n">
        <v>1.68</v>
      </c>
      <c r="G6" s="4" t="n">
        <v>1.17</v>
      </c>
      <c r="H6" s="4" t="n">
        <v>1.59</v>
      </c>
      <c r="I6" s="4" t="n">
        <v>1.29</v>
      </c>
      <c r="J6" s="4" t="n">
        <v>-0.08</v>
      </c>
      <c r="K6" s="4" t="n">
        <v>0.12</v>
      </c>
      <c r="L6" s="4" t="n">
        <v>0.22</v>
      </c>
      <c r="M6" s="4" t="n">
        <v>0.4</v>
      </c>
      <c r="N6" s="4">
        <f>(H6-I6)-(F6-G6)</f>
        <v/>
      </c>
      <c r="O6" s="4">
        <f>(H6+I6)-(F6+G6)</f>
        <v/>
      </c>
    </row>
    <row r="7">
      <c r="A7" s="3" t="inlineStr">
        <is>
          <t>2026-09-12</t>
        </is>
      </c>
      <c r="B7" s="3" t="inlineStr">
        <is>
          <t>Bristol Rvs</t>
        </is>
      </c>
      <c r="C7" s="3" t="inlineStr">
        <is>
          <t>Home</t>
        </is>
      </c>
      <c r="D7" s="3" t="n">
        <v>2</v>
      </c>
      <c r="E7" s="3" t="n">
        <v>0</v>
      </c>
      <c r="F7" s="4" t="n">
        <v>1.52</v>
      </c>
      <c r="G7" s="4" t="n">
        <v>1.34</v>
      </c>
      <c r="H7" s="4" t="n">
        <v>1.23</v>
      </c>
      <c r="I7" s="4" t="n">
        <v>0.09</v>
      </c>
      <c r="J7" s="4" t="n">
        <v>-0.29</v>
      </c>
      <c r="K7" s="4" t="n">
        <v>-1.25</v>
      </c>
      <c r="L7" s="4" t="n">
        <v>0.14</v>
      </c>
      <c r="M7" s="4" t="n">
        <v>0.12</v>
      </c>
      <c r="N7" s="4">
        <f>(H7-I7)-(F7-G7)</f>
        <v/>
      </c>
      <c r="O7" s="4">
        <f>(H7+I7)-(F7+G7)</f>
        <v/>
      </c>
    </row>
    <row r="9">
      <c r="A9" s="6" t="inlineStr">
        <is>
          <t>Season summary</t>
        </is>
      </c>
    </row>
    <row r="10">
      <c r="A10" s="3" t="inlineStr">
        <is>
          <t>Matches played</t>
        </is>
      </c>
      <c r="E10" s="7">
        <f>COUNTA(A2:A7)</f>
        <v/>
      </c>
    </row>
    <row r="11">
      <c r="A11" s="3" t="inlineStr">
        <is>
          <t>Total goals for</t>
        </is>
      </c>
      <c r="E11" s="7">
        <f>SUM(D2:D7)</f>
        <v/>
      </c>
    </row>
    <row r="12">
      <c r="A12" s="3" t="inlineStr">
        <is>
          <t>Total goals against</t>
        </is>
      </c>
      <c r="E12" s="7">
        <f>SUM(E2:E7)</f>
        <v/>
      </c>
    </row>
    <row r="13">
      <c r="A13" s="3" t="inlineStr">
        <is>
          <t>Avg xG Delta (For)</t>
        </is>
      </c>
      <c r="E13" s="8">
        <f>AVERAGE(J2:J7)</f>
        <v/>
      </c>
    </row>
    <row r="14">
      <c r="A14" s="3" t="inlineStr">
        <is>
          <t>Avg xG Delta (Against)</t>
        </is>
      </c>
      <c r="E14" s="8">
        <f>AVERAGE(K2:K7)</f>
        <v/>
      </c>
    </row>
    <row r="15">
      <c r="A15" s="3" t="inlineStr">
        <is>
          <t>Avg Supremacy Delta</t>
        </is>
      </c>
      <c r="E15" s="8">
        <f>AVERAGE(N2:N7)</f>
        <v/>
      </c>
    </row>
    <row r="16">
      <c r="A16" s="3" t="inlineStr">
        <is>
          <t>Avg Total xG Delta</t>
        </is>
      </c>
      <c r="E16" s="8">
        <f>AVERAGE(O2:O7)</f>
        <v/>
      </c>
    </row>
    <row r="17">
      <c r="A17" s="3" t="inlineStr">
        <is>
          <t>Current form (last 6, For)</t>
        </is>
      </c>
      <c r="E17" s="8">
        <f>L7</f>
        <v/>
      </c>
    </row>
    <row r="18">
      <c r="A18" s="3" t="inlineStr">
        <is>
          <t>Current form (last 6, Against)</t>
        </is>
      </c>
      <c r="E18" s="8">
        <f>M7</f>
        <v/>
      </c>
    </row>
  </sheetData>
  <mergeCells count="9">
    <mergeCell ref="A17:D17"/>
    <mergeCell ref="A18:D18"/>
    <mergeCell ref="A12:D12"/>
    <mergeCell ref="A15:D15"/>
    <mergeCell ref="A16:D16"/>
    <mergeCell ref="A11:D11"/>
    <mergeCell ref="A10:D10"/>
    <mergeCell ref="A13:D13"/>
    <mergeCell ref="A14:D14"/>
  </mergeCells>
  <conditionalFormatting sqref="J2:J7">
    <cfRule type="colorScale" priority="1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L2:L7">
    <cfRule type="colorScale" priority="2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N2:N7">
    <cfRule type="colorScale" priority="3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K2:K7">
    <cfRule type="colorScale" priority="4">
      <colorScale>
        <cfvo type="min"/>
        <cfvo type="percentile" val="50"/>
        <cfvo type="max"/>
        <color rgb="0063BE7B"/>
        <color rgb="00FFFFFF"/>
        <color rgb="00F8696B"/>
      </colorScale>
    </cfRule>
  </conditionalFormatting>
  <conditionalFormatting sqref="M2:M7">
    <cfRule type="colorScale" priority="5">
      <colorScale>
        <cfvo type="min"/>
        <cfvo type="percentile" val="5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O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</cols>
  <sheetData>
    <row r="1" ht="30" customHeight="1">
      <c r="A1" s="1" t="inlineStr">
        <is>
          <t>Date</t>
        </is>
      </c>
      <c r="B1" s="1" t="inlineStr">
        <is>
          <t>Opponent</t>
        </is>
      </c>
      <c r="C1" s="1" t="inlineStr">
        <is>
          <t>Venue</t>
        </is>
      </c>
      <c r="D1" s="1" t="inlineStr">
        <is>
          <t>Goals For</t>
        </is>
      </c>
      <c r="E1" s="1" t="inlineStr">
        <is>
          <t>Goals Against</t>
        </is>
      </c>
      <c r="F1" s="1" t="inlineStr">
        <is>
          <t>xG Pre-Match (For)</t>
        </is>
      </c>
      <c r="G1" s="1" t="inlineStr">
        <is>
          <t>xG Pre-Match (Against)</t>
        </is>
      </c>
      <c r="H1" s="1" t="inlineStr">
        <is>
          <t>xG Actual (For)</t>
        </is>
      </c>
      <c r="I1" s="1" t="inlineStr">
        <is>
          <t>xG Actual (Against)</t>
        </is>
      </c>
      <c r="J1" s="1" t="inlineStr">
        <is>
          <t>xG Delta (For)</t>
        </is>
      </c>
      <c r="K1" s="1" t="inlineStr">
        <is>
          <t>xG Delta (Against)</t>
        </is>
      </c>
      <c r="L1" s="1" t="inlineStr">
        <is>
          <t>Rolling Delta (For)</t>
        </is>
      </c>
      <c r="M1" s="1" t="inlineStr">
        <is>
          <t>Rolling Delta (Against)</t>
        </is>
      </c>
      <c r="N1" s="1" t="inlineStr">
        <is>
          <t>Supremacy Delta</t>
        </is>
      </c>
      <c r="O1" s="1" t="inlineStr">
        <is>
          <t>Match Total xG Delta</t>
        </is>
      </c>
    </row>
    <row r="2">
      <c r="A2" s="3" t="inlineStr">
        <is>
          <t>2026-08-15</t>
        </is>
      </c>
      <c r="B2" s="3" t="inlineStr">
        <is>
          <t>Rochdale</t>
        </is>
      </c>
      <c r="C2" s="3" t="inlineStr">
        <is>
          <t>Home</t>
        </is>
      </c>
      <c r="D2" s="3" t="n">
        <v>3</v>
      </c>
      <c r="E2" s="3" t="n">
        <v>0</v>
      </c>
      <c r="F2" s="4" t="n">
        <v>1.2</v>
      </c>
      <c r="G2" s="4" t="n">
        <v>1.39</v>
      </c>
      <c r="H2" s="4" t="n">
        <v>1.15</v>
      </c>
      <c r="I2" s="4" t="n">
        <v>0.16</v>
      </c>
      <c r="J2" s="4" t="n">
        <v>-0.05</v>
      </c>
      <c r="K2" s="4" t="n">
        <v>-1.23</v>
      </c>
      <c r="L2" s="4" t="n">
        <v>-0.05</v>
      </c>
      <c r="M2" s="4" t="n">
        <v>-1.23</v>
      </c>
      <c r="N2" s="4">
        <f>(H2-I2)-(F2-G2)</f>
        <v/>
      </c>
      <c r="O2" s="4">
        <f>(H2+I2)-(F2+G2)</f>
        <v/>
      </c>
    </row>
    <row r="3">
      <c r="A3" s="3" t="inlineStr">
        <is>
          <t>2026-08-22</t>
        </is>
      </c>
      <c r="B3" s="3" t="inlineStr">
        <is>
          <t>Bristol Rvs</t>
        </is>
      </c>
      <c r="C3" s="3" t="inlineStr">
        <is>
          <t>Away</t>
        </is>
      </c>
      <c r="D3" s="3" t="n">
        <v>3</v>
      </c>
      <c r="E3" s="3" t="n">
        <v>5</v>
      </c>
      <c r="F3" s="4" t="n">
        <v>0.9399999999999999</v>
      </c>
      <c r="G3" s="4" t="n">
        <v>1.83</v>
      </c>
      <c r="H3" s="4" t="n">
        <v>0.66</v>
      </c>
      <c r="I3" s="4" t="n">
        <v>3.99</v>
      </c>
      <c r="J3" s="4" t="n">
        <v>-0.28</v>
      </c>
      <c r="K3" s="4" t="n">
        <v>2.16</v>
      </c>
      <c r="L3" s="4" t="n">
        <v>-0.16</v>
      </c>
      <c r="M3" s="4" t="n">
        <v>0.47</v>
      </c>
      <c r="N3" s="4">
        <f>(H3-I3)-(F3-G3)</f>
        <v/>
      </c>
      <c r="O3" s="4">
        <f>(H3+I3)-(F3+G3)</f>
        <v/>
      </c>
    </row>
    <row r="4">
      <c r="A4" s="3" t="inlineStr">
        <is>
          <t>2026-08-29</t>
        </is>
      </c>
      <c r="B4" s="3" t="inlineStr">
        <is>
          <t>Tranmere Rovers</t>
        </is>
      </c>
      <c r="C4" s="3" t="inlineStr">
        <is>
          <t>Home</t>
        </is>
      </c>
      <c r="D4" s="3" t="n">
        <v>2</v>
      </c>
      <c r="E4" s="3" t="n">
        <v>2</v>
      </c>
      <c r="F4" s="4" t="n">
        <v>1.27</v>
      </c>
      <c r="G4" s="4" t="n">
        <v>1.23</v>
      </c>
      <c r="H4" s="4" t="n">
        <v>1.06</v>
      </c>
      <c r="I4" s="4" t="n">
        <v>0.9399999999999999</v>
      </c>
      <c r="J4" s="4" t="n">
        <v>-0.21</v>
      </c>
      <c r="K4" s="4" t="n">
        <v>-0.29</v>
      </c>
      <c r="L4" s="4" t="n">
        <v>-0.18</v>
      </c>
      <c r="M4" s="4" t="n">
        <v>0.22</v>
      </c>
      <c r="N4" s="4">
        <f>(H4-I4)-(F4-G4)</f>
        <v/>
      </c>
      <c r="O4" s="4">
        <f>(H4+I4)-(F4+G4)</f>
        <v/>
      </c>
    </row>
    <row r="5">
      <c r="A5" s="3" t="inlineStr">
        <is>
          <t>2026-09-01</t>
        </is>
      </c>
      <c r="B5" s="3" t="inlineStr">
        <is>
          <t>Salford City</t>
        </is>
      </c>
      <c r="C5" s="3" t="inlineStr">
        <is>
          <t>Away</t>
        </is>
      </c>
      <c r="D5" s="3" t="n">
        <v>1</v>
      </c>
      <c r="E5" s="3" t="n">
        <v>2</v>
      </c>
      <c r="F5" s="4" t="n">
        <v>0.95</v>
      </c>
      <c r="G5" s="4" t="n">
        <v>2.08</v>
      </c>
      <c r="H5" s="4" t="n">
        <v>0.42</v>
      </c>
      <c r="I5" s="4" t="n">
        <v>2.28</v>
      </c>
      <c r="J5" s="4" t="n">
        <v>-0.53</v>
      </c>
      <c r="K5" s="4" t="n">
        <v>0.2</v>
      </c>
      <c r="L5" s="4" t="n">
        <v>-0.27</v>
      </c>
      <c r="M5" s="4" t="n">
        <v>0.21</v>
      </c>
      <c r="N5" s="4">
        <f>(H5-I5)-(F5-G5)</f>
        <v/>
      </c>
      <c r="O5" s="4">
        <f>(H5+I5)-(F5+G5)</f>
        <v/>
      </c>
    </row>
    <row r="6">
      <c r="A6" s="3" t="inlineStr">
        <is>
          <t>2026-09-05</t>
        </is>
      </c>
      <c r="B6" s="3" t="inlineStr">
        <is>
          <t>Northampton Town</t>
        </is>
      </c>
      <c r="C6" s="3" t="inlineStr">
        <is>
          <t>Away</t>
        </is>
      </c>
      <c r="D6" s="3" t="n">
        <v>0</v>
      </c>
      <c r="E6" s="3" t="n">
        <v>1</v>
      </c>
      <c r="F6" s="4" t="n">
        <v>0.91</v>
      </c>
      <c r="G6" s="4" t="n">
        <v>1.67</v>
      </c>
      <c r="H6" s="4" t="n">
        <v>0.32</v>
      </c>
      <c r="I6" s="4" t="n">
        <v>0.45</v>
      </c>
      <c r="J6" s="4" t="n">
        <v>-0.59</v>
      </c>
      <c r="K6" s="4" t="n">
        <v>-1.22</v>
      </c>
      <c r="L6" s="4" t="n">
        <v>-0.33</v>
      </c>
      <c r="M6" s="4" t="n">
        <v>-0.07000000000000001</v>
      </c>
      <c r="N6" s="4">
        <f>(H6-I6)-(F6-G6)</f>
        <v/>
      </c>
      <c r="O6" s="4">
        <f>(H6+I6)-(F6+G6)</f>
        <v/>
      </c>
    </row>
    <row r="7">
      <c r="A7" s="3" t="inlineStr">
        <is>
          <t>2026-09-12</t>
        </is>
      </c>
      <c r="B7" s="3" t="inlineStr">
        <is>
          <t>Fleetwood Town</t>
        </is>
      </c>
      <c r="C7" s="3" t="inlineStr">
        <is>
          <t>Home</t>
        </is>
      </c>
      <c r="D7" s="3" t="n">
        <v>1</v>
      </c>
      <c r="E7" s="3" t="n">
        <v>1</v>
      </c>
      <c r="F7" s="4" t="n">
        <v>1.16</v>
      </c>
      <c r="G7" s="4" t="n">
        <v>1.55</v>
      </c>
      <c r="H7" s="4" t="n">
        <v>2.64</v>
      </c>
      <c r="I7" s="4" t="n">
        <v>1.06</v>
      </c>
      <c r="J7" s="4" t="n">
        <v>1.48</v>
      </c>
      <c r="K7" s="4" t="n">
        <v>-0.49</v>
      </c>
      <c r="L7" s="4" t="n">
        <v>-0.03</v>
      </c>
      <c r="M7" s="4" t="n">
        <v>-0.14</v>
      </c>
      <c r="N7" s="4">
        <f>(H7-I7)-(F7-G7)</f>
        <v/>
      </c>
      <c r="O7" s="4">
        <f>(H7+I7)-(F7+G7)</f>
        <v/>
      </c>
    </row>
    <row r="9">
      <c r="A9" s="6" t="inlineStr">
        <is>
          <t>Season summary</t>
        </is>
      </c>
    </row>
    <row r="10">
      <c r="A10" s="3" t="inlineStr">
        <is>
          <t>Matches played</t>
        </is>
      </c>
      <c r="E10" s="7">
        <f>COUNTA(A2:A7)</f>
        <v/>
      </c>
    </row>
    <row r="11">
      <c r="A11" s="3" t="inlineStr">
        <is>
          <t>Total goals for</t>
        </is>
      </c>
      <c r="E11" s="7">
        <f>SUM(D2:D7)</f>
        <v/>
      </c>
    </row>
    <row r="12">
      <c r="A12" s="3" t="inlineStr">
        <is>
          <t>Total goals against</t>
        </is>
      </c>
      <c r="E12" s="7">
        <f>SUM(E2:E7)</f>
        <v/>
      </c>
    </row>
    <row r="13">
      <c r="A13" s="3" t="inlineStr">
        <is>
          <t>Avg xG Delta (For)</t>
        </is>
      </c>
      <c r="E13" s="8">
        <f>AVERAGE(J2:J7)</f>
        <v/>
      </c>
    </row>
    <row r="14">
      <c r="A14" s="3" t="inlineStr">
        <is>
          <t>Avg xG Delta (Against)</t>
        </is>
      </c>
      <c r="E14" s="8">
        <f>AVERAGE(K2:K7)</f>
        <v/>
      </c>
    </row>
    <row r="15">
      <c r="A15" s="3" t="inlineStr">
        <is>
          <t>Avg Supremacy Delta</t>
        </is>
      </c>
      <c r="E15" s="8">
        <f>AVERAGE(N2:N7)</f>
        <v/>
      </c>
    </row>
    <row r="16">
      <c r="A16" s="3" t="inlineStr">
        <is>
          <t>Avg Total xG Delta</t>
        </is>
      </c>
      <c r="E16" s="8">
        <f>AVERAGE(O2:O7)</f>
        <v/>
      </c>
    </row>
    <row r="17">
      <c r="A17" s="3" t="inlineStr">
        <is>
          <t>Current form (last 6, For)</t>
        </is>
      </c>
      <c r="E17" s="8">
        <f>L7</f>
        <v/>
      </c>
    </row>
    <row r="18">
      <c r="A18" s="3" t="inlineStr">
        <is>
          <t>Current form (last 6, Against)</t>
        </is>
      </c>
      <c r="E18" s="8">
        <f>M7</f>
        <v/>
      </c>
    </row>
  </sheetData>
  <mergeCells count="9">
    <mergeCell ref="A17:D17"/>
    <mergeCell ref="A18:D18"/>
    <mergeCell ref="A12:D12"/>
    <mergeCell ref="A15:D15"/>
    <mergeCell ref="A16:D16"/>
    <mergeCell ref="A11:D11"/>
    <mergeCell ref="A10:D10"/>
    <mergeCell ref="A13:D13"/>
    <mergeCell ref="A14:D14"/>
  </mergeCells>
  <conditionalFormatting sqref="J2:J7">
    <cfRule type="colorScale" priority="1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L2:L7">
    <cfRule type="colorScale" priority="2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N2:N7">
    <cfRule type="colorScale" priority="3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K2:K7">
    <cfRule type="colorScale" priority="4">
      <colorScale>
        <cfvo type="min"/>
        <cfvo type="percentile" val="50"/>
        <cfvo type="max"/>
        <color rgb="0063BE7B"/>
        <color rgb="00FFFFFF"/>
        <color rgb="00F8696B"/>
      </colorScale>
    </cfRule>
  </conditionalFormatting>
  <conditionalFormatting sqref="M2:M7">
    <cfRule type="colorScale" priority="5">
      <colorScale>
        <cfvo type="min"/>
        <cfvo type="percentile" val="5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O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6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</cols>
  <sheetData>
    <row r="1" ht="30" customHeight="1">
      <c r="A1" s="1" t="inlineStr">
        <is>
          <t>Date</t>
        </is>
      </c>
      <c r="B1" s="1" t="inlineStr">
        <is>
          <t>Opponent</t>
        </is>
      </c>
      <c r="C1" s="1" t="inlineStr">
        <is>
          <t>Venue</t>
        </is>
      </c>
      <c r="D1" s="1" t="inlineStr">
        <is>
          <t>Goals For</t>
        </is>
      </c>
      <c r="E1" s="1" t="inlineStr">
        <is>
          <t>Goals Against</t>
        </is>
      </c>
      <c r="F1" s="1" t="inlineStr">
        <is>
          <t>xG Pre-Match (For)</t>
        </is>
      </c>
      <c r="G1" s="1" t="inlineStr">
        <is>
          <t>xG Pre-Match (Against)</t>
        </is>
      </c>
      <c r="H1" s="1" t="inlineStr">
        <is>
          <t>xG Actual (For)</t>
        </is>
      </c>
      <c r="I1" s="1" t="inlineStr">
        <is>
          <t>xG Actual (Against)</t>
        </is>
      </c>
      <c r="J1" s="1" t="inlineStr">
        <is>
          <t>xG Delta (For)</t>
        </is>
      </c>
      <c r="K1" s="1" t="inlineStr">
        <is>
          <t>xG Delta (Against)</t>
        </is>
      </c>
      <c r="L1" s="1" t="inlineStr">
        <is>
          <t>Rolling Delta (For)</t>
        </is>
      </c>
      <c r="M1" s="1" t="inlineStr">
        <is>
          <t>Rolling Delta (Against)</t>
        </is>
      </c>
      <c r="N1" s="1" t="inlineStr">
        <is>
          <t>Supremacy Delta</t>
        </is>
      </c>
      <c r="O1" s="1" t="inlineStr">
        <is>
          <t>Match Total xG Delta</t>
        </is>
      </c>
    </row>
    <row r="2">
      <c r="A2" s="3" t="inlineStr">
        <is>
          <t>2026-08-15</t>
        </is>
      </c>
      <c r="B2" s="3" t="inlineStr">
        <is>
          <t>Swindon Town</t>
        </is>
      </c>
      <c r="C2" s="3" t="inlineStr">
        <is>
          <t>Home</t>
        </is>
      </c>
      <c r="D2" s="3" t="n">
        <v>0</v>
      </c>
      <c r="E2" s="3" t="n">
        <v>0</v>
      </c>
      <c r="F2" s="4" t="n">
        <v>1.51</v>
      </c>
      <c r="G2" s="4" t="n">
        <v>1.14</v>
      </c>
      <c r="H2" s="4" t="n">
        <v>0.76</v>
      </c>
      <c r="I2" s="4" t="n">
        <v>0.2</v>
      </c>
      <c r="J2" s="4" t="n">
        <v>-0.75</v>
      </c>
      <c r="K2" s="4" t="n">
        <v>-0.9399999999999999</v>
      </c>
      <c r="L2" s="4" t="n">
        <v>-0.75</v>
      </c>
      <c r="M2" s="4" t="n">
        <v>-0.9399999999999999</v>
      </c>
      <c r="N2" s="4">
        <f>(H2-I2)-(F2-G2)</f>
        <v/>
      </c>
      <c r="O2" s="4">
        <f>(H2+I2)-(F2+G2)</f>
        <v/>
      </c>
    </row>
    <row r="3">
      <c r="A3" s="3" t="inlineStr">
        <is>
          <t>2026-08-22</t>
        </is>
      </c>
      <c r="B3" s="3" t="inlineStr">
        <is>
          <t>Crewe Alexandra</t>
        </is>
      </c>
      <c r="C3" s="3" t="inlineStr">
        <is>
          <t>Away</t>
        </is>
      </c>
      <c r="D3" s="3" t="n">
        <v>0</v>
      </c>
      <c r="E3" s="3" t="n">
        <v>1</v>
      </c>
      <c r="F3" s="4" t="n">
        <v>1.13</v>
      </c>
      <c r="G3" s="4" t="n">
        <v>1.46</v>
      </c>
      <c r="H3" s="4" t="n">
        <v>0.77</v>
      </c>
      <c r="I3" s="4" t="n">
        <v>0.48</v>
      </c>
      <c r="J3" s="4" t="n">
        <v>-0.36</v>
      </c>
      <c r="K3" s="4" t="n">
        <v>-0.98</v>
      </c>
      <c r="L3" s="4" t="n">
        <v>-0.5600000000000001</v>
      </c>
      <c r="M3" s="4" t="n">
        <v>-0.96</v>
      </c>
      <c r="N3" s="4">
        <f>(H3-I3)-(F3-G3)</f>
        <v/>
      </c>
      <c r="O3" s="4">
        <f>(H3+I3)-(F3+G3)</f>
        <v/>
      </c>
    </row>
    <row r="4">
      <c r="A4" s="3" t="inlineStr">
        <is>
          <t>2026-08-29</t>
        </is>
      </c>
      <c r="B4" s="3" t="inlineStr">
        <is>
          <t>Gillingham</t>
        </is>
      </c>
      <c r="C4" s="3" t="inlineStr">
        <is>
          <t>Away</t>
        </is>
      </c>
      <c r="D4" s="3" t="n">
        <v>1</v>
      </c>
      <c r="E4" s="3" t="n">
        <v>1</v>
      </c>
      <c r="F4" s="4" t="n">
        <v>1.26</v>
      </c>
      <c r="G4" s="4" t="n">
        <v>1.32</v>
      </c>
      <c r="H4" s="4" t="n">
        <v>0.35</v>
      </c>
      <c r="I4" s="4" t="n">
        <v>0.89</v>
      </c>
      <c r="J4" s="4" t="n">
        <v>-0.91</v>
      </c>
      <c r="K4" s="4" t="n">
        <v>-0.43</v>
      </c>
      <c r="L4" s="4" t="n">
        <v>-0.67</v>
      </c>
      <c r="M4" s="4" t="n">
        <v>-0.78</v>
      </c>
      <c r="N4" s="4">
        <f>(H4-I4)-(F4-G4)</f>
        <v/>
      </c>
      <c r="O4" s="4">
        <f>(H4+I4)-(F4+G4)</f>
        <v/>
      </c>
    </row>
    <row r="5">
      <c r="A5" s="3" t="inlineStr">
        <is>
          <t>2026-09-01</t>
        </is>
      </c>
      <c r="B5" s="3" t="inlineStr">
        <is>
          <t>Crawley Town</t>
        </is>
      </c>
      <c r="C5" s="3" t="inlineStr">
        <is>
          <t>Home</t>
        </is>
      </c>
      <c r="D5" s="3" t="n">
        <v>1</v>
      </c>
      <c r="E5" s="3" t="n">
        <v>1</v>
      </c>
      <c r="F5" s="4" t="n">
        <v>1.76</v>
      </c>
      <c r="G5" s="4" t="n">
        <v>0.99</v>
      </c>
      <c r="H5" s="4" t="n">
        <v>0.55</v>
      </c>
      <c r="I5" s="4" t="n">
        <v>2.62</v>
      </c>
      <c r="J5" s="4" t="n">
        <v>-1.21</v>
      </c>
      <c r="K5" s="4" t="n">
        <v>1.63</v>
      </c>
      <c r="L5" s="4" t="n">
        <v>-0.8100000000000001</v>
      </c>
      <c r="M5" s="4" t="n">
        <v>-0.18</v>
      </c>
      <c r="N5" s="4">
        <f>(H5-I5)-(F5-G5)</f>
        <v/>
      </c>
      <c r="O5" s="4">
        <f>(H5+I5)-(F5+G5)</f>
        <v/>
      </c>
    </row>
    <row r="6">
      <c r="A6" s="3" t="inlineStr">
        <is>
          <t>2026-09-05</t>
        </is>
      </c>
      <c r="B6" s="3" t="inlineStr">
        <is>
          <t>Newport County</t>
        </is>
      </c>
      <c r="C6" s="3" t="inlineStr">
        <is>
          <t>Home</t>
        </is>
      </c>
      <c r="D6" s="3" t="n">
        <v>1</v>
      </c>
      <c r="E6" s="3" t="n">
        <v>0</v>
      </c>
      <c r="F6" s="4" t="n">
        <v>1.67</v>
      </c>
      <c r="G6" s="4" t="n">
        <v>0.91</v>
      </c>
      <c r="H6" s="4" t="n">
        <v>0.45</v>
      </c>
      <c r="I6" s="4" t="n">
        <v>0.32</v>
      </c>
      <c r="J6" s="4" t="n">
        <v>-1.22</v>
      </c>
      <c r="K6" s="4" t="n">
        <v>-0.59</v>
      </c>
      <c r="L6" s="4" t="n">
        <v>-0.89</v>
      </c>
      <c r="M6" s="4" t="n">
        <v>-0.26</v>
      </c>
      <c r="N6" s="4">
        <f>(H6-I6)-(F6-G6)</f>
        <v/>
      </c>
      <c r="O6" s="4">
        <f>(H6+I6)-(F6+G6)</f>
        <v/>
      </c>
    </row>
    <row r="7">
      <c r="A7" s="3" t="inlineStr">
        <is>
          <t>2026-09-12</t>
        </is>
      </c>
      <c r="B7" s="3" t="inlineStr">
        <is>
          <t>Shrewsbury Town</t>
        </is>
      </c>
      <c r="C7" s="3" t="inlineStr">
        <is>
          <t>Away</t>
        </is>
      </c>
      <c r="D7" s="3" t="n">
        <v>0</v>
      </c>
      <c r="E7" s="3" t="n">
        <v>2</v>
      </c>
      <c r="F7" s="4" t="n">
        <v>1.17</v>
      </c>
      <c r="G7" s="4" t="n">
        <v>1.2</v>
      </c>
      <c r="H7" s="4" t="n">
        <v>0.5</v>
      </c>
      <c r="I7" s="4" t="n">
        <v>0.87</v>
      </c>
      <c r="J7" s="4" t="n">
        <v>-0.67</v>
      </c>
      <c r="K7" s="4" t="n">
        <v>-0.33</v>
      </c>
      <c r="L7" s="4" t="n">
        <v>-0.85</v>
      </c>
      <c r="M7" s="4" t="n">
        <v>-0.27</v>
      </c>
      <c r="N7" s="4">
        <f>(H7-I7)-(F7-G7)</f>
        <v/>
      </c>
      <c r="O7" s="4">
        <f>(H7+I7)-(F7+G7)</f>
        <v/>
      </c>
    </row>
    <row r="9">
      <c r="A9" s="6" t="inlineStr">
        <is>
          <t>Season summary</t>
        </is>
      </c>
    </row>
    <row r="10">
      <c r="A10" s="3" t="inlineStr">
        <is>
          <t>Matches played</t>
        </is>
      </c>
      <c r="E10" s="7">
        <f>COUNTA(A2:A7)</f>
        <v/>
      </c>
    </row>
    <row r="11">
      <c r="A11" s="3" t="inlineStr">
        <is>
          <t>Total goals for</t>
        </is>
      </c>
      <c r="E11" s="7">
        <f>SUM(D2:D7)</f>
        <v/>
      </c>
    </row>
    <row r="12">
      <c r="A12" s="3" t="inlineStr">
        <is>
          <t>Total goals against</t>
        </is>
      </c>
      <c r="E12" s="7">
        <f>SUM(E2:E7)</f>
        <v/>
      </c>
    </row>
    <row r="13">
      <c r="A13" s="3" t="inlineStr">
        <is>
          <t>Avg xG Delta (For)</t>
        </is>
      </c>
      <c r="E13" s="8">
        <f>AVERAGE(J2:J7)</f>
        <v/>
      </c>
    </row>
    <row r="14">
      <c r="A14" s="3" t="inlineStr">
        <is>
          <t>Avg xG Delta (Against)</t>
        </is>
      </c>
      <c r="E14" s="8">
        <f>AVERAGE(K2:K7)</f>
        <v/>
      </c>
    </row>
    <row r="15">
      <c r="A15" s="3" t="inlineStr">
        <is>
          <t>Avg Supremacy Delta</t>
        </is>
      </c>
      <c r="E15" s="8">
        <f>AVERAGE(N2:N7)</f>
        <v/>
      </c>
    </row>
    <row r="16">
      <c r="A16" s="3" t="inlineStr">
        <is>
          <t>Avg Total xG Delta</t>
        </is>
      </c>
      <c r="E16" s="8">
        <f>AVERAGE(O2:O7)</f>
        <v/>
      </c>
    </row>
    <row r="17">
      <c r="A17" s="3" t="inlineStr">
        <is>
          <t>Current form (last 6, For)</t>
        </is>
      </c>
      <c r="E17" s="8">
        <f>L7</f>
        <v/>
      </c>
    </row>
    <row r="18">
      <c r="A18" s="3" t="inlineStr">
        <is>
          <t>Current form (last 6, Against)</t>
        </is>
      </c>
      <c r="E18" s="8">
        <f>M7</f>
        <v/>
      </c>
    </row>
  </sheetData>
  <mergeCells count="9">
    <mergeCell ref="A17:D17"/>
    <mergeCell ref="A18:D18"/>
    <mergeCell ref="A12:D12"/>
    <mergeCell ref="A15:D15"/>
    <mergeCell ref="A16:D16"/>
    <mergeCell ref="A11:D11"/>
    <mergeCell ref="A10:D10"/>
    <mergeCell ref="A13:D13"/>
    <mergeCell ref="A14:D14"/>
  </mergeCells>
  <conditionalFormatting sqref="J2:J7">
    <cfRule type="colorScale" priority="1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L2:L7">
    <cfRule type="colorScale" priority="2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N2:N7">
    <cfRule type="colorScale" priority="3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K2:K7">
    <cfRule type="colorScale" priority="4">
      <colorScale>
        <cfvo type="min"/>
        <cfvo type="percentile" val="50"/>
        <cfvo type="max"/>
        <color rgb="0063BE7B"/>
        <color rgb="00FFFFFF"/>
        <color rgb="00F8696B"/>
      </colorScale>
    </cfRule>
  </conditionalFormatting>
  <conditionalFormatting sqref="M2:M7">
    <cfRule type="colorScale" priority="5">
      <colorScale>
        <cfvo type="min"/>
        <cfvo type="percentile" val="5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O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</cols>
  <sheetData>
    <row r="1" ht="30" customHeight="1">
      <c r="A1" s="1" t="inlineStr">
        <is>
          <t>Date</t>
        </is>
      </c>
      <c r="B1" s="1" t="inlineStr">
        <is>
          <t>Opponent</t>
        </is>
      </c>
      <c r="C1" s="1" t="inlineStr">
        <is>
          <t>Venue</t>
        </is>
      </c>
      <c r="D1" s="1" t="inlineStr">
        <is>
          <t>Goals For</t>
        </is>
      </c>
      <c r="E1" s="1" t="inlineStr">
        <is>
          <t>Goals Against</t>
        </is>
      </c>
      <c r="F1" s="1" t="inlineStr">
        <is>
          <t>xG Pre-Match (For)</t>
        </is>
      </c>
      <c r="G1" s="1" t="inlineStr">
        <is>
          <t>xG Pre-Match (Against)</t>
        </is>
      </c>
      <c r="H1" s="1" t="inlineStr">
        <is>
          <t>xG Actual (For)</t>
        </is>
      </c>
      <c r="I1" s="1" t="inlineStr">
        <is>
          <t>xG Actual (Against)</t>
        </is>
      </c>
      <c r="J1" s="1" t="inlineStr">
        <is>
          <t>xG Delta (For)</t>
        </is>
      </c>
      <c r="K1" s="1" t="inlineStr">
        <is>
          <t>xG Delta (Against)</t>
        </is>
      </c>
      <c r="L1" s="1" t="inlineStr">
        <is>
          <t>Rolling Delta (For)</t>
        </is>
      </c>
      <c r="M1" s="1" t="inlineStr">
        <is>
          <t>Rolling Delta (Against)</t>
        </is>
      </c>
      <c r="N1" s="1" t="inlineStr">
        <is>
          <t>Supremacy Delta</t>
        </is>
      </c>
      <c r="O1" s="1" t="inlineStr">
        <is>
          <t>Match Total xG Delta</t>
        </is>
      </c>
    </row>
    <row r="2">
      <c r="A2" s="3" t="inlineStr">
        <is>
          <t>2026-08-15</t>
        </is>
      </c>
      <c r="B2" s="3" t="inlineStr">
        <is>
          <t>Port Vale</t>
        </is>
      </c>
      <c r="C2" s="3" t="inlineStr">
        <is>
          <t>Home</t>
        </is>
      </c>
      <c r="D2" s="3" t="n">
        <v>2</v>
      </c>
      <c r="E2" s="3" t="n">
        <v>0</v>
      </c>
      <c r="F2" s="4" t="n">
        <v>1.28</v>
      </c>
      <c r="G2" s="4" t="n">
        <v>1.23</v>
      </c>
      <c r="H2" s="4" t="n">
        <v>1.43</v>
      </c>
      <c r="I2" s="4" t="n">
        <v>0.51</v>
      </c>
      <c r="J2" s="4" t="n">
        <v>0.15</v>
      </c>
      <c r="K2" s="4" t="n">
        <v>-0.72</v>
      </c>
      <c r="L2" s="4" t="n">
        <v>0.15</v>
      </c>
      <c r="M2" s="4" t="n">
        <v>-0.72</v>
      </c>
      <c r="N2" s="4">
        <f>(H2-I2)-(F2-G2)</f>
        <v/>
      </c>
      <c r="O2" s="4">
        <f>(H2+I2)-(F2+G2)</f>
        <v/>
      </c>
    </row>
    <row r="3">
      <c r="A3" s="3" t="inlineStr">
        <is>
          <t>2026-08-22</t>
        </is>
      </c>
      <c r="B3" s="3" t="inlineStr">
        <is>
          <t>Colchester United</t>
        </is>
      </c>
      <c r="C3" s="3" t="inlineStr">
        <is>
          <t>Away</t>
        </is>
      </c>
      <c r="D3" s="3" t="n">
        <v>1</v>
      </c>
      <c r="E3" s="3" t="n">
        <v>2</v>
      </c>
      <c r="F3" s="4" t="n">
        <v>1.3</v>
      </c>
      <c r="G3" s="4" t="n">
        <v>1.38</v>
      </c>
      <c r="H3" s="4" t="n">
        <v>0.27</v>
      </c>
      <c r="I3" s="4" t="n">
        <v>2.37</v>
      </c>
      <c r="J3" s="4" t="n">
        <v>-1.03</v>
      </c>
      <c r="K3" s="4" t="n">
        <v>0.99</v>
      </c>
      <c r="L3" s="4" t="n">
        <v>-0.44</v>
      </c>
      <c r="M3" s="4" t="n">
        <v>0.13</v>
      </c>
      <c r="N3" s="4">
        <f>(H3-I3)-(F3-G3)</f>
        <v/>
      </c>
      <c r="O3" s="4">
        <f>(H3+I3)-(F3+G3)</f>
        <v/>
      </c>
    </row>
    <row r="4">
      <c r="A4" s="3" t="inlineStr">
        <is>
          <t>2026-08-29</t>
        </is>
      </c>
      <c r="B4" s="3" t="inlineStr">
        <is>
          <t>Swindon Town</t>
        </is>
      </c>
      <c r="C4" s="3" t="inlineStr">
        <is>
          <t>Home</t>
        </is>
      </c>
      <c r="D4" s="3" t="n">
        <v>3</v>
      </c>
      <c r="E4" s="3" t="n">
        <v>0</v>
      </c>
      <c r="F4" s="4" t="n">
        <v>1.59</v>
      </c>
      <c r="G4" s="4" t="n">
        <v>1.09</v>
      </c>
      <c r="H4" s="4" t="n">
        <v>2.73</v>
      </c>
      <c r="I4" s="4" t="n">
        <v>0.07000000000000001</v>
      </c>
      <c r="J4" s="4" t="n">
        <v>1.14</v>
      </c>
      <c r="K4" s="4" t="n">
        <v>-1.02</v>
      </c>
      <c r="L4" s="4" t="n">
        <v>0.08</v>
      </c>
      <c r="M4" s="4" t="n">
        <v>-0.25</v>
      </c>
      <c r="N4" s="4">
        <f>(H4-I4)-(F4-G4)</f>
        <v/>
      </c>
      <c r="O4" s="4">
        <f>(H4+I4)-(F4+G4)</f>
        <v/>
      </c>
    </row>
    <row r="5">
      <c r="A5" s="3" t="inlineStr">
        <is>
          <t>2026-09-01</t>
        </is>
      </c>
      <c r="B5" s="3" t="inlineStr">
        <is>
          <t>Fleetwood Town</t>
        </is>
      </c>
      <c r="C5" s="3" t="inlineStr">
        <is>
          <t>Away</t>
        </is>
      </c>
      <c r="D5" s="3" t="n">
        <v>1</v>
      </c>
      <c r="E5" s="3" t="n">
        <v>1</v>
      </c>
      <c r="F5" s="4" t="n">
        <v>1.3</v>
      </c>
      <c r="G5" s="4" t="n">
        <v>1.31</v>
      </c>
      <c r="H5" s="4" t="n">
        <v>1.42</v>
      </c>
      <c r="I5" s="4" t="n">
        <v>0.84</v>
      </c>
      <c r="J5" s="4" t="n">
        <v>0.12</v>
      </c>
      <c r="K5" s="4" t="n">
        <v>-0.47</v>
      </c>
      <c r="L5" s="4" t="n">
        <v>0.09</v>
      </c>
      <c r="M5" s="4" t="n">
        <v>-0.31</v>
      </c>
      <c r="N5" s="4">
        <f>(H5-I5)-(F5-G5)</f>
        <v/>
      </c>
      <c r="O5" s="4">
        <f>(H5+I5)-(F5+G5)</f>
        <v/>
      </c>
    </row>
    <row r="6">
      <c r="A6" s="3" t="inlineStr">
        <is>
          <t>2026-09-05</t>
        </is>
      </c>
      <c r="B6" s="3" t="inlineStr">
        <is>
          <t>Tranmere Rovers</t>
        </is>
      </c>
      <c r="C6" s="3" t="inlineStr">
        <is>
          <t>Away</t>
        </is>
      </c>
      <c r="D6" s="3" t="n">
        <v>0</v>
      </c>
      <c r="E6" s="3" t="n">
        <v>2</v>
      </c>
      <c r="F6" s="4" t="n">
        <v>1.41</v>
      </c>
      <c r="G6" s="4" t="n">
        <v>1.15</v>
      </c>
      <c r="H6" s="4" t="n">
        <v>1.94</v>
      </c>
      <c r="I6" s="4" t="n">
        <v>1.96</v>
      </c>
      <c r="J6" s="4" t="n">
        <v>0.53</v>
      </c>
      <c r="K6" s="4" t="n">
        <v>0.8100000000000001</v>
      </c>
      <c r="L6" s="4" t="n">
        <v>0.18</v>
      </c>
      <c r="M6" s="4" t="n">
        <v>-0.08</v>
      </c>
      <c r="N6" s="4">
        <f>(H6-I6)-(F6-G6)</f>
        <v/>
      </c>
      <c r="O6" s="4">
        <f>(H6+I6)-(F6+G6)</f>
        <v/>
      </c>
    </row>
    <row r="7">
      <c r="A7" s="3" t="inlineStr">
        <is>
          <t>2026-09-12</t>
        </is>
      </c>
      <c r="B7" s="3" t="inlineStr">
        <is>
          <t>Chesterfield</t>
        </is>
      </c>
      <c r="C7" s="3" t="inlineStr">
        <is>
          <t>Home</t>
        </is>
      </c>
      <c r="D7" s="3" t="n">
        <v>1</v>
      </c>
      <c r="E7" s="3" t="n">
        <v>2</v>
      </c>
      <c r="F7" s="4" t="n">
        <v>1.49</v>
      </c>
      <c r="G7" s="4" t="n">
        <v>1.17</v>
      </c>
      <c r="H7" s="4" t="n">
        <v>1.08</v>
      </c>
      <c r="I7" s="4" t="n">
        <v>2.24</v>
      </c>
      <c r="J7" s="4" t="n">
        <v>-0.41</v>
      </c>
      <c r="K7" s="4" t="n">
        <v>1.07</v>
      </c>
      <c r="L7" s="4" t="n">
        <v>0.08</v>
      </c>
      <c r="M7" s="4" t="n">
        <v>0.11</v>
      </c>
      <c r="N7" s="4">
        <f>(H7-I7)-(F7-G7)</f>
        <v/>
      </c>
      <c r="O7" s="4">
        <f>(H7+I7)-(F7+G7)</f>
        <v/>
      </c>
    </row>
    <row r="9">
      <c r="A9" s="6" t="inlineStr">
        <is>
          <t>Season summary</t>
        </is>
      </c>
    </row>
    <row r="10">
      <c r="A10" s="3" t="inlineStr">
        <is>
          <t>Matches played</t>
        </is>
      </c>
      <c r="E10" s="7">
        <f>COUNTA(A2:A7)</f>
        <v/>
      </c>
    </row>
    <row r="11">
      <c r="A11" s="3" t="inlineStr">
        <is>
          <t>Total goals for</t>
        </is>
      </c>
      <c r="E11" s="7">
        <f>SUM(D2:D7)</f>
        <v/>
      </c>
    </row>
    <row r="12">
      <c r="A12" s="3" t="inlineStr">
        <is>
          <t>Total goals against</t>
        </is>
      </c>
      <c r="E12" s="7">
        <f>SUM(E2:E7)</f>
        <v/>
      </c>
    </row>
    <row r="13">
      <c r="A13" s="3" t="inlineStr">
        <is>
          <t>Avg xG Delta (For)</t>
        </is>
      </c>
      <c r="E13" s="8">
        <f>AVERAGE(J2:J7)</f>
        <v/>
      </c>
    </row>
    <row r="14">
      <c r="A14" s="3" t="inlineStr">
        <is>
          <t>Avg xG Delta (Against)</t>
        </is>
      </c>
      <c r="E14" s="8">
        <f>AVERAGE(K2:K7)</f>
        <v/>
      </c>
    </row>
    <row r="15">
      <c r="A15" s="3" t="inlineStr">
        <is>
          <t>Avg Supremacy Delta</t>
        </is>
      </c>
      <c r="E15" s="8">
        <f>AVERAGE(N2:N7)</f>
        <v/>
      </c>
    </row>
    <row r="16">
      <c r="A16" s="3" t="inlineStr">
        <is>
          <t>Avg Total xG Delta</t>
        </is>
      </c>
      <c r="E16" s="8">
        <f>AVERAGE(O2:O7)</f>
        <v/>
      </c>
    </row>
    <row r="17">
      <c r="A17" s="3" t="inlineStr">
        <is>
          <t>Current form (last 6, For)</t>
        </is>
      </c>
      <c r="E17" s="8">
        <f>L7</f>
        <v/>
      </c>
    </row>
    <row r="18">
      <c r="A18" s="3" t="inlineStr">
        <is>
          <t>Current form (last 6, Against)</t>
        </is>
      </c>
      <c r="E18" s="8">
        <f>M7</f>
        <v/>
      </c>
    </row>
  </sheetData>
  <mergeCells count="9">
    <mergeCell ref="A17:D17"/>
    <mergeCell ref="A18:D18"/>
    <mergeCell ref="A12:D12"/>
    <mergeCell ref="A15:D15"/>
    <mergeCell ref="A16:D16"/>
    <mergeCell ref="A11:D11"/>
    <mergeCell ref="A10:D10"/>
    <mergeCell ref="A13:D13"/>
    <mergeCell ref="A14:D14"/>
  </mergeCells>
  <conditionalFormatting sqref="J2:J7">
    <cfRule type="colorScale" priority="1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L2:L7">
    <cfRule type="colorScale" priority="2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N2:N7">
    <cfRule type="colorScale" priority="3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K2:K7">
    <cfRule type="colorScale" priority="4">
      <colorScale>
        <cfvo type="min"/>
        <cfvo type="percentile" val="50"/>
        <cfvo type="max"/>
        <color rgb="0063BE7B"/>
        <color rgb="00FFFFFF"/>
        <color rgb="00F8696B"/>
      </colorScale>
    </cfRule>
  </conditionalFormatting>
  <conditionalFormatting sqref="M2:M7">
    <cfRule type="colorScale" priority="5">
      <colorScale>
        <cfvo type="min"/>
        <cfvo type="percentile" val="5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O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6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</cols>
  <sheetData>
    <row r="1" ht="30" customHeight="1">
      <c r="A1" s="1" t="inlineStr">
        <is>
          <t>Date</t>
        </is>
      </c>
      <c r="B1" s="1" t="inlineStr">
        <is>
          <t>Opponent</t>
        </is>
      </c>
      <c r="C1" s="1" t="inlineStr">
        <is>
          <t>Venue</t>
        </is>
      </c>
      <c r="D1" s="1" t="inlineStr">
        <is>
          <t>Goals For</t>
        </is>
      </c>
      <c r="E1" s="1" t="inlineStr">
        <is>
          <t>Goals Against</t>
        </is>
      </c>
      <c r="F1" s="1" t="inlineStr">
        <is>
          <t>xG Pre-Match (For)</t>
        </is>
      </c>
      <c r="G1" s="1" t="inlineStr">
        <is>
          <t>xG Pre-Match (Against)</t>
        </is>
      </c>
      <c r="H1" s="1" t="inlineStr">
        <is>
          <t>xG Actual (For)</t>
        </is>
      </c>
      <c r="I1" s="1" t="inlineStr">
        <is>
          <t>xG Actual (Against)</t>
        </is>
      </c>
      <c r="J1" s="1" t="inlineStr">
        <is>
          <t>xG Delta (For)</t>
        </is>
      </c>
      <c r="K1" s="1" t="inlineStr">
        <is>
          <t>xG Delta (Against)</t>
        </is>
      </c>
      <c r="L1" s="1" t="inlineStr">
        <is>
          <t>Rolling Delta (For)</t>
        </is>
      </c>
      <c r="M1" s="1" t="inlineStr">
        <is>
          <t>Rolling Delta (Against)</t>
        </is>
      </c>
      <c r="N1" s="1" t="inlineStr">
        <is>
          <t>Supremacy Delta</t>
        </is>
      </c>
      <c r="O1" s="1" t="inlineStr">
        <is>
          <t>Match Total xG Delta</t>
        </is>
      </c>
    </row>
    <row r="2">
      <c r="A2" s="3" t="inlineStr">
        <is>
          <t>2026-08-15</t>
        </is>
      </c>
      <c r="B2" s="3" t="inlineStr">
        <is>
          <t>Oldham Athletic</t>
        </is>
      </c>
      <c r="C2" s="3" t="inlineStr">
        <is>
          <t>Away</t>
        </is>
      </c>
      <c r="D2" s="3" t="n">
        <v>0</v>
      </c>
      <c r="E2" s="3" t="n">
        <v>2</v>
      </c>
      <c r="F2" s="4" t="n">
        <v>1.23</v>
      </c>
      <c r="G2" s="4" t="n">
        <v>1.28</v>
      </c>
      <c r="H2" s="4" t="n">
        <v>0.51</v>
      </c>
      <c r="I2" s="4" t="n">
        <v>1.43</v>
      </c>
      <c r="J2" s="4" t="n">
        <v>-0.72</v>
      </c>
      <c r="K2" s="4" t="n">
        <v>0.15</v>
      </c>
      <c r="L2" s="4" t="n">
        <v>-0.72</v>
      </c>
      <c r="M2" s="4" t="n">
        <v>0.15</v>
      </c>
      <c r="N2" s="4">
        <f>(H2-I2)-(F2-G2)</f>
        <v/>
      </c>
      <c r="O2" s="4">
        <f>(H2+I2)-(F2+G2)</f>
        <v/>
      </c>
    </row>
    <row r="3">
      <c r="A3" s="3" t="inlineStr">
        <is>
          <t>2026-08-22</t>
        </is>
      </c>
      <c r="B3" s="3" t="inlineStr">
        <is>
          <t>Tranmere Rovers</t>
        </is>
      </c>
      <c r="C3" s="3" t="inlineStr">
        <is>
          <t>Home</t>
        </is>
      </c>
      <c r="D3" s="3" t="n">
        <v>1</v>
      </c>
      <c r="E3" s="3" t="n">
        <v>1</v>
      </c>
      <c r="F3" s="4" t="n">
        <v>1.64</v>
      </c>
      <c r="G3" s="4" t="n">
        <v>0.87</v>
      </c>
      <c r="H3" s="4" t="n">
        <v>1.79</v>
      </c>
      <c r="I3" s="4" t="n">
        <v>0.71</v>
      </c>
      <c r="J3" s="4" t="n">
        <v>0.15</v>
      </c>
      <c r="K3" s="4" t="n">
        <v>-0.16</v>
      </c>
      <c r="L3" s="4" t="n">
        <v>-0.29</v>
      </c>
      <c r="M3" s="4" t="n">
        <v>-0.01</v>
      </c>
      <c r="N3" s="4">
        <f>(H3-I3)-(F3-G3)</f>
        <v/>
      </c>
      <c r="O3" s="4">
        <f>(H3+I3)-(F3+G3)</f>
        <v/>
      </c>
    </row>
    <row r="4">
      <c r="A4" s="3" t="inlineStr">
        <is>
          <t>2026-08-29</t>
        </is>
      </c>
      <c r="B4" s="3" t="inlineStr">
        <is>
          <t>Crewe Alexandra</t>
        </is>
      </c>
      <c r="C4" s="3" t="inlineStr">
        <is>
          <t>Home</t>
        </is>
      </c>
      <c r="D4" s="3" t="n">
        <v>0</v>
      </c>
      <c r="E4" s="3" t="n">
        <v>0</v>
      </c>
      <c r="F4" s="4" t="n">
        <v>1.49</v>
      </c>
      <c r="G4" s="4" t="n">
        <v>1.19</v>
      </c>
      <c r="H4" s="4" t="n">
        <v>1.06</v>
      </c>
      <c r="I4" s="4" t="n">
        <v>1.18</v>
      </c>
      <c r="J4" s="4" t="n">
        <v>-0.43</v>
      </c>
      <c r="K4" s="4" t="n">
        <v>-0.01</v>
      </c>
      <c r="L4" s="4" t="n">
        <v>-0.34</v>
      </c>
      <c r="M4" s="4" t="n">
        <v>-0.01</v>
      </c>
      <c r="N4" s="4">
        <f>(H4-I4)-(F4-G4)</f>
        <v/>
      </c>
      <c r="O4" s="4">
        <f>(H4+I4)-(F4+G4)</f>
        <v/>
      </c>
    </row>
    <row r="5">
      <c r="A5" s="3" t="inlineStr">
        <is>
          <t>2026-09-01</t>
        </is>
      </c>
      <c r="B5" s="3" t="inlineStr">
        <is>
          <t>Swindon Town</t>
        </is>
      </c>
      <c r="C5" s="3" t="inlineStr">
        <is>
          <t>Away</t>
        </is>
      </c>
      <c r="D5" s="3" t="n">
        <v>1</v>
      </c>
      <c r="E5" s="3" t="n">
        <v>3</v>
      </c>
      <c r="F5" s="4" t="n">
        <v>1.56</v>
      </c>
      <c r="G5" s="4" t="n">
        <v>1.2</v>
      </c>
      <c r="H5" s="4" t="n">
        <v>1.03</v>
      </c>
      <c r="I5" s="4" t="n">
        <v>2.49</v>
      </c>
      <c r="J5" s="4" t="n">
        <v>-0.53</v>
      </c>
      <c r="K5" s="4" t="n">
        <v>1.29</v>
      </c>
      <c r="L5" s="4" t="n">
        <v>-0.38</v>
      </c>
      <c r="M5" s="4" t="n">
        <v>0.32</v>
      </c>
      <c r="N5" s="4">
        <f>(H5-I5)-(F5-G5)</f>
        <v/>
      </c>
      <c r="O5" s="4">
        <f>(H5+I5)-(F5+G5)</f>
        <v/>
      </c>
    </row>
    <row r="6">
      <c r="A6" s="3" t="inlineStr">
        <is>
          <t>2026-09-05</t>
        </is>
      </c>
      <c r="B6" s="3" t="inlineStr">
        <is>
          <t>Salford City</t>
        </is>
      </c>
      <c r="C6" s="3" t="inlineStr">
        <is>
          <t>Away</t>
        </is>
      </c>
      <c r="D6" s="3" t="n">
        <v>0</v>
      </c>
      <c r="E6" s="3" t="n">
        <v>1</v>
      </c>
      <c r="F6" s="4" t="n">
        <v>1.03</v>
      </c>
      <c r="G6" s="4" t="n">
        <v>1.64</v>
      </c>
      <c r="H6" s="4" t="n">
        <v>0.68</v>
      </c>
      <c r="I6" s="4" t="n">
        <v>0.32</v>
      </c>
      <c r="J6" s="4" t="n">
        <v>-0.35</v>
      </c>
      <c r="K6" s="4" t="n">
        <v>-1.32</v>
      </c>
      <c r="L6" s="4" t="n">
        <v>-0.38</v>
      </c>
      <c r="M6" s="4" t="n">
        <v>-0.01</v>
      </c>
      <c r="N6" s="4">
        <f>(H6-I6)-(F6-G6)</f>
        <v/>
      </c>
      <c r="O6" s="4">
        <f>(H6+I6)-(F6+G6)</f>
        <v/>
      </c>
    </row>
    <row r="7">
      <c r="A7" s="3" t="inlineStr">
        <is>
          <t>2026-09-12</t>
        </is>
      </c>
      <c r="B7" s="3" t="inlineStr">
        <is>
          <t>Exeter</t>
        </is>
      </c>
      <c r="C7" s="3" t="inlineStr">
        <is>
          <t>Home</t>
        </is>
      </c>
      <c r="D7" s="3" t="n">
        <v>1</v>
      </c>
      <c r="E7" s="3" t="n">
        <v>0</v>
      </c>
      <c r="F7" s="4" t="n">
        <v>1.52</v>
      </c>
      <c r="G7" s="4" t="n">
        <v>1.06</v>
      </c>
      <c r="H7" s="4" t="n">
        <v>1.95</v>
      </c>
      <c r="I7" s="4" t="n">
        <v>0.55</v>
      </c>
      <c r="J7" s="4" t="n">
        <v>0.43</v>
      </c>
      <c r="K7" s="4" t="n">
        <v>-0.51</v>
      </c>
      <c r="L7" s="4" t="n">
        <v>-0.24</v>
      </c>
      <c r="M7" s="4" t="n">
        <v>-0.09</v>
      </c>
      <c r="N7" s="4">
        <f>(H7-I7)-(F7-G7)</f>
        <v/>
      </c>
      <c r="O7" s="4">
        <f>(H7+I7)-(F7+G7)</f>
        <v/>
      </c>
    </row>
    <row r="9">
      <c r="A9" s="6" t="inlineStr">
        <is>
          <t>Season summary</t>
        </is>
      </c>
    </row>
    <row r="10">
      <c r="A10" s="3" t="inlineStr">
        <is>
          <t>Matches played</t>
        </is>
      </c>
      <c r="E10" s="7">
        <f>COUNTA(A2:A7)</f>
        <v/>
      </c>
    </row>
    <row r="11">
      <c r="A11" s="3" t="inlineStr">
        <is>
          <t>Total goals for</t>
        </is>
      </c>
      <c r="E11" s="7">
        <f>SUM(D2:D7)</f>
        <v/>
      </c>
    </row>
    <row r="12">
      <c r="A12" s="3" t="inlineStr">
        <is>
          <t>Total goals against</t>
        </is>
      </c>
      <c r="E12" s="7">
        <f>SUM(E2:E7)</f>
        <v/>
      </c>
    </row>
    <row r="13">
      <c r="A13" s="3" t="inlineStr">
        <is>
          <t>Avg xG Delta (For)</t>
        </is>
      </c>
      <c r="E13" s="8">
        <f>AVERAGE(J2:J7)</f>
        <v/>
      </c>
    </row>
    <row r="14">
      <c r="A14" s="3" t="inlineStr">
        <is>
          <t>Avg xG Delta (Against)</t>
        </is>
      </c>
      <c r="E14" s="8">
        <f>AVERAGE(K2:K7)</f>
        <v/>
      </c>
    </row>
    <row r="15">
      <c r="A15" s="3" t="inlineStr">
        <is>
          <t>Avg Supremacy Delta</t>
        </is>
      </c>
      <c r="E15" s="8">
        <f>AVERAGE(N2:N7)</f>
        <v/>
      </c>
    </row>
    <row r="16">
      <c r="A16" s="3" t="inlineStr">
        <is>
          <t>Avg Total xG Delta</t>
        </is>
      </c>
      <c r="E16" s="8">
        <f>AVERAGE(O2:O7)</f>
        <v/>
      </c>
    </row>
    <row r="17">
      <c r="A17" s="3" t="inlineStr">
        <is>
          <t>Current form (last 6, For)</t>
        </is>
      </c>
      <c r="E17" s="8">
        <f>L7</f>
        <v/>
      </c>
    </row>
    <row r="18">
      <c r="A18" s="3" t="inlineStr">
        <is>
          <t>Current form (last 6, Against)</t>
        </is>
      </c>
      <c r="E18" s="8">
        <f>M7</f>
        <v/>
      </c>
    </row>
  </sheetData>
  <mergeCells count="9">
    <mergeCell ref="A17:D17"/>
    <mergeCell ref="A18:D18"/>
    <mergeCell ref="A12:D12"/>
    <mergeCell ref="A15:D15"/>
    <mergeCell ref="A16:D16"/>
    <mergeCell ref="A11:D11"/>
    <mergeCell ref="A10:D10"/>
    <mergeCell ref="A13:D13"/>
    <mergeCell ref="A14:D14"/>
  </mergeCells>
  <conditionalFormatting sqref="J2:J7">
    <cfRule type="colorScale" priority="1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L2:L7">
    <cfRule type="colorScale" priority="2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N2:N7">
    <cfRule type="colorScale" priority="3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K2:K7">
    <cfRule type="colorScale" priority="4">
      <colorScale>
        <cfvo type="min"/>
        <cfvo type="percentile" val="50"/>
        <cfvo type="max"/>
        <color rgb="0063BE7B"/>
        <color rgb="00FFFFFF"/>
        <color rgb="00F8696B"/>
      </colorScale>
    </cfRule>
  </conditionalFormatting>
  <conditionalFormatting sqref="M2:M7">
    <cfRule type="colorScale" priority="5">
      <colorScale>
        <cfvo type="min"/>
        <cfvo type="percentile" val="5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O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</cols>
  <sheetData>
    <row r="1" ht="30" customHeight="1">
      <c r="A1" s="1" t="inlineStr">
        <is>
          <t>Date</t>
        </is>
      </c>
      <c r="B1" s="1" t="inlineStr">
        <is>
          <t>Opponent</t>
        </is>
      </c>
      <c r="C1" s="1" t="inlineStr">
        <is>
          <t>Venue</t>
        </is>
      </c>
      <c r="D1" s="1" t="inlineStr">
        <is>
          <t>Goals For</t>
        </is>
      </c>
      <c r="E1" s="1" t="inlineStr">
        <is>
          <t>Goals Against</t>
        </is>
      </c>
      <c r="F1" s="1" t="inlineStr">
        <is>
          <t>xG Pre-Match (For)</t>
        </is>
      </c>
      <c r="G1" s="1" t="inlineStr">
        <is>
          <t>xG Pre-Match (Against)</t>
        </is>
      </c>
      <c r="H1" s="1" t="inlineStr">
        <is>
          <t>xG Actual (For)</t>
        </is>
      </c>
      <c r="I1" s="1" t="inlineStr">
        <is>
          <t>xG Actual (Against)</t>
        </is>
      </c>
      <c r="J1" s="1" t="inlineStr">
        <is>
          <t>xG Delta (For)</t>
        </is>
      </c>
      <c r="K1" s="1" t="inlineStr">
        <is>
          <t>xG Delta (Against)</t>
        </is>
      </c>
      <c r="L1" s="1" t="inlineStr">
        <is>
          <t>Rolling Delta (For)</t>
        </is>
      </c>
      <c r="M1" s="1" t="inlineStr">
        <is>
          <t>Rolling Delta (Against)</t>
        </is>
      </c>
      <c r="N1" s="1" t="inlineStr">
        <is>
          <t>Supremacy Delta</t>
        </is>
      </c>
      <c r="O1" s="1" t="inlineStr">
        <is>
          <t>Match Total xG Delta</t>
        </is>
      </c>
    </row>
    <row r="2">
      <c r="A2" s="3" t="inlineStr">
        <is>
          <t>2026-08-15</t>
        </is>
      </c>
      <c r="B2" s="3" t="inlineStr">
        <is>
          <t>Newport County</t>
        </is>
      </c>
      <c r="C2" s="3" t="inlineStr">
        <is>
          <t>Away</t>
        </is>
      </c>
      <c r="D2" s="3" t="n">
        <v>0</v>
      </c>
      <c r="E2" s="3" t="n">
        <v>3</v>
      </c>
      <c r="F2" s="4" t="n">
        <v>1.39</v>
      </c>
      <c r="G2" s="4" t="n">
        <v>1.2</v>
      </c>
      <c r="H2" s="4" t="n">
        <v>0.16</v>
      </c>
      <c r="I2" s="4" t="n">
        <v>1.15</v>
      </c>
      <c r="J2" s="4" t="n">
        <v>-1.23</v>
      </c>
      <c r="K2" s="4" t="n">
        <v>-0.05</v>
      </c>
      <c r="L2" s="4" t="n">
        <v>-1.23</v>
      </c>
      <c r="M2" s="4" t="n">
        <v>-0.05</v>
      </c>
      <c r="N2" s="4">
        <f>(H2-I2)-(F2-G2)</f>
        <v/>
      </c>
      <c r="O2" s="4">
        <f>(H2+I2)-(F2+G2)</f>
        <v/>
      </c>
    </row>
    <row r="3">
      <c r="A3" s="3" t="inlineStr">
        <is>
          <t>2026-08-22</t>
        </is>
      </c>
      <c r="B3" s="3" t="inlineStr">
        <is>
          <t>Crawley Town</t>
        </is>
      </c>
      <c r="C3" s="3" t="inlineStr">
        <is>
          <t>Home</t>
        </is>
      </c>
      <c r="D3" s="3" t="n">
        <v>1</v>
      </c>
      <c r="E3" s="3" t="n">
        <v>2</v>
      </c>
      <c r="F3" s="4" t="n">
        <v>1.65</v>
      </c>
      <c r="G3" s="4" t="n">
        <v>1.07</v>
      </c>
      <c r="H3" s="4" t="n">
        <v>0.53</v>
      </c>
      <c r="I3" s="4" t="n">
        <v>2.16</v>
      </c>
      <c r="J3" s="4" t="n">
        <v>-1.11</v>
      </c>
      <c r="K3" s="4" t="n">
        <v>1.09</v>
      </c>
      <c r="L3" s="4" t="n">
        <v>-1.17</v>
      </c>
      <c r="M3" s="4" t="n">
        <v>0.52</v>
      </c>
      <c r="N3" s="4">
        <f>(H3-I3)-(F3-G3)</f>
        <v/>
      </c>
      <c r="O3" s="4">
        <f>(H3+I3)-(F3+G3)</f>
        <v/>
      </c>
    </row>
    <row r="4">
      <c r="A4" s="3" t="inlineStr">
        <is>
          <t>2026-08-29</t>
        </is>
      </c>
      <c r="B4" s="3" t="inlineStr">
        <is>
          <t>Colchester United</t>
        </is>
      </c>
      <c r="C4" s="3" t="inlineStr">
        <is>
          <t>Away</t>
        </is>
      </c>
      <c r="D4" s="3" t="n">
        <v>0</v>
      </c>
      <c r="E4" s="3" t="n">
        <v>1</v>
      </c>
      <c r="F4" s="4" t="n">
        <v>1.19</v>
      </c>
      <c r="G4" s="4" t="n">
        <v>1.43</v>
      </c>
      <c r="H4" s="4" t="n">
        <v>0.78</v>
      </c>
      <c r="I4" s="4" t="n">
        <v>1.12</v>
      </c>
      <c r="J4" s="4" t="n">
        <v>-0.41</v>
      </c>
      <c r="K4" s="4" t="n">
        <v>-0.31</v>
      </c>
      <c r="L4" s="4" t="n">
        <v>-0.92</v>
      </c>
      <c r="M4" s="4" t="n">
        <v>0.24</v>
      </c>
      <c r="N4" s="4">
        <f>(H4-I4)-(F4-G4)</f>
        <v/>
      </c>
      <c r="O4" s="4">
        <f>(H4+I4)-(F4+G4)</f>
        <v/>
      </c>
    </row>
    <row r="5">
      <c r="A5" s="3" t="inlineStr">
        <is>
          <t>2026-09-01</t>
        </is>
      </c>
      <c r="B5" s="3" t="inlineStr">
        <is>
          <t>Shrewsbury Town</t>
        </is>
      </c>
      <c r="C5" s="3" t="inlineStr">
        <is>
          <t>Home</t>
        </is>
      </c>
      <c r="D5" s="3" t="n">
        <v>3</v>
      </c>
      <c r="E5" s="3" t="n">
        <v>0</v>
      </c>
      <c r="F5" s="4" t="n">
        <v>1.48</v>
      </c>
      <c r="G5" s="4" t="n">
        <v>1.2</v>
      </c>
      <c r="H5" s="4" t="n">
        <v>0.77</v>
      </c>
      <c r="I5" s="4" t="n">
        <v>1.46</v>
      </c>
      <c r="J5" s="4" t="n">
        <v>-0.71</v>
      </c>
      <c r="K5" s="4" t="n">
        <v>0.26</v>
      </c>
      <c r="L5" s="4" t="n">
        <v>-0.86</v>
      </c>
      <c r="M5" s="4" t="n">
        <v>0.25</v>
      </c>
      <c r="N5" s="4">
        <f>(H5-I5)-(F5-G5)</f>
        <v/>
      </c>
      <c r="O5" s="4">
        <f>(H5+I5)-(F5+G5)</f>
        <v/>
      </c>
    </row>
    <row r="6">
      <c r="A6" s="3" t="inlineStr">
        <is>
          <t>2026-09-05</t>
        </is>
      </c>
      <c r="B6" s="3" t="inlineStr">
        <is>
          <t>Gillingham</t>
        </is>
      </c>
      <c r="C6" s="3" t="inlineStr">
        <is>
          <t>Home</t>
        </is>
      </c>
      <c r="D6" s="3" t="n">
        <v>1</v>
      </c>
      <c r="E6" s="3" t="n">
        <v>4</v>
      </c>
      <c r="F6" s="4" t="n">
        <v>1.45</v>
      </c>
      <c r="G6" s="4" t="n">
        <v>1.07</v>
      </c>
      <c r="H6" s="4" t="n">
        <v>0.8</v>
      </c>
      <c r="I6" s="4" t="n">
        <v>1.95</v>
      </c>
      <c r="J6" s="4" t="n">
        <v>-0.65</v>
      </c>
      <c r="K6" s="4" t="n">
        <v>0.88</v>
      </c>
      <c r="L6" s="4" t="n">
        <v>-0.82</v>
      </c>
      <c r="M6" s="4" t="n">
        <v>0.37</v>
      </c>
      <c r="N6" s="4">
        <f>(H6-I6)-(F6-G6)</f>
        <v/>
      </c>
      <c r="O6" s="4">
        <f>(H6+I6)-(F6+G6)</f>
        <v/>
      </c>
    </row>
    <row r="7">
      <c r="A7" s="3" t="inlineStr">
        <is>
          <t>2026-09-12</t>
        </is>
      </c>
      <c r="B7" s="3" t="inlineStr">
        <is>
          <t>Walsall</t>
        </is>
      </c>
      <c r="C7" s="3" t="inlineStr">
        <is>
          <t>Away</t>
        </is>
      </c>
      <c r="D7" s="3" t="n">
        <v>0</v>
      </c>
      <c r="E7" s="3" t="n">
        <v>0</v>
      </c>
      <c r="F7" s="4" t="n">
        <v>1.02</v>
      </c>
      <c r="G7" s="4" t="n">
        <v>1.82</v>
      </c>
      <c r="H7" s="4" t="n">
        <v>0.43</v>
      </c>
      <c r="I7" s="4" t="n">
        <v>1.76</v>
      </c>
      <c r="J7" s="4" t="n">
        <v>-0.59</v>
      </c>
      <c r="K7" s="4" t="n">
        <v>-0.06</v>
      </c>
      <c r="L7" s="4" t="n">
        <v>-0.78</v>
      </c>
      <c r="M7" s="4" t="n">
        <v>0.3</v>
      </c>
      <c r="N7" s="4">
        <f>(H7-I7)-(F7-G7)</f>
        <v/>
      </c>
      <c r="O7" s="4">
        <f>(H7+I7)-(F7+G7)</f>
        <v/>
      </c>
    </row>
    <row r="9">
      <c r="A9" s="6" t="inlineStr">
        <is>
          <t>Season summary</t>
        </is>
      </c>
    </row>
    <row r="10">
      <c r="A10" s="3" t="inlineStr">
        <is>
          <t>Matches played</t>
        </is>
      </c>
      <c r="E10" s="7">
        <f>COUNTA(A2:A7)</f>
        <v/>
      </c>
    </row>
    <row r="11">
      <c r="A11" s="3" t="inlineStr">
        <is>
          <t>Total goals for</t>
        </is>
      </c>
      <c r="E11" s="7">
        <f>SUM(D2:D7)</f>
        <v/>
      </c>
    </row>
    <row r="12">
      <c r="A12" s="3" t="inlineStr">
        <is>
          <t>Total goals against</t>
        </is>
      </c>
      <c r="E12" s="7">
        <f>SUM(E2:E7)</f>
        <v/>
      </c>
    </row>
    <row r="13">
      <c r="A13" s="3" t="inlineStr">
        <is>
          <t>Avg xG Delta (For)</t>
        </is>
      </c>
      <c r="E13" s="8">
        <f>AVERAGE(J2:J7)</f>
        <v/>
      </c>
    </row>
    <row r="14">
      <c r="A14" s="3" t="inlineStr">
        <is>
          <t>Avg xG Delta (Against)</t>
        </is>
      </c>
      <c r="E14" s="8">
        <f>AVERAGE(K2:K7)</f>
        <v/>
      </c>
    </row>
    <row r="15">
      <c r="A15" s="3" t="inlineStr">
        <is>
          <t>Avg Supremacy Delta</t>
        </is>
      </c>
      <c r="E15" s="8">
        <f>AVERAGE(N2:N7)</f>
        <v/>
      </c>
    </row>
    <row r="16">
      <c r="A16" s="3" t="inlineStr">
        <is>
          <t>Avg Total xG Delta</t>
        </is>
      </c>
      <c r="E16" s="8">
        <f>AVERAGE(O2:O7)</f>
        <v/>
      </c>
    </row>
    <row r="17">
      <c r="A17" s="3" t="inlineStr">
        <is>
          <t>Current form (last 6, For)</t>
        </is>
      </c>
      <c r="E17" s="8">
        <f>L7</f>
        <v/>
      </c>
    </row>
    <row r="18">
      <c r="A18" s="3" t="inlineStr">
        <is>
          <t>Current form (last 6, Against)</t>
        </is>
      </c>
      <c r="E18" s="8">
        <f>M7</f>
        <v/>
      </c>
    </row>
  </sheetData>
  <mergeCells count="9">
    <mergeCell ref="A17:D17"/>
    <mergeCell ref="A18:D18"/>
    <mergeCell ref="A12:D12"/>
    <mergeCell ref="A15:D15"/>
    <mergeCell ref="A16:D16"/>
    <mergeCell ref="A11:D11"/>
    <mergeCell ref="A10:D10"/>
    <mergeCell ref="A13:D13"/>
    <mergeCell ref="A14:D14"/>
  </mergeCells>
  <conditionalFormatting sqref="J2:J7">
    <cfRule type="colorScale" priority="1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L2:L7">
    <cfRule type="colorScale" priority="2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N2:N7">
    <cfRule type="colorScale" priority="3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K2:K7">
    <cfRule type="colorScale" priority="4">
      <colorScale>
        <cfvo type="min"/>
        <cfvo type="percentile" val="50"/>
        <cfvo type="max"/>
        <color rgb="0063BE7B"/>
        <color rgb="00FFFFFF"/>
        <color rgb="00F8696B"/>
      </colorScale>
    </cfRule>
  </conditionalFormatting>
  <conditionalFormatting sqref="M2:M7">
    <cfRule type="colorScale" priority="5">
      <colorScale>
        <cfvo type="min"/>
        <cfvo type="percentile" val="5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O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6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5" customWidth="1" min="12" max="12"/>
    <col width="6" customWidth="1" min="13" max="13"/>
    <col width="6" customWidth="1" min="14" max="14"/>
    <col width="6" customWidth="1" min="15" max="15"/>
  </cols>
  <sheetData>
    <row r="1" ht="30" customHeight="1">
      <c r="A1" s="1" t="inlineStr">
        <is>
          <t>Date</t>
        </is>
      </c>
      <c r="B1" s="1" t="inlineStr">
        <is>
          <t>Opponent</t>
        </is>
      </c>
      <c r="C1" s="1" t="inlineStr">
        <is>
          <t>Venue</t>
        </is>
      </c>
      <c r="D1" s="1" t="inlineStr">
        <is>
          <t>Goals For</t>
        </is>
      </c>
      <c r="E1" s="1" t="inlineStr">
        <is>
          <t>Goals Against</t>
        </is>
      </c>
      <c r="F1" s="1" t="inlineStr">
        <is>
          <t>xG Pre-Match (For)</t>
        </is>
      </c>
      <c r="G1" s="1" t="inlineStr">
        <is>
          <t>xG Pre-Match (Against)</t>
        </is>
      </c>
      <c r="H1" s="1" t="inlineStr">
        <is>
          <t>xG Actual (For)</t>
        </is>
      </c>
      <c r="I1" s="1" t="inlineStr">
        <is>
          <t>xG Actual (Against)</t>
        </is>
      </c>
      <c r="J1" s="1" t="inlineStr">
        <is>
          <t>xG Delta (For)</t>
        </is>
      </c>
      <c r="K1" s="1" t="inlineStr">
        <is>
          <t>xG Delta (Against)</t>
        </is>
      </c>
      <c r="L1" s="1" t="inlineStr">
        <is>
          <t>Rolling Delta (For)</t>
        </is>
      </c>
      <c r="M1" s="1" t="inlineStr">
        <is>
          <t>Rolling Delta (Against)</t>
        </is>
      </c>
      <c r="N1" s="1" t="inlineStr">
        <is>
          <t>Supremacy Delta</t>
        </is>
      </c>
      <c r="O1" s="1" t="inlineStr">
        <is>
          <t>Match Total xG Delta</t>
        </is>
      </c>
    </row>
    <row r="2">
      <c r="A2" s="3" t="inlineStr">
        <is>
          <t>2026-08-15</t>
        </is>
      </c>
      <c r="B2" s="3" t="inlineStr">
        <is>
          <t>Cheltenham Town</t>
        </is>
      </c>
      <c r="C2" s="3" t="inlineStr">
        <is>
          <t>Away</t>
        </is>
      </c>
      <c r="D2" s="3" t="n">
        <v>1</v>
      </c>
      <c r="E2" s="3" t="n">
        <v>2</v>
      </c>
      <c r="F2" s="4" t="n">
        <v>1.36</v>
      </c>
      <c r="G2" s="4" t="n">
        <v>1.3</v>
      </c>
      <c r="H2" s="4" t="n">
        <v>2.2</v>
      </c>
      <c r="I2" s="4" t="n">
        <v>0.6</v>
      </c>
      <c r="J2" s="4" t="n">
        <v>0.84</v>
      </c>
      <c r="K2" s="4" t="n">
        <v>-0.7</v>
      </c>
      <c r="L2" s="4" t="n">
        <v>0.84</v>
      </c>
      <c r="M2" s="4" t="n">
        <v>-0.7</v>
      </c>
      <c r="N2" s="4">
        <f>(H2-I2)-(F2-G2)</f>
        <v/>
      </c>
      <c r="O2" s="4">
        <f>(H2+I2)-(F2+G2)</f>
        <v/>
      </c>
    </row>
    <row r="3">
      <c r="A3" s="3" t="inlineStr">
        <is>
          <t>2026-08-22</t>
        </is>
      </c>
      <c r="B3" s="3" t="inlineStr">
        <is>
          <t>York</t>
        </is>
      </c>
      <c r="C3" s="3" t="inlineStr">
        <is>
          <t>Home</t>
        </is>
      </c>
      <c r="D3" s="3" t="n">
        <v>1</v>
      </c>
      <c r="E3" s="3" t="n">
        <v>1</v>
      </c>
      <c r="F3" s="4" t="n">
        <v>1.37</v>
      </c>
      <c r="G3" s="4" t="n">
        <v>1.3</v>
      </c>
      <c r="H3" s="4" t="n">
        <v>1</v>
      </c>
      <c r="I3" s="4" t="n">
        <v>2.32</v>
      </c>
      <c r="J3" s="4" t="n">
        <v>-0.37</v>
      </c>
      <c r="K3" s="4" t="n">
        <v>1.02</v>
      </c>
      <c r="L3" s="4" t="n">
        <v>0.23</v>
      </c>
      <c r="M3" s="4" t="n">
        <v>0.16</v>
      </c>
      <c r="N3" s="4">
        <f>(H3-I3)-(F3-G3)</f>
        <v/>
      </c>
      <c r="O3" s="4">
        <f>(H3+I3)-(F3+G3)</f>
        <v/>
      </c>
    </row>
    <row r="4">
      <c r="A4" s="3" t="inlineStr">
        <is>
          <t>2026-08-29</t>
        </is>
      </c>
      <c r="B4" s="3" t="inlineStr">
        <is>
          <t>Chesterfield</t>
        </is>
      </c>
      <c r="C4" s="3" t="inlineStr">
        <is>
          <t>Home</t>
        </is>
      </c>
      <c r="D4" s="3" t="n">
        <v>2</v>
      </c>
      <c r="E4" s="3" t="n">
        <v>1</v>
      </c>
      <c r="F4" s="4" t="n">
        <v>1.2</v>
      </c>
      <c r="G4" s="4" t="n">
        <v>1.43</v>
      </c>
      <c r="H4" s="4" t="n">
        <v>2.95</v>
      </c>
      <c r="I4" s="4" t="n">
        <v>1.1</v>
      </c>
      <c r="J4" s="4" t="n">
        <v>1.75</v>
      </c>
      <c r="K4" s="4" t="n">
        <v>-0.32</v>
      </c>
      <c r="L4" s="4" t="n">
        <v>0.74</v>
      </c>
      <c r="M4" s="4" t="n">
        <v>-0</v>
      </c>
      <c r="N4" s="4">
        <f>(H4-I4)-(F4-G4)</f>
        <v/>
      </c>
      <c r="O4" s="4">
        <f>(H4+I4)-(F4+G4)</f>
        <v/>
      </c>
    </row>
    <row r="5">
      <c r="A5" s="3" t="inlineStr">
        <is>
          <t>2026-09-01</t>
        </is>
      </c>
      <c r="B5" s="3" t="inlineStr">
        <is>
          <t>Tranmere Rovers</t>
        </is>
      </c>
      <c r="C5" s="3" t="inlineStr">
        <is>
          <t>Away</t>
        </is>
      </c>
      <c r="D5" s="3" t="n">
        <v>2</v>
      </c>
      <c r="E5" s="3" t="n">
        <v>2</v>
      </c>
      <c r="F5" s="4" t="n">
        <v>1.12</v>
      </c>
      <c r="G5" s="4" t="n">
        <v>1.41</v>
      </c>
      <c r="H5" s="4" t="n">
        <v>2.02</v>
      </c>
      <c r="I5" s="4" t="n">
        <v>0.74</v>
      </c>
      <c r="J5" s="4" t="n">
        <v>0.9</v>
      </c>
      <c r="K5" s="4" t="n">
        <v>-0.67</v>
      </c>
      <c r="L5" s="4" t="n">
        <v>0.78</v>
      </c>
      <c r="M5" s="4" t="n">
        <v>-0.17</v>
      </c>
      <c r="N5" s="4">
        <f>(H5-I5)-(F5-G5)</f>
        <v/>
      </c>
      <c r="O5" s="4">
        <f>(H5+I5)-(F5+G5)</f>
        <v/>
      </c>
    </row>
    <row r="6">
      <c r="A6" s="3" t="inlineStr">
        <is>
          <t>2026-09-05</t>
        </is>
      </c>
      <c r="B6" s="3" t="inlineStr">
        <is>
          <t>Bristol Rvs</t>
        </is>
      </c>
      <c r="C6" s="3" t="inlineStr">
        <is>
          <t>Away</t>
        </is>
      </c>
      <c r="D6" s="3" t="n">
        <v>0</v>
      </c>
      <c r="E6" s="3" t="n">
        <v>1</v>
      </c>
      <c r="F6" s="4" t="n">
        <v>1.13</v>
      </c>
      <c r="G6" s="4" t="n">
        <v>1.91</v>
      </c>
      <c r="H6" s="4" t="n">
        <v>0.63</v>
      </c>
      <c r="I6" s="4" t="n">
        <v>0.84</v>
      </c>
      <c r="J6" s="4" t="n">
        <v>-0.5</v>
      </c>
      <c r="K6" s="4" t="n">
        <v>-1.07</v>
      </c>
      <c r="L6" s="4" t="n">
        <v>0.52</v>
      </c>
      <c r="M6" s="4" t="n">
        <v>-0.35</v>
      </c>
      <c r="N6" s="4">
        <f>(H6-I6)-(F6-G6)</f>
        <v/>
      </c>
      <c r="O6" s="4">
        <f>(H6+I6)-(F6+G6)</f>
        <v/>
      </c>
    </row>
    <row r="7">
      <c r="A7" s="3" t="inlineStr">
        <is>
          <t>2026-09-12</t>
        </is>
      </c>
      <c r="B7" s="3" t="inlineStr">
        <is>
          <t>Salford City</t>
        </is>
      </c>
      <c r="C7" s="3" t="inlineStr">
        <is>
          <t>Home</t>
        </is>
      </c>
      <c r="D7" s="3" t="n">
        <v>3</v>
      </c>
      <c r="E7" s="3" t="n">
        <v>3</v>
      </c>
      <c r="F7" s="4" t="n">
        <v>1.34</v>
      </c>
      <c r="G7" s="4" t="n">
        <v>1.49</v>
      </c>
      <c r="H7" s="4" t="n">
        <v>2.46</v>
      </c>
      <c r="I7" s="4" t="n">
        <v>1.45</v>
      </c>
      <c r="J7" s="4" t="n">
        <v>1.12</v>
      </c>
      <c r="K7" s="4" t="n">
        <v>-0.04</v>
      </c>
      <c r="L7" s="4" t="n">
        <v>0.62</v>
      </c>
      <c r="M7" s="4" t="n">
        <v>-0.3</v>
      </c>
      <c r="N7" s="4">
        <f>(H7-I7)-(F7-G7)</f>
        <v/>
      </c>
      <c r="O7" s="4">
        <f>(H7+I7)-(F7+G7)</f>
        <v/>
      </c>
    </row>
    <row r="9">
      <c r="A9" s="6" t="inlineStr">
        <is>
          <t>Season summary</t>
        </is>
      </c>
    </row>
    <row r="10">
      <c r="A10" s="3" t="inlineStr">
        <is>
          <t>Matches played</t>
        </is>
      </c>
      <c r="E10" s="7">
        <f>COUNTA(A2:A7)</f>
        <v/>
      </c>
    </row>
    <row r="11">
      <c r="A11" s="3" t="inlineStr">
        <is>
          <t>Total goals for</t>
        </is>
      </c>
      <c r="E11" s="7">
        <f>SUM(D2:D7)</f>
        <v/>
      </c>
    </row>
    <row r="12">
      <c r="A12" s="3" t="inlineStr">
        <is>
          <t>Total goals against</t>
        </is>
      </c>
      <c r="E12" s="7">
        <f>SUM(E2:E7)</f>
        <v/>
      </c>
    </row>
    <row r="13">
      <c r="A13" s="3" t="inlineStr">
        <is>
          <t>Avg xG Delta (For)</t>
        </is>
      </c>
      <c r="E13" s="8">
        <f>AVERAGE(J2:J7)</f>
        <v/>
      </c>
    </row>
    <row r="14">
      <c r="A14" s="3" t="inlineStr">
        <is>
          <t>Avg xG Delta (Against)</t>
        </is>
      </c>
      <c r="E14" s="8">
        <f>AVERAGE(K2:K7)</f>
        <v/>
      </c>
    </row>
    <row r="15">
      <c r="A15" s="3" t="inlineStr">
        <is>
          <t>Avg Supremacy Delta</t>
        </is>
      </c>
      <c r="E15" s="8">
        <f>AVERAGE(N2:N7)</f>
        <v/>
      </c>
    </row>
    <row r="16">
      <c r="A16" s="3" t="inlineStr">
        <is>
          <t>Avg Total xG Delta</t>
        </is>
      </c>
      <c r="E16" s="8">
        <f>AVERAGE(O2:O7)</f>
        <v/>
      </c>
    </row>
    <row r="17">
      <c r="A17" s="3" t="inlineStr">
        <is>
          <t>Current form (last 6, For)</t>
        </is>
      </c>
      <c r="E17" s="8">
        <f>L7</f>
        <v/>
      </c>
    </row>
    <row r="18">
      <c r="A18" s="3" t="inlineStr">
        <is>
          <t>Current form (last 6, Against)</t>
        </is>
      </c>
      <c r="E18" s="8">
        <f>M7</f>
        <v/>
      </c>
    </row>
  </sheetData>
  <mergeCells count="9">
    <mergeCell ref="A17:D17"/>
    <mergeCell ref="A18:D18"/>
    <mergeCell ref="A12:D12"/>
    <mergeCell ref="A15:D15"/>
    <mergeCell ref="A16:D16"/>
    <mergeCell ref="A11:D11"/>
    <mergeCell ref="A10:D10"/>
    <mergeCell ref="A13:D13"/>
    <mergeCell ref="A14:D14"/>
  </mergeCells>
  <conditionalFormatting sqref="J2:J7">
    <cfRule type="colorScale" priority="1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L2:L7">
    <cfRule type="colorScale" priority="2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N2:N7">
    <cfRule type="colorScale" priority="3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K2:K7">
    <cfRule type="colorScale" priority="4">
      <colorScale>
        <cfvo type="min"/>
        <cfvo type="percentile" val="50"/>
        <cfvo type="max"/>
        <color rgb="0063BE7B"/>
        <color rgb="00FFFFFF"/>
        <color rgb="00F8696B"/>
      </colorScale>
    </cfRule>
  </conditionalFormatting>
  <conditionalFormatting sqref="M2:M7">
    <cfRule type="colorScale" priority="5">
      <colorScale>
        <cfvo type="min"/>
        <cfvo type="percentile" val="5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O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5" customWidth="1" min="13" max="13"/>
    <col width="6" customWidth="1" min="14" max="14"/>
    <col width="6" customWidth="1" min="15" max="15"/>
  </cols>
  <sheetData>
    <row r="1" ht="30" customHeight="1">
      <c r="A1" s="1" t="inlineStr">
        <is>
          <t>Date</t>
        </is>
      </c>
      <c r="B1" s="1" t="inlineStr">
        <is>
          <t>Opponent</t>
        </is>
      </c>
      <c r="C1" s="1" t="inlineStr">
        <is>
          <t>Venue</t>
        </is>
      </c>
      <c r="D1" s="1" t="inlineStr">
        <is>
          <t>Goals For</t>
        </is>
      </c>
      <c r="E1" s="1" t="inlineStr">
        <is>
          <t>Goals Against</t>
        </is>
      </c>
      <c r="F1" s="1" t="inlineStr">
        <is>
          <t>xG Pre-Match (For)</t>
        </is>
      </c>
      <c r="G1" s="1" t="inlineStr">
        <is>
          <t>xG Pre-Match (Against)</t>
        </is>
      </c>
      <c r="H1" s="1" t="inlineStr">
        <is>
          <t>xG Actual (For)</t>
        </is>
      </c>
      <c r="I1" s="1" t="inlineStr">
        <is>
          <t>xG Actual (Against)</t>
        </is>
      </c>
      <c r="J1" s="1" t="inlineStr">
        <is>
          <t>xG Delta (For)</t>
        </is>
      </c>
      <c r="K1" s="1" t="inlineStr">
        <is>
          <t>xG Delta (Against)</t>
        </is>
      </c>
      <c r="L1" s="1" t="inlineStr">
        <is>
          <t>Rolling Delta (For)</t>
        </is>
      </c>
      <c r="M1" s="1" t="inlineStr">
        <is>
          <t>Rolling Delta (Against)</t>
        </is>
      </c>
      <c r="N1" s="1" t="inlineStr">
        <is>
          <t>Supremacy Delta</t>
        </is>
      </c>
      <c r="O1" s="1" t="inlineStr">
        <is>
          <t>Match Total xG Delta</t>
        </is>
      </c>
    </row>
    <row r="2">
      <c r="A2" s="3" t="inlineStr">
        <is>
          <t>2026-08-15</t>
        </is>
      </c>
      <c r="B2" s="3" t="inlineStr">
        <is>
          <t>Barnet</t>
        </is>
      </c>
      <c r="C2" s="3" t="inlineStr">
        <is>
          <t>Away</t>
        </is>
      </c>
      <c r="D2" s="3" t="n">
        <v>1</v>
      </c>
      <c r="E2" s="3" t="n">
        <v>3</v>
      </c>
      <c r="F2" s="4" t="n">
        <v>1.18</v>
      </c>
      <c r="G2" s="4" t="n">
        <v>1.42</v>
      </c>
      <c r="H2" s="4" t="n">
        <v>0.92</v>
      </c>
      <c r="I2" s="4" t="n">
        <v>1.62</v>
      </c>
      <c r="J2" s="4" t="n">
        <v>-0.26</v>
      </c>
      <c r="K2" s="4" t="n">
        <v>0.2</v>
      </c>
      <c r="L2" s="4" t="n">
        <v>-0.26</v>
      </c>
      <c r="M2" s="4" t="n">
        <v>0.2</v>
      </c>
      <c r="N2" s="4">
        <f>(H2-I2)-(F2-G2)</f>
        <v/>
      </c>
      <c r="O2" s="4">
        <f>(H2+I2)-(F2+G2)</f>
        <v/>
      </c>
    </row>
    <row r="3">
      <c r="A3" s="3" t="inlineStr">
        <is>
          <t>2026-08-22</t>
        </is>
      </c>
      <c r="B3" s="3" t="inlineStr">
        <is>
          <t>Chesterfield</t>
        </is>
      </c>
      <c r="C3" s="3" t="inlineStr">
        <is>
          <t>Home</t>
        </is>
      </c>
      <c r="D3" s="3" t="n">
        <v>0</v>
      </c>
      <c r="E3" s="3" t="n">
        <v>1</v>
      </c>
      <c r="F3" s="4" t="n">
        <v>1.49</v>
      </c>
      <c r="G3" s="4" t="n">
        <v>1.02</v>
      </c>
      <c r="H3" s="4" t="n">
        <v>0.51</v>
      </c>
      <c r="I3" s="4" t="n">
        <v>2.27</v>
      </c>
      <c r="J3" s="4" t="n">
        <v>-0.98</v>
      </c>
      <c r="K3" s="4" t="n">
        <v>1.25</v>
      </c>
      <c r="L3" s="4" t="n">
        <v>-0.62</v>
      </c>
      <c r="M3" s="4" t="n">
        <v>0.73</v>
      </c>
      <c r="N3" s="4">
        <f>(H3-I3)-(F3-G3)</f>
        <v/>
      </c>
      <c r="O3" s="4">
        <f>(H3+I3)-(F3+G3)</f>
        <v/>
      </c>
    </row>
    <row r="4">
      <c r="A4" s="3" t="inlineStr">
        <is>
          <t>2026-08-29</t>
        </is>
      </c>
      <c r="B4" s="3" t="inlineStr">
        <is>
          <t>Shrewsbury Town</t>
        </is>
      </c>
      <c r="C4" s="3" t="inlineStr">
        <is>
          <t>Away</t>
        </is>
      </c>
      <c r="D4" s="3" t="n">
        <v>0</v>
      </c>
      <c r="E4" s="3" t="n">
        <v>1</v>
      </c>
      <c r="F4" s="4" t="n">
        <v>1.58</v>
      </c>
      <c r="G4" s="4" t="n">
        <v>1.02</v>
      </c>
      <c r="H4" s="4" t="n">
        <v>0.98</v>
      </c>
      <c r="I4" s="4" t="n">
        <v>0.67</v>
      </c>
      <c r="J4" s="4" t="n">
        <v>-0.6</v>
      </c>
      <c r="K4" s="4" t="n">
        <v>-0.35</v>
      </c>
      <c r="L4" s="4" t="n">
        <v>-0.61</v>
      </c>
      <c r="M4" s="4" t="n">
        <v>0.37</v>
      </c>
      <c r="N4" s="4">
        <f>(H4-I4)-(F4-G4)</f>
        <v/>
      </c>
      <c r="O4" s="4">
        <f>(H4+I4)-(F4+G4)</f>
        <v/>
      </c>
    </row>
    <row r="5">
      <c r="A5" s="3" t="inlineStr">
        <is>
          <t>2026-09-01</t>
        </is>
      </c>
      <c r="B5" s="3" t="inlineStr">
        <is>
          <t>Newport County</t>
        </is>
      </c>
      <c r="C5" s="3" t="inlineStr">
        <is>
          <t>Home</t>
        </is>
      </c>
      <c r="D5" s="3" t="n">
        <v>2</v>
      </c>
      <c r="E5" s="3" t="n">
        <v>1</v>
      </c>
      <c r="F5" s="4" t="n">
        <v>2.08</v>
      </c>
      <c r="G5" s="4" t="n">
        <v>0.95</v>
      </c>
      <c r="H5" s="4" t="n">
        <v>2.28</v>
      </c>
      <c r="I5" s="4" t="n">
        <v>0.42</v>
      </c>
      <c r="J5" s="4" t="n">
        <v>0.2</v>
      </c>
      <c r="K5" s="4" t="n">
        <v>-0.53</v>
      </c>
      <c r="L5" s="4" t="n">
        <v>-0.41</v>
      </c>
      <c r="M5" s="4" t="n">
        <v>0.14</v>
      </c>
      <c r="N5" s="4">
        <f>(H5-I5)-(F5-G5)</f>
        <v/>
      </c>
      <c r="O5" s="4">
        <f>(H5+I5)-(F5+G5)</f>
        <v/>
      </c>
    </row>
    <row r="6">
      <c r="A6" s="3" t="inlineStr">
        <is>
          <t>2026-09-05</t>
        </is>
      </c>
      <c r="B6" s="3" t="inlineStr">
        <is>
          <t>Port Vale</t>
        </is>
      </c>
      <c r="C6" s="3" t="inlineStr">
        <is>
          <t>Home</t>
        </is>
      </c>
      <c r="D6" s="3" t="n">
        <v>1</v>
      </c>
      <c r="E6" s="3" t="n">
        <v>0</v>
      </c>
      <c r="F6" s="4" t="n">
        <v>1.64</v>
      </c>
      <c r="G6" s="4" t="n">
        <v>1.03</v>
      </c>
      <c r="H6" s="4" t="n">
        <v>0.32</v>
      </c>
      <c r="I6" s="4" t="n">
        <v>0.68</v>
      </c>
      <c r="J6" s="4" t="n">
        <v>-1.32</v>
      </c>
      <c r="K6" s="4" t="n">
        <v>-0.35</v>
      </c>
      <c r="L6" s="4" t="n">
        <v>-0.59</v>
      </c>
      <c r="M6" s="4" t="n">
        <v>0.05</v>
      </c>
      <c r="N6" s="4">
        <f>(H6-I6)-(F6-G6)</f>
        <v/>
      </c>
      <c r="O6" s="4">
        <f>(H6+I6)-(F6+G6)</f>
        <v/>
      </c>
    </row>
    <row r="7">
      <c r="A7" s="3" t="inlineStr">
        <is>
          <t>2026-09-12</t>
        </is>
      </c>
      <c r="B7" s="3" t="inlineStr">
        <is>
          <t>Rotherham United</t>
        </is>
      </c>
      <c r="C7" s="3" t="inlineStr">
        <is>
          <t>Away</t>
        </is>
      </c>
      <c r="D7" s="3" t="n">
        <v>3</v>
      </c>
      <c r="E7" s="3" t="n">
        <v>3</v>
      </c>
      <c r="F7" s="4" t="n">
        <v>1.49</v>
      </c>
      <c r="G7" s="4" t="n">
        <v>1.34</v>
      </c>
      <c r="H7" s="4" t="n">
        <v>1.45</v>
      </c>
      <c r="I7" s="4" t="n">
        <v>2.46</v>
      </c>
      <c r="J7" s="4" t="n">
        <v>-0.04</v>
      </c>
      <c r="K7" s="4" t="n">
        <v>1.12</v>
      </c>
      <c r="L7" s="4" t="n">
        <v>-0.5</v>
      </c>
      <c r="M7" s="4" t="n">
        <v>0.22</v>
      </c>
      <c r="N7" s="4">
        <f>(H7-I7)-(F7-G7)</f>
        <v/>
      </c>
      <c r="O7" s="4">
        <f>(H7+I7)-(F7+G7)</f>
        <v/>
      </c>
    </row>
    <row r="9">
      <c r="A9" s="6" t="inlineStr">
        <is>
          <t>Season summary</t>
        </is>
      </c>
    </row>
    <row r="10">
      <c r="A10" s="3" t="inlineStr">
        <is>
          <t>Matches played</t>
        </is>
      </c>
      <c r="E10" s="7">
        <f>COUNTA(A2:A7)</f>
        <v/>
      </c>
    </row>
    <row r="11">
      <c r="A11" s="3" t="inlineStr">
        <is>
          <t>Total goals for</t>
        </is>
      </c>
      <c r="E11" s="7">
        <f>SUM(D2:D7)</f>
        <v/>
      </c>
    </row>
    <row r="12">
      <c r="A12" s="3" t="inlineStr">
        <is>
          <t>Total goals against</t>
        </is>
      </c>
      <c r="E12" s="7">
        <f>SUM(E2:E7)</f>
        <v/>
      </c>
    </row>
    <row r="13">
      <c r="A13" s="3" t="inlineStr">
        <is>
          <t>Avg xG Delta (For)</t>
        </is>
      </c>
      <c r="E13" s="8">
        <f>AVERAGE(J2:J7)</f>
        <v/>
      </c>
    </row>
    <row r="14">
      <c r="A14" s="3" t="inlineStr">
        <is>
          <t>Avg xG Delta (Against)</t>
        </is>
      </c>
      <c r="E14" s="8">
        <f>AVERAGE(K2:K7)</f>
        <v/>
      </c>
    </row>
    <row r="15">
      <c r="A15" s="3" t="inlineStr">
        <is>
          <t>Avg Supremacy Delta</t>
        </is>
      </c>
      <c r="E15" s="8">
        <f>AVERAGE(N2:N7)</f>
        <v/>
      </c>
    </row>
    <row r="16">
      <c r="A16" s="3" t="inlineStr">
        <is>
          <t>Avg Total xG Delta</t>
        </is>
      </c>
      <c r="E16" s="8">
        <f>AVERAGE(O2:O7)</f>
        <v/>
      </c>
    </row>
    <row r="17">
      <c r="A17" s="3" t="inlineStr">
        <is>
          <t>Current form (last 6, For)</t>
        </is>
      </c>
      <c r="E17" s="8">
        <f>L7</f>
        <v/>
      </c>
    </row>
    <row r="18">
      <c r="A18" s="3" t="inlineStr">
        <is>
          <t>Current form (last 6, Against)</t>
        </is>
      </c>
      <c r="E18" s="8">
        <f>M7</f>
        <v/>
      </c>
    </row>
  </sheetData>
  <mergeCells count="9">
    <mergeCell ref="A17:D17"/>
    <mergeCell ref="A18:D18"/>
    <mergeCell ref="A12:D12"/>
    <mergeCell ref="A15:D15"/>
    <mergeCell ref="A16:D16"/>
    <mergeCell ref="A11:D11"/>
    <mergeCell ref="A10:D10"/>
    <mergeCell ref="A13:D13"/>
    <mergeCell ref="A14:D14"/>
  </mergeCells>
  <conditionalFormatting sqref="J2:J7">
    <cfRule type="colorScale" priority="1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L2:L7">
    <cfRule type="colorScale" priority="2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N2:N7">
    <cfRule type="colorScale" priority="3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K2:K7">
    <cfRule type="colorScale" priority="4">
      <colorScale>
        <cfvo type="min"/>
        <cfvo type="percentile" val="50"/>
        <cfvo type="max"/>
        <color rgb="0063BE7B"/>
        <color rgb="00FFFFFF"/>
        <color rgb="00F8696B"/>
      </colorScale>
    </cfRule>
  </conditionalFormatting>
  <conditionalFormatting sqref="M2:M7">
    <cfRule type="colorScale" priority="5">
      <colorScale>
        <cfvo type="min"/>
        <cfvo type="percentile" val="5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O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5" customWidth="1" min="12" max="12"/>
    <col width="6" customWidth="1" min="13" max="13"/>
    <col width="5" customWidth="1" min="14" max="14"/>
    <col width="6" customWidth="1" min="15" max="15"/>
  </cols>
  <sheetData>
    <row r="1" ht="30" customHeight="1">
      <c r="A1" s="1" t="inlineStr">
        <is>
          <t>Date</t>
        </is>
      </c>
      <c r="B1" s="1" t="inlineStr">
        <is>
          <t>Opponent</t>
        </is>
      </c>
      <c r="C1" s="1" t="inlineStr">
        <is>
          <t>Venue</t>
        </is>
      </c>
      <c r="D1" s="1" t="inlineStr">
        <is>
          <t>Goals For</t>
        </is>
      </c>
      <c r="E1" s="1" t="inlineStr">
        <is>
          <t>Goals Against</t>
        </is>
      </c>
      <c r="F1" s="1" t="inlineStr">
        <is>
          <t>xG Pre-Match (For)</t>
        </is>
      </c>
      <c r="G1" s="1" t="inlineStr">
        <is>
          <t>xG Pre-Match (Against)</t>
        </is>
      </c>
      <c r="H1" s="1" t="inlineStr">
        <is>
          <t>xG Actual (For)</t>
        </is>
      </c>
      <c r="I1" s="1" t="inlineStr">
        <is>
          <t>xG Actual (Against)</t>
        </is>
      </c>
      <c r="J1" s="1" t="inlineStr">
        <is>
          <t>xG Delta (For)</t>
        </is>
      </c>
      <c r="K1" s="1" t="inlineStr">
        <is>
          <t>xG Delta (Against)</t>
        </is>
      </c>
      <c r="L1" s="1" t="inlineStr">
        <is>
          <t>Rolling Delta (For)</t>
        </is>
      </c>
      <c r="M1" s="1" t="inlineStr">
        <is>
          <t>Rolling Delta (Against)</t>
        </is>
      </c>
      <c r="N1" s="1" t="inlineStr">
        <is>
          <t>Supremacy Delta</t>
        </is>
      </c>
      <c r="O1" s="1" t="inlineStr">
        <is>
          <t>Match Total xG Delta</t>
        </is>
      </c>
    </row>
    <row r="2">
      <c r="A2" s="3" t="inlineStr">
        <is>
          <t>2026-08-15</t>
        </is>
      </c>
      <c r="B2" s="3" t="inlineStr">
        <is>
          <t>Tranmere Rovers</t>
        </is>
      </c>
      <c r="C2" s="3" t="inlineStr">
        <is>
          <t>Away</t>
        </is>
      </c>
      <c r="D2" s="3" t="n">
        <v>0</v>
      </c>
      <c r="E2" s="3" t="n">
        <v>2</v>
      </c>
      <c r="F2" s="4" t="n">
        <v>1.1</v>
      </c>
      <c r="G2" s="4" t="n">
        <v>1.4</v>
      </c>
      <c r="H2" s="4" t="n">
        <v>1.28</v>
      </c>
      <c r="I2" s="4" t="n">
        <v>1.16</v>
      </c>
      <c r="J2" s="4" t="n">
        <v>0.18</v>
      </c>
      <c r="K2" s="4" t="n">
        <v>-0.24</v>
      </c>
      <c r="L2" s="4" t="n">
        <v>0.18</v>
      </c>
      <c r="M2" s="4" t="n">
        <v>-0.24</v>
      </c>
      <c r="N2" s="4">
        <f>(H2-I2)-(F2-G2)</f>
        <v/>
      </c>
      <c r="O2" s="4">
        <f>(H2+I2)-(F2+G2)</f>
        <v/>
      </c>
    </row>
    <row r="3">
      <c r="A3" s="3" t="inlineStr">
        <is>
          <t>2026-08-22</t>
        </is>
      </c>
      <c r="B3" s="3" t="inlineStr">
        <is>
          <t>Barnet</t>
        </is>
      </c>
      <c r="C3" s="3" t="inlineStr">
        <is>
          <t>Home</t>
        </is>
      </c>
      <c r="D3" s="3" t="n">
        <v>1</v>
      </c>
      <c r="E3" s="3" t="n">
        <v>3</v>
      </c>
      <c r="F3" s="4" t="n">
        <v>1.02</v>
      </c>
      <c r="G3" s="4" t="n">
        <v>1.6</v>
      </c>
      <c r="H3" s="4" t="n">
        <v>1.78</v>
      </c>
      <c r="I3" s="4" t="n">
        <v>1.07</v>
      </c>
      <c r="J3" s="4" t="n">
        <v>0.76</v>
      </c>
      <c r="K3" s="4" t="n">
        <v>-0.53</v>
      </c>
      <c r="L3" s="4" t="n">
        <v>0.47</v>
      </c>
      <c r="M3" s="4" t="n">
        <v>-0.39</v>
      </c>
      <c r="N3" s="4">
        <f>(H3-I3)-(F3-G3)</f>
        <v/>
      </c>
      <c r="O3" s="4">
        <f>(H3+I3)-(F3+G3)</f>
        <v/>
      </c>
    </row>
    <row r="4">
      <c r="A4" s="3" t="inlineStr">
        <is>
          <t>2026-08-29</t>
        </is>
      </c>
      <c r="B4" s="3" t="inlineStr">
        <is>
          <t>Salford City</t>
        </is>
      </c>
      <c r="C4" s="3" t="inlineStr">
        <is>
          <t>Home</t>
        </is>
      </c>
      <c r="D4" s="3" t="n">
        <v>1</v>
      </c>
      <c r="E4" s="3" t="n">
        <v>0</v>
      </c>
      <c r="F4" s="4" t="n">
        <v>1.02</v>
      </c>
      <c r="G4" s="4" t="n">
        <v>1.58</v>
      </c>
      <c r="H4" s="4" t="n">
        <v>0.67</v>
      </c>
      <c r="I4" s="4" t="n">
        <v>0.98</v>
      </c>
      <c r="J4" s="4" t="n">
        <v>-0.35</v>
      </c>
      <c r="K4" s="4" t="n">
        <v>-0.6</v>
      </c>
      <c r="L4" s="4" t="n">
        <v>0.2</v>
      </c>
      <c r="M4" s="4" t="n">
        <v>-0.46</v>
      </c>
      <c r="N4" s="4">
        <f>(H4-I4)-(F4-G4)</f>
        <v/>
      </c>
      <c r="O4" s="4">
        <f>(H4+I4)-(F4+G4)</f>
        <v/>
      </c>
    </row>
    <row r="5">
      <c r="A5" s="3" t="inlineStr">
        <is>
          <t>2026-09-01</t>
        </is>
      </c>
      <c r="B5" s="3" t="inlineStr">
        <is>
          <t>Rochdale</t>
        </is>
      </c>
      <c r="C5" s="3" t="inlineStr">
        <is>
          <t>Away</t>
        </is>
      </c>
      <c r="D5" s="3" t="n">
        <v>0</v>
      </c>
      <c r="E5" s="3" t="n">
        <v>3</v>
      </c>
      <c r="F5" s="4" t="n">
        <v>1.2</v>
      </c>
      <c r="G5" s="4" t="n">
        <v>1.48</v>
      </c>
      <c r="H5" s="4" t="n">
        <v>1.46</v>
      </c>
      <c r="I5" s="4" t="n">
        <v>0.77</v>
      </c>
      <c r="J5" s="4" t="n">
        <v>0.26</v>
      </c>
      <c r="K5" s="4" t="n">
        <v>-0.71</v>
      </c>
      <c r="L5" s="4" t="n">
        <v>0.21</v>
      </c>
      <c r="M5" s="4" t="n">
        <v>-0.52</v>
      </c>
      <c r="N5" s="4">
        <f>(H5-I5)-(F5-G5)</f>
        <v/>
      </c>
      <c r="O5" s="4">
        <f>(H5+I5)-(F5+G5)</f>
        <v/>
      </c>
    </row>
    <row r="6">
      <c r="A6" s="3" t="inlineStr">
        <is>
          <t>2026-09-05</t>
        </is>
      </c>
      <c r="B6" s="3" t="inlineStr">
        <is>
          <t>Fleetwood Town</t>
        </is>
      </c>
      <c r="C6" s="3" t="inlineStr">
        <is>
          <t>Away</t>
        </is>
      </c>
      <c r="D6" s="3" t="n">
        <v>0</v>
      </c>
      <c r="E6" s="3" t="n">
        <v>2</v>
      </c>
      <c r="F6" s="4" t="n">
        <v>0.99</v>
      </c>
      <c r="G6" s="4" t="n">
        <v>1.56</v>
      </c>
      <c r="H6" s="4" t="n">
        <v>0.71</v>
      </c>
      <c r="I6" s="4" t="n">
        <v>0.8</v>
      </c>
      <c r="J6" s="4" t="n">
        <v>-0.28</v>
      </c>
      <c r="K6" s="4" t="n">
        <v>-0.76</v>
      </c>
      <c r="L6" s="4" t="n">
        <v>0.11</v>
      </c>
      <c r="M6" s="4" t="n">
        <v>-0.57</v>
      </c>
      <c r="N6" s="4">
        <f>(H6-I6)-(F6-G6)</f>
        <v/>
      </c>
      <c r="O6" s="4">
        <f>(H6+I6)-(F6+G6)</f>
        <v/>
      </c>
    </row>
    <row r="7">
      <c r="A7" s="3" t="inlineStr">
        <is>
          <t>2026-09-12</t>
        </is>
      </c>
      <c r="B7" s="3" t="inlineStr">
        <is>
          <t>Northampton Town</t>
        </is>
      </c>
      <c r="C7" s="3" t="inlineStr">
        <is>
          <t>Home</t>
        </is>
      </c>
      <c r="D7" s="3" t="n">
        <v>2</v>
      </c>
      <c r="E7" s="3" t="n">
        <v>0</v>
      </c>
      <c r="F7" s="4" t="n">
        <v>1.2</v>
      </c>
      <c r="G7" s="4" t="n">
        <v>1.17</v>
      </c>
      <c r="H7" s="4" t="n">
        <v>0.87</v>
      </c>
      <c r="I7" s="4" t="n">
        <v>0.5</v>
      </c>
      <c r="J7" s="4" t="n">
        <v>-0.33</v>
      </c>
      <c r="K7" s="4" t="n">
        <v>-0.67</v>
      </c>
      <c r="L7" s="4" t="n">
        <v>0.04</v>
      </c>
      <c r="M7" s="4" t="n">
        <v>-0.59</v>
      </c>
      <c r="N7" s="4">
        <f>(H7-I7)-(F7-G7)</f>
        <v/>
      </c>
      <c r="O7" s="4">
        <f>(H7+I7)-(F7+G7)</f>
        <v/>
      </c>
    </row>
    <row r="9">
      <c r="A9" s="6" t="inlineStr">
        <is>
          <t>Season summary</t>
        </is>
      </c>
    </row>
    <row r="10">
      <c r="A10" s="3" t="inlineStr">
        <is>
          <t>Matches played</t>
        </is>
      </c>
      <c r="E10" s="7">
        <f>COUNTA(A2:A7)</f>
        <v/>
      </c>
    </row>
    <row r="11">
      <c r="A11" s="3" t="inlineStr">
        <is>
          <t>Total goals for</t>
        </is>
      </c>
      <c r="E11" s="7">
        <f>SUM(D2:D7)</f>
        <v/>
      </c>
    </row>
    <row r="12">
      <c r="A12" s="3" t="inlineStr">
        <is>
          <t>Total goals against</t>
        </is>
      </c>
      <c r="E12" s="7">
        <f>SUM(E2:E7)</f>
        <v/>
      </c>
    </row>
    <row r="13">
      <c r="A13" s="3" t="inlineStr">
        <is>
          <t>Avg xG Delta (For)</t>
        </is>
      </c>
      <c r="E13" s="8">
        <f>AVERAGE(J2:J7)</f>
        <v/>
      </c>
    </row>
    <row r="14">
      <c r="A14" s="3" t="inlineStr">
        <is>
          <t>Avg xG Delta (Against)</t>
        </is>
      </c>
      <c r="E14" s="8">
        <f>AVERAGE(K2:K7)</f>
        <v/>
      </c>
    </row>
    <row r="15">
      <c r="A15" s="3" t="inlineStr">
        <is>
          <t>Avg Supremacy Delta</t>
        </is>
      </c>
      <c r="E15" s="8">
        <f>AVERAGE(N2:N7)</f>
        <v/>
      </c>
    </row>
    <row r="16">
      <c r="A16" s="3" t="inlineStr">
        <is>
          <t>Avg Total xG Delta</t>
        </is>
      </c>
      <c r="E16" s="8">
        <f>AVERAGE(O2:O7)</f>
        <v/>
      </c>
    </row>
    <row r="17">
      <c r="A17" s="3" t="inlineStr">
        <is>
          <t>Current form (last 6, For)</t>
        </is>
      </c>
      <c r="E17" s="8">
        <f>L7</f>
        <v/>
      </c>
    </row>
    <row r="18">
      <c r="A18" s="3" t="inlineStr">
        <is>
          <t>Current form (last 6, Against)</t>
        </is>
      </c>
      <c r="E18" s="8">
        <f>M7</f>
        <v/>
      </c>
    </row>
  </sheetData>
  <mergeCells count="9">
    <mergeCell ref="A17:D17"/>
    <mergeCell ref="A18:D18"/>
    <mergeCell ref="A12:D12"/>
    <mergeCell ref="A15:D15"/>
    <mergeCell ref="A16:D16"/>
    <mergeCell ref="A11:D11"/>
    <mergeCell ref="A10:D10"/>
    <mergeCell ref="A13:D13"/>
    <mergeCell ref="A14:D14"/>
  </mergeCells>
  <conditionalFormatting sqref="J2:J7">
    <cfRule type="colorScale" priority="1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L2:L7">
    <cfRule type="colorScale" priority="2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N2:N7">
    <cfRule type="colorScale" priority="3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K2:K7">
    <cfRule type="colorScale" priority="4">
      <colorScale>
        <cfvo type="min"/>
        <cfvo type="percentile" val="50"/>
        <cfvo type="max"/>
        <color rgb="0063BE7B"/>
        <color rgb="00FFFFFF"/>
        <color rgb="00F8696B"/>
      </colorScale>
    </cfRule>
  </conditionalFormatting>
  <conditionalFormatting sqref="M2:M7">
    <cfRule type="colorScale" priority="5">
      <colorScale>
        <cfvo type="min"/>
        <cfvo type="percentile" val="5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O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</cols>
  <sheetData>
    <row r="1" ht="30" customHeight="1">
      <c r="A1" s="1" t="inlineStr">
        <is>
          <t>Date</t>
        </is>
      </c>
      <c r="B1" s="1" t="inlineStr">
        <is>
          <t>Opponent</t>
        </is>
      </c>
      <c r="C1" s="1" t="inlineStr">
        <is>
          <t>Venue</t>
        </is>
      </c>
      <c r="D1" s="1" t="inlineStr">
        <is>
          <t>Goals For</t>
        </is>
      </c>
      <c r="E1" s="1" t="inlineStr">
        <is>
          <t>Goals Against</t>
        </is>
      </c>
      <c r="F1" s="1" t="inlineStr">
        <is>
          <t>xG Pre-Match (For)</t>
        </is>
      </c>
      <c r="G1" s="1" t="inlineStr">
        <is>
          <t>xG Pre-Match (Against)</t>
        </is>
      </c>
      <c r="H1" s="1" t="inlineStr">
        <is>
          <t>xG Actual (For)</t>
        </is>
      </c>
      <c r="I1" s="1" t="inlineStr">
        <is>
          <t>xG Actual (Against)</t>
        </is>
      </c>
      <c r="J1" s="1" t="inlineStr">
        <is>
          <t>xG Delta (For)</t>
        </is>
      </c>
      <c r="K1" s="1" t="inlineStr">
        <is>
          <t>xG Delta (Against)</t>
        </is>
      </c>
      <c r="L1" s="1" t="inlineStr">
        <is>
          <t>Rolling Delta (For)</t>
        </is>
      </c>
      <c r="M1" s="1" t="inlineStr">
        <is>
          <t>Rolling Delta (Against)</t>
        </is>
      </c>
      <c r="N1" s="1" t="inlineStr">
        <is>
          <t>Supremacy Delta</t>
        </is>
      </c>
      <c r="O1" s="1" t="inlineStr">
        <is>
          <t>Match Total xG Delta</t>
        </is>
      </c>
    </row>
    <row r="2">
      <c r="A2" s="3" t="inlineStr">
        <is>
          <t>2026-08-15</t>
        </is>
      </c>
      <c r="B2" s="3" t="inlineStr">
        <is>
          <t>Northampton Town</t>
        </is>
      </c>
      <c r="C2" s="3" t="inlineStr">
        <is>
          <t>Away</t>
        </is>
      </c>
      <c r="D2" s="3" t="n">
        <v>0</v>
      </c>
      <c r="E2" s="3" t="n">
        <v>0</v>
      </c>
      <c r="F2" s="4" t="n">
        <v>1.14</v>
      </c>
      <c r="G2" s="4" t="n">
        <v>1.51</v>
      </c>
      <c r="H2" s="4" t="n">
        <v>0.2</v>
      </c>
      <c r="I2" s="4" t="n">
        <v>0.76</v>
      </c>
      <c r="J2" s="4" t="n">
        <v>-0.9399999999999999</v>
      </c>
      <c r="K2" s="4" t="n">
        <v>-0.75</v>
      </c>
      <c r="L2" s="4" t="n">
        <v>-0.9399999999999999</v>
      </c>
      <c r="M2" s="4" t="n">
        <v>-0.75</v>
      </c>
      <c r="N2" s="4">
        <f>(H2-I2)-(F2-G2)</f>
        <v/>
      </c>
      <c r="O2" s="4">
        <f>(H2+I2)-(F2+G2)</f>
        <v/>
      </c>
    </row>
    <row r="3">
      <c r="A3" s="3" t="inlineStr">
        <is>
          <t>2026-08-22</t>
        </is>
      </c>
      <c r="B3" s="3" t="inlineStr">
        <is>
          <t>Cheltenham Town</t>
        </is>
      </c>
      <c r="C3" s="3" t="inlineStr">
        <is>
          <t>Home</t>
        </is>
      </c>
      <c r="D3" s="3" t="n">
        <v>2</v>
      </c>
      <c r="E3" s="3" t="n">
        <v>1</v>
      </c>
      <c r="F3" s="4" t="n">
        <v>1.74</v>
      </c>
      <c r="G3" s="4" t="n">
        <v>1.04</v>
      </c>
      <c r="H3" s="4" t="n">
        <v>1.04</v>
      </c>
      <c r="I3" s="4" t="n">
        <v>1.1</v>
      </c>
      <c r="J3" s="4" t="n">
        <v>-0.7</v>
      </c>
      <c r="K3" s="4" t="n">
        <v>0.06</v>
      </c>
      <c r="L3" s="4" t="n">
        <v>-0.82</v>
      </c>
      <c r="M3" s="4" t="n">
        <v>-0.35</v>
      </c>
      <c r="N3" s="4">
        <f>(H3-I3)-(F3-G3)</f>
        <v/>
      </c>
      <c r="O3" s="4">
        <f>(H3+I3)-(F3+G3)</f>
        <v/>
      </c>
    </row>
    <row r="4">
      <c r="A4" s="3" t="inlineStr">
        <is>
          <t>2026-08-29</t>
        </is>
      </c>
      <c r="B4" s="3" t="inlineStr">
        <is>
          <t>Oldham Athletic</t>
        </is>
      </c>
      <c r="C4" s="3" t="inlineStr">
        <is>
          <t>Away</t>
        </is>
      </c>
      <c r="D4" s="3" t="n">
        <v>0</v>
      </c>
      <c r="E4" s="3" t="n">
        <v>3</v>
      </c>
      <c r="F4" s="4" t="n">
        <v>1.09</v>
      </c>
      <c r="G4" s="4" t="n">
        <v>1.59</v>
      </c>
      <c r="H4" s="4" t="n">
        <v>0.07000000000000001</v>
      </c>
      <c r="I4" s="4" t="n">
        <v>2.73</v>
      </c>
      <c r="J4" s="4" t="n">
        <v>-1.02</v>
      </c>
      <c r="K4" s="4" t="n">
        <v>1.14</v>
      </c>
      <c r="L4" s="4" t="n">
        <v>-0.89</v>
      </c>
      <c r="M4" s="4" t="n">
        <v>0.15</v>
      </c>
      <c r="N4" s="4">
        <f>(H4-I4)-(F4-G4)</f>
        <v/>
      </c>
      <c r="O4" s="4">
        <f>(H4+I4)-(F4+G4)</f>
        <v/>
      </c>
    </row>
    <row r="5">
      <c r="A5" s="3" t="inlineStr">
        <is>
          <t>2026-09-01</t>
        </is>
      </c>
      <c r="B5" s="3" t="inlineStr">
        <is>
          <t>Port Vale</t>
        </is>
      </c>
      <c r="C5" s="3" t="inlineStr">
        <is>
          <t>Home</t>
        </is>
      </c>
      <c r="D5" s="3" t="n">
        <v>3</v>
      </c>
      <c r="E5" s="3" t="n">
        <v>1</v>
      </c>
      <c r="F5" s="4" t="n">
        <v>1.2</v>
      </c>
      <c r="G5" s="4" t="n">
        <v>1.56</v>
      </c>
      <c r="H5" s="4" t="n">
        <v>2.49</v>
      </c>
      <c r="I5" s="4" t="n">
        <v>1.03</v>
      </c>
      <c r="J5" s="4" t="n">
        <v>1.29</v>
      </c>
      <c r="K5" s="4" t="n">
        <v>-0.53</v>
      </c>
      <c r="L5" s="4" t="n">
        <v>-0.34</v>
      </c>
      <c r="M5" s="4" t="n">
        <v>-0.02</v>
      </c>
      <c r="N5" s="4">
        <f>(H5-I5)-(F5-G5)</f>
        <v/>
      </c>
      <c r="O5" s="4">
        <f>(H5+I5)-(F5+G5)</f>
        <v/>
      </c>
    </row>
    <row r="6">
      <c r="A6" s="3" t="inlineStr">
        <is>
          <t>2026-09-05</t>
        </is>
      </c>
      <c r="B6" s="3" t="inlineStr">
        <is>
          <t>Colchester United</t>
        </is>
      </c>
      <c r="C6" s="3" t="inlineStr">
        <is>
          <t>Home</t>
        </is>
      </c>
      <c r="D6" s="3" t="n">
        <v>3</v>
      </c>
      <c r="E6" s="3" t="n">
        <v>1</v>
      </c>
      <c r="F6" s="4" t="n">
        <v>1.4</v>
      </c>
      <c r="G6" s="4" t="n">
        <v>1.34</v>
      </c>
      <c r="H6" s="4" t="n">
        <v>2.06</v>
      </c>
      <c r="I6" s="4" t="n">
        <v>1.49</v>
      </c>
      <c r="J6" s="4" t="n">
        <v>0.66</v>
      </c>
      <c r="K6" s="4" t="n">
        <v>0.15</v>
      </c>
      <c r="L6" s="4" t="n">
        <v>-0.14</v>
      </c>
      <c r="M6" s="4" t="n">
        <v>0.01</v>
      </c>
      <c r="N6" s="4">
        <f>(H6-I6)-(F6-G6)</f>
        <v/>
      </c>
      <c r="O6" s="4">
        <f>(H6+I6)-(F6+G6)</f>
        <v/>
      </c>
    </row>
    <row r="7">
      <c r="A7" s="3" t="inlineStr">
        <is>
          <t>2026-09-12</t>
        </is>
      </c>
      <c r="B7" s="3" t="inlineStr">
        <is>
          <t>York</t>
        </is>
      </c>
      <c r="C7" s="3" t="inlineStr">
        <is>
          <t>Away</t>
        </is>
      </c>
      <c r="D7" s="3" t="n">
        <v>0</v>
      </c>
      <c r="E7" s="3" t="n">
        <v>4</v>
      </c>
      <c r="F7" s="4" t="n">
        <v>1.07</v>
      </c>
      <c r="G7" s="4" t="n">
        <v>2.02</v>
      </c>
      <c r="H7" s="4" t="n">
        <v>0.58</v>
      </c>
      <c r="I7" s="4" t="n">
        <v>2.42</v>
      </c>
      <c r="J7" s="4" t="n">
        <v>-0.49</v>
      </c>
      <c r="K7" s="4" t="n">
        <v>0.4</v>
      </c>
      <c r="L7" s="4" t="n">
        <v>-0.2</v>
      </c>
      <c r="M7" s="4" t="n">
        <v>0.08</v>
      </c>
      <c r="N7" s="4">
        <f>(H7-I7)-(F7-G7)</f>
        <v/>
      </c>
      <c r="O7" s="4">
        <f>(H7+I7)-(F7+G7)</f>
        <v/>
      </c>
    </row>
    <row r="9">
      <c r="A9" s="6" t="inlineStr">
        <is>
          <t>Season summary</t>
        </is>
      </c>
    </row>
    <row r="10">
      <c r="A10" s="3" t="inlineStr">
        <is>
          <t>Matches played</t>
        </is>
      </c>
      <c r="E10" s="7">
        <f>COUNTA(A2:A7)</f>
        <v/>
      </c>
    </row>
    <row r="11">
      <c r="A11" s="3" t="inlineStr">
        <is>
          <t>Total goals for</t>
        </is>
      </c>
      <c r="E11" s="7">
        <f>SUM(D2:D7)</f>
        <v/>
      </c>
    </row>
    <row r="12">
      <c r="A12" s="3" t="inlineStr">
        <is>
          <t>Total goals against</t>
        </is>
      </c>
      <c r="E12" s="7">
        <f>SUM(E2:E7)</f>
        <v/>
      </c>
    </row>
    <row r="13">
      <c r="A13" s="3" t="inlineStr">
        <is>
          <t>Avg xG Delta (For)</t>
        </is>
      </c>
      <c r="E13" s="8">
        <f>AVERAGE(J2:J7)</f>
        <v/>
      </c>
    </row>
    <row r="14">
      <c r="A14" s="3" t="inlineStr">
        <is>
          <t>Avg xG Delta (Against)</t>
        </is>
      </c>
      <c r="E14" s="8">
        <f>AVERAGE(K2:K7)</f>
        <v/>
      </c>
    </row>
    <row r="15">
      <c r="A15" s="3" t="inlineStr">
        <is>
          <t>Avg Supremacy Delta</t>
        </is>
      </c>
      <c r="E15" s="8">
        <f>AVERAGE(N2:N7)</f>
        <v/>
      </c>
    </row>
    <row r="16">
      <c r="A16" s="3" t="inlineStr">
        <is>
          <t>Avg Total xG Delta</t>
        </is>
      </c>
      <c r="E16" s="8">
        <f>AVERAGE(O2:O7)</f>
        <v/>
      </c>
    </row>
    <row r="17">
      <c r="A17" s="3" t="inlineStr">
        <is>
          <t>Current form (last 6, For)</t>
        </is>
      </c>
      <c r="E17" s="8">
        <f>L7</f>
        <v/>
      </c>
    </row>
    <row r="18">
      <c r="A18" s="3" t="inlineStr">
        <is>
          <t>Current form (last 6, Against)</t>
        </is>
      </c>
      <c r="E18" s="8">
        <f>M7</f>
        <v/>
      </c>
    </row>
  </sheetData>
  <mergeCells count="9">
    <mergeCell ref="A17:D17"/>
    <mergeCell ref="A18:D18"/>
    <mergeCell ref="A12:D12"/>
    <mergeCell ref="A15:D15"/>
    <mergeCell ref="A16:D16"/>
    <mergeCell ref="A11:D11"/>
    <mergeCell ref="A10:D10"/>
    <mergeCell ref="A13:D13"/>
    <mergeCell ref="A14:D14"/>
  </mergeCells>
  <conditionalFormatting sqref="J2:J7">
    <cfRule type="colorScale" priority="1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L2:L7">
    <cfRule type="colorScale" priority="2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N2:N7">
    <cfRule type="colorScale" priority="3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K2:K7">
    <cfRule type="colorScale" priority="4">
      <colorScale>
        <cfvo type="min"/>
        <cfvo type="percentile" val="50"/>
        <cfvo type="max"/>
        <color rgb="0063BE7B"/>
        <color rgb="00FFFFFF"/>
        <color rgb="00F8696B"/>
      </colorScale>
    </cfRule>
  </conditionalFormatting>
  <conditionalFormatting sqref="M2:M7">
    <cfRule type="colorScale" priority="5">
      <colorScale>
        <cfvo type="min"/>
        <cfvo type="percentile" val="5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O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5" customWidth="1" min="13" max="13"/>
    <col width="6" customWidth="1" min="14" max="14"/>
    <col width="6" customWidth="1" min="15" max="15"/>
  </cols>
  <sheetData>
    <row r="1" ht="30" customHeight="1">
      <c r="A1" s="1" t="inlineStr">
        <is>
          <t>Date</t>
        </is>
      </c>
      <c r="B1" s="1" t="inlineStr">
        <is>
          <t>Opponent</t>
        </is>
      </c>
      <c r="C1" s="1" t="inlineStr">
        <is>
          <t>Venue</t>
        </is>
      </c>
      <c r="D1" s="1" t="inlineStr">
        <is>
          <t>Goals For</t>
        </is>
      </c>
      <c r="E1" s="1" t="inlineStr">
        <is>
          <t>Goals Against</t>
        </is>
      </c>
      <c r="F1" s="1" t="inlineStr">
        <is>
          <t>xG Pre-Match (For)</t>
        </is>
      </c>
      <c r="G1" s="1" t="inlineStr">
        <is>
          <t>xG Pre-Match (Against)</t>
        </is>
      </c>
      <c r="H1" s="1" t="inlineStr">
        <is>
          <t>xG Actual (For)</t>
        </is>
      </c>
      <c r="I1" s="1" t="inlineStr">
        <is>
          <t>xG Actual (Against)</t>
        </is>
      </c>
      <c r="J1" s="1" t="inlineStr">
        <is>
          <t>xG Delta (For)</t>
        </is>
      </c>
      <c r="K1" s="1" t="inlineStr">
        <is>
          <t>xG Delta (Against)</t>
        </is>
      </c>
      <c r="L1" s="1" t="inlineStr">
        <is>
          <t>Rolling Delta (For)</t>
        </is>
      </c>
      <c r="M1" s="1" t="inlineStr">
        <is>
          <t>Rolling Delta (Against)</t>
        </is>
      </c>
      <c r="N1" s="1" t="inlineStr">
        <is>
          <t>Supremacy Delta</t>
        </is>
      </c>
      <c r="O1" s="1" t="inlineStr">
        <is>
          <t>Match Total xG Delta</t>
        </is>
      </c>
    </row>
    <row r="2">
      <c r="A2" s="3" t="inlineStr">
        <is>
          <t>2026-08-15</t>
        </is>
      </c>
      <c r="B2" s="3" t="inlineStr">
        <is>
          <t>Shrewsbury Town</t>
        </is>
      </c>
      <c r="C2" s="3" t="inlineStr">
        <is>
          <t>Home</t>
        </is>
      </c>
      <c r="D2" s="3" t="n">
        <v>2</v>
      </c>
      <c r="E2" s="3" t="n">
        <v>0</v>
      </c>
      <c r="F2" s="4" t="n">
        <v>1.4</v>
      </c>
      <c r="G2" s="4" t="n">
        <v>1.1</v>
      </c>
      <c r="H2" s="4" t="n">
        <v>1.16</v>
      </c>
      <c r="I2" s="4" t="n">
        <v>1.28</v>
      </c>
      <c r="J2" s="4" t="n">
        <v>-0.24</v>
      </c>
      <c r="K2" s="4" t="n">
        <v>0.18</v>
      </c>
      <c r="L2" s="4" t="n">
        <v>-0.24</v>
      </c>
      <c r="M2" s="4" t="n">
        <v>0.18</v>
      </c>
      <c r="N2" s="4">
        <f>(H2-I2)-(F2-G2)</f>
        <v/>
      </c>
      <c r="O2" s="4">
        <f>(H2+I2)-(F2+G2)</f>
        <v/>
      </c>
    </row>
    <row r="3">
      <c r="A3" s="3" t="inlineStr">
        <is>
          <t>2026-08-22</t>
        </is>
      </c>
      <c r="B3" s="3" t="inlineStr">
        <is>
          <t>Port Vale</t>
        </is>
      </c>
      <c r="C3" s="3" t="inlineStr">
        <is>
          <t>Away</t>
        </is>
      </c>
      <c r="D3" s="3" t="n">
        <v>1</v>
      </c>
      <c r="E3" s="3" t="n">
        <v>1</v>
      </c>
      <c r="F3" s="4" t="n">
        <v>0.87</v>
      </c>
      <c r="G3" s="4" t="n">
        <v>1.64</v>
      </c>
      <c r="H3" s="4" t="n">
        <v>0.71</v>
      </c>
      <c r="I3" s="4" t="n">
        <v>1.79</v>
      </c>
      <c r="J3" s="4" t="n">
        <v>-0.16</v>
      </c>
      <c r="K3" s="4" t="n">
        <v>0.15</v>
      </c>
      <c r="L3" s="4" t="n">
        <v>-0.2</v>
      </c>
      <c r="M3" s="4" t="n">
        <v>0.17</v>
      </c>
      <c r="N3" s="4">
        <f>(H3-I3)-(F3-G3)</f>
        <v/>
      </c>
      <c r="O3" s="4">
        <f>(H3+I3)-(F3+G3)</f>
        <v/>
      </c>
    </row>
    <row r="4">
      <c r="A4" s="3" t="inlineStr">
        <is>
          <t>2026-08-29</t>
        </is>
      </c>
      <c r="B4" s="3" t="inlineStr">
        <is>
          <t>Newport County</t>
        </is>
      </c>
      <c r="C4" s="3" t="inlineStr">
        <is>
          <t>Away</t>
        </is>
      </c>
      <c r="D4" s="3" t="n">
        <v>2</v>
      </c>
      <c r="E4" s="3" t="n">
        <v>2</v>
      </c>
      <c r="F4" s="4" t="n">
        <v>1.23</v>
      </c>
      <c r="G4" s="4" t="n">
        <v>1.27</v>
      </c>
      <c r="H4" s="4" t="n">
        <v>0.9399999999999999</v>
      </c>
      <c r="I4" s="4" t="n">
        <v>1.06</v>
      </c>
      <c r="J4" s="4" t="n">
        <v>-0.29</v>
      </c>
      <c r="K4" s="4" t="n">
        <v>-0.21</v>
      </c>
      <c r="L4" s="4" t="n">
        <v>-0.23</v>
      </c>
      <c r="M4" s="4" t="n">
        <v>0.04</v>
      </c>
      <c r="N4" s="4">
        <f>(H4-I4)-(F4-G4)</f>
        <v/>
      </c>
      <c r="O4" s="4">
        <f>(H4+I4)-(F4+G4)</f>
        <v/>
      </c>
    </row>
    <row r="5">
      <c r="A5" s="3" t="inlineStr">
        <is>
          <t>2026-09-01</t>
        </is>
      </c>
      <c r="B5" s="3" t="inlineStr">
        <is>
          <t>Rotherham United</t>
        </is>
      </c>
      <c r="C5" s="3" t="inlineStr">
        <is>
          <t>Home</t>
        </is>
      </c>
      <c r="D5" s="3" t="n">
        <v>2</v>
      </c>
      <c r="E5" s="3" t="n">
        <v>2</v>
      </c>
      <c r="F5" s="4" t="n">
        <v>1.41</v>
      </c>
      <c r="G5" s="4" t="n">
        <v>1.12</v>
      </c>
      <c r="H5" s="4" t="n">
        <v>0.74</v>
      </c>
      <c r="I5" s="4" t="n">
        <v>2.02</v>
      </c>
      <c r="J5" s="4" t="n">
        <v>-0.67</v>
      </c>
      <c r="K5" s="4" t="n">
        <v>0.9</v>
      </c>
      <c r="L5" s="4" t="n">
        <v>-0.34</v>
      </c>
      <c r="M5" s="4" t="n">
        <v>0.26</v>
      </c>
      <c r="N5" s="4">
        <f>(H5-I5)-(F5-G5)</f>
        <v/>
      </c>
      <c r="O5" s="4">
        <f>(H5+I5)-(F5+G5)</f>
        <v/>
      </c>
    </row>
    <row r="6">
      <c r="A6" s="3" t="inlineStr">
        <is>
          <t>2026-09-05</t>
        </is>
      </c>
      <c r="B6" s="3" t="inlineStr">
        <is>
          <t>Oldham Athletic</t>
        </is>
      </c>
      <c r="C6" s="3" t="inlineStr">
        <is>
          <t>Home</t>
        </is>
      </c>
      <c r="D6" s="3" t="n">
        <v>2</v>
      </c>
      <c r="E6" s="3" t="n">
        <v>0</v>
      </c>
      <c r="F6" s="4" t="n">
        <v>1.15</v>
      </c>
      <c r="G6" s="4" t="n">
        <v>1.41</v>
      </c>
      <c r="H6" s="4" t="n">
        <v>1.96</v>
      </c>
      <c r="I6" s="4" t="n">
        <v>1.94</v>
      </c>
      <c r="J6" s="4" t="n">
        <v>0.8100000000000001</v>
      </c>
      <c r="K6" s="4" t="n">
        <v>0.53</v>
      </c>
      <c r="L6" s="4" t="n">
        <v>-0.11</v>
      </c>
      <c r="M6" s="4" t="n">
        <v>0.31</v>
      </c>
      <c r="N6" s="4">
        <f>(H6-I6)-(F6-G6)</f>
        <v/>
      </c>
      <c r="O6" s="4">
        <f>(H6+I6)-(F6+G6)</f>
        <v/>
      </c>
    </row>
    <row r="7">
      <c r="A7" s="3" t="inlineStr">
        <is>
          <t>2026-09-12</t>
        </is>
      </c>
      <c r="B7" s="3" t="inlineStr">
        <is>
          <t>Gillingham</t>
        </is>
      </c>
      <c r="C7" s="3" t="inlineStr">
        <is>
          <t>Away</t>
        </is>
      </c>
      <c r="D7" s="3" t="n">
        <v>0</v>
      </c>
      <c r="E7" s="3" t="n">
        <v>2</v>
      </c>
      <c r="F7" s="4" t="n">
        <v>1.26</v>
      </c>
      <c r="G7" s="4" t="n">
        <v>1.28</v>
      </c>
      <c r="H7" s="4" t="n">
        <v>0.9</v>
      </c>
      <c r="I7" s="4" t="n">
        <v>1.28</v>
      </c>
      <c r="J7" s="4" t="n">
        <v>-0.36</v>
      </c>
      <c r="K7" s="4" t="n">
        <v>0</v>
      </c>
      <c r="L7" s="4" t="n">
        <v>-0.15</v>
      </c>
      <c r="M7" s="4" t="n">
        <v>0.26</v>
      </c>
      <c r="N7" s="4">
        <f>(H7-I7)-(F7-G7)</f>
        <v/>
      </c>
      <c r="O7" s="4">
        <f>(H7+I7)-(F7+G7)</f>
        <v/>
      </c>
    </row>
    <row r="9">
      <c r="A9" s="6" t="inlineStr">
        <is>
          <t>Season summary</t>
        </is>
      </c>
    </row>
    <row r="10">
      <c r="A10" s="3" t="inlineStr">
        <is>
          <t>Matches played</t>
        </is>
      </c>
      <c r="E10" s="7">
        <f>COUNTA(A2:A7)</f>
        <v/>
      </c>
    </row>
    <row r="11">
      <c r="A11" s="3" t="inlineStr">
        <is>
          <t>Total goals for</t>
        </is>
      </c>
      <c r="E11" s="7">
        <f>SUM(D2:D7)</f>
        <v/>
      </c>
    </row>
    <row r="12">
      <c r="A12" s="3" t="inlineStr">
        <is>
          <t>Total goals against</t>
        </is>
      </c>
      <c r="E12" s="7">
        <f>SUM(E2:E7)</f>
        <v/>
      </c>
    </row>
    <row r="13">
      <c r="A13" s="3" t="inlineStr">
        <is>
          <t>Avg xG Delta (For)</t>
        </is>
      </c>
      <c r="E13" s="8">
        <f>AVERAGE(J2:J7)</f>
        <v/>
      </c>
    </row>
    <row r="14">
      <c r="A14" s="3" t="inlineStr">
        <is>
          <t>Avg xG Delta (Against)</t>
        </is>
      </c>
      <c r="E14" s="8">
        <f>AVERAGE(K2:K7)</f>
        <v/>
      </c>
    </row>
    <row r="15">
      <c r="A15" s="3" t="inlineStr">
        <is>
          <t>Avg Supremacy Delta</t>
        </is>
      </c>
      <c r="E15" s="8">
        <f>AVERAGE(N2:N7)</f>
        <v/>
      </c>
    </row>
    <row r="16">
      <c r="A16" s="3" t="inlineStr">
        <is>
          <t>Avg Total xG Delta</t>
        </is>
      </c>
      <c r="E16" s="8">
        <f>AVERAGE(O2:O7)</f>
        <v/>
      </c>
    </row>
    <row r="17">
      <c r="A17" s="3" t="inlineStr">
        <is>
          <t>Current form (last 6, For)</t>
        </is>
      </c>
      <c r="E17" s="8">
        <f>L7</f>
        <v/>
      </c>
    </row>
    <row r="18">
      <c r="A18" s="3" t="inlineStr">
        <is>
          <t>Current form (last 6, Against)</t>
        </is>
      </c>
      <c r="E18" s="8">
        <f>M7</f>
        <v/>
      </c>
    </row>
  </sheetData>
  <mergeCells count="9">
    <mergeCell ref="A17:D17"/>
    <mergeCell ref="A18:D18"/>
    <mergeCell ref="A12:D12"/>
    <mergeCell ref="A15:D15"/>
    <mergeCell ref="A16:D16"/>
    <mergeCell ref="A11:D11"/>
    <mergeCell ref="A10:D10"/>
    <mergeCell ref="A13:D13"/>
    <mergeCell ref="A14:D14"/>
  </mergeCells>
  <conditionalFormatting sqref="J2:J7">
    <cfRule type="colorScale" priority="1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L2:L7">
    <cfRule type="colorScale" priority="2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N2:N7">
    <cfRule type="colorScale" priority="3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K2:K7">
    <cfRule type="colorScale" priority="4">
      <colorScale>
        <cfvo type="min"/>
        <cfvo type="percentile" val="50"/>
        <cfvo type="max"/>
        <color rgb="0063BE7B"/>
        <color rgb="00FFFFFF"/>
        <color rgb="00F8696B"/>
      </colorScale>
    </cfRule>
  </conditionalFormatting>
  <conditionalFormatting sqref="M2:M7">
    <cfRule type="colorScale" priority="5">
      <colorScale>
        <cfvo type="min"/>
        <cfvo type="percentile" val="5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O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9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5" customWidth="1" min="12" max="12"/>
    <col width="5" customWidth="1" min="13" max="13"/>
    <col width="6" customWidth="1" min="14" max="14"/>
    <col width="6" customWidth="1" min="15" max="15"/>
  </cols>
  <sheetData>
    <row r="1" ht="30" customHeight="1">
      <c r="A1" s="1" t="inlineStr">
        <is>
          <t>Date</t>
        </is>
      </c>
      <c r="B1" s="1" t="inlineStr">
        <is>
          <t>Opponent</t>
        </is>
      </c>
      <c r="C1" s="1" t="inlineStr">
        <is>
          <t>Venue</t>
        </is>
      </c>
      <c r="D1" s="1" t="inlineStr">
        <is>
          <t>Goals For</t>
        </is>
      </c>
      <c r="E1" s="1" t="inlineStr">
        <is>
          <t>Goals Against</t>
        </is>
      </c>
      <c r="F1" s="1" t="inlineStr">
        <is>
          <t>xG Pre-Match (For)</t>
        </is>
      </c>
      <c r="G1" s="1" t="inlineStr">
        <is>
          <t>xG Pre-Match (Against)</t>
        </is>
      </c>
      <c r="H1" s="1" t="inlineStr">
        <is>
          <t>xG Actual (For)</t>
        </is>
      </c>
      <c r="I1" s="1" t="inlineStr">
        <is>
          <t>xG Actual (Against)</t>
        </is>
      </c>
      <c r="J1" s="1" t="inlineStr">
        <is>
          <t>xG Delta (For)</t>
        </is>
      </c>
      <c r="K1" s="1" t="inlineStr">
        <is>
          <t>xG Delta (Against)</t>
        </is>
      </c>
      <c r="L1" s="1" t="inlineStr">
        <is>
          <t>Rolling Delta (For)</t>
        </is>
      </c>
      <c r="M1" s="1" t="inlineStr">
        <is>
          <t>Rolling Delta (Against)</t>
        </is>
      </c>
      <c r="N1" s="1" t="inlineStr">
        <is>
          <t>Supremacy Delta</t>
        </is>
      </c>
      <c r="O1" s="1" t="inlineStr">
        <is>
          <t>Match Total xG Delta</t>
        </is>
      </c>
    </row>
    <row r="2">
      <c r="A2" s="3" t="inlineStr">
        <is>
          <t>2026-08-15</t>
        </is>
      </c>
      <c r="B2" s="3" t="inlineStr">
        <is>
          <t>Gillingham</t>
        </is>
      </c>
      <c r="C2" s="3" t="inlineStr">
        <is>
          <t>Away</t>
        </is>
      </c>
      <c r="D2" s="3" t="n">
        <v>3</v>
      </c>
      <c r="E2" s="3" t="n">
        <v>0</v>
      </c>
      <c r="F2" s="4" t="n">
        <v>1.15</v>
      </c>
      <c r="G2" s="4" t="n">
        <v>1.43</v>
      </c>
      <c r="H2" s="4" t="n">
        <v>3.1</v>
      </c>
      <c r="I2" s="4" t="n">
        <v>1.45</v>
      </c>
      <c r="J2" s="4" t="n">
        <v>1.95</v>
      </c>
      <c r="K2" s="4" t="n">
        <v>0.02</v>
      </c>
      <c r="L2" s="4" t="n">
        <v>1.95</v>
      </c>
      <c r="M2" s="4" t="n">
        <v>0.02</v>
      </c>
      <c r="N2" s="4">
        <f>(H2-I2)-(F2-G2)</f>
        <v/>
      </c>
      <c r="O2" s="4">
        <f>(H2+I2)-(F2+G2)</f>
        <v/>
      </c>
    </row>
    <row r="3">
      <c r="A3" s="3" t="inlineStr">
        <is>
          <t>2026-08-22</t>
        </is>
      </c>
      <c r="B3" s="3" t="inlineStr">
        <is>
          <t>Grimsby Town</t>
        </is>
      </c>
      <c r="C3" s="3" t="inlineStr">
        <is>
          <t>Home</t>
        </is>
      </c>
      <c r="D3" s="3" t="n">
        <v>0</v>
      </c>
      <c r="E3" s="3" t="n">
        <v>0</v>
      </c>
      <c r="F3" s="4" t="n">
        <v>1.21</v>
      </c>
      <c r="G3" s="4" t="n">
        <v>1.31</v>
      </c>
      <c r="H3" s="4" t="n">
        <v>1.21</v>
      </c>
      <c r="I3" s="4" t="n">
        <v>0.9</v>
      </c>
      <c r="J3" s="4" t="n">
        <v>0</v>
      </c>
      <c r="K3" s="4" t="n">
        <v>-0.41</v>
      </c>
      <c r="L3" s="4" t="n">
        <v>0.98</v>
      </c>
      <c r="M3" s="4" t="n">
        <v>-0.2</v>
      </c>
      <c r="N3" s="4">
        <f>(H3-I3)-(F3-G3)</f>
        <v/>
      </c>
      <c r="O3" s="4">
        <f>(H3+I3)-(F3+G3)</f>
        <v/>
      </c>
    </row>
    <row r="4">
      <c r="A4" s="3" t="inlineStr">
        <is>
          <t>2026-08-29</t>
        </is>
      </c>
      <c r="B4" s="3" t="inlineStr">
        <is>
          <t>Accrington Stanley</t>
        </is>
      </c>
      <c r="C4" s="3" t="inlineStr">
        <is>
          <t>Home</t>
        </is>
      </c>
      <c r="D4" s="3" t="n">
        <v>3</v>
      </c>
      <c r="E4" s="3" t="n">
        <v>2</v>
      </c>
      <c r="F4" s="4" t="n">
        <v>1.58</v>
      </c>
      <c r="G4" s="4" t="n">
        <v>0.97</v>
      </c>
      <c r="H4" s="4" t="n">
        <v>2.22</v>
      </c>
      <c r="I4" s="4" t="n">
        <v>2.29</v>
      </c>
      <c r="J4" s="4" t="n">
        <v>0.64</v>
      </c>
      <c r="K4" s="4" t="n">
        <v>1.32</v>
      </c>
      <c r="L4" s="4" t="n">
        <v>0.87</v>
      </c>
      <c r="M4" s="4" t="n">
        <v>0.31</v>
      </c>
      <c r="N4" s="4">
        <f>(H4-I4)-(F4-G4)</f>
        <v/>
      </c>
      <c r="O4" s="4">
        <f>(H4+I4)-(F4+G4)</f>
        <v/>
      </c>
    </row>
    <row r="5">
      <c r="A5" s="3" t="inlineStr">
        <is>
          <t>2026-09-01</t>
        </is>
      </c>
      <c r="B5" s="3" t="inlineStr">
        <is>
          <t>Crewe Alexandra</t>
        </is>
      </c>
      <c r="C5" s="3" t="inlineStr">
        <is>
          <t>Away</t>
        </is>
      </c>
      <c r="D5" s="3" t="n">
        <v>2</v>
      </c>
      <c r="E5" s="3" t="n">
        <v>2</v>
      </c>
      <c r="F5" s="4" t="n">
        <v>1.27</v>
      </c>
      <c r="G5" s="4" t="n">
        <v>1.52</v>
      </c>
      <c r="H5" s="4" t="n">
        <v>1.82</v>
      </c>
      <c r="I5" s="4" t="n">
        <v>1.49</v>
      </c>
      <c r="J5" s="4" t="n">
        <v>0.55</v>
      </c>
      <c r="K5" s="4" t="n">
        <v>-0.03</v>
      </c>
      <c r="L5" s="4" t="n">
        <v>0.79</v>
      </c>
      <c r="M5" s="4" t="n">
        <v>0.23</v>
      </c>
      <c r="N5" s="4">
        <f>(H5-I5)-(F5-G5)</f>
        <v/>
      </c>
      <c r="O5" s="4">
        <f>(H5+I5)-(F5+G5)</f>
        <v/>
      </c>
    </row>
    <row r="6">
      <c r="A6" s="3" t="inlineStr">
        <is>
          <t>2026-09-05</t>
        </is>
      </c>
      <c r="B6" s="3" t="inlineStr">
        <is>
          <t>Exeter</t>
        </is>
      </c>
      <c r="C6" s="3" t="inlineStr">
        <is>
          <t>Away</t>
        </is>
      </c>
      <c r="D6" s="3" t="n">
        <v>0</v>
      </c>
      <c r="E6" s="3" t="n">
        <v>0</v>
      </c>
      <c r="F6" s="4" t="n">
        <v>1.35</v>
      </c>
      <c r="G6" s="4" t="n">
        <v>1.41</v>
      </c>
      <c r="H6" s="4" t="n">
        <v>0.4</v>
      </c>
      <c r="I6" s="4" t="n">
        <v>1.52</v>
      </c>
      <c r="J6" s="4" t="n">
        <v>-0.95</v>
      </c>
      <c r="K6" s="4" t="n">
        <v>0.11</v>
      </c>
      <c r="L6" s="4" t="n">
        <v>0.44</v>
      </c>
      <c r="M6" s="4" t="n">
        <v>0.2</v>
      </c>
      <c r="N6" s="4">
        <f>(H6-I6)-(F6-G6)</f>
        <v/>
      </c>
      <c r="O6" s="4">
        <f>(H6+I6)-(F6+G6)</f>
        <v/>
      </c>
    </row>
    <row r="7">
      <c r="A7" s="3" t="inlineStr">
        <is>
          <t>2026-09-12</t>
        </is>
      </c>
      <c r="B7" s="3" t="inlineStr">
        <is>
          <t>Rochdale</t>
        </is>
      </c>
      <c r="C7" s="3" t="inlineStr">
        <is>
          <t>Home</t>
        </is>
      </c>
      <c r="D7" s="3" t="n">
        <v>0</v>
      </c>
      <c r="E7" s="3" t="n">
        <v>0</v>
      </c>
      <c r="F7" s="4" t="n">
        <v>1.82</v>
      </c>
      <c r="G7" s="4" t="n">
        <v>1.02</v>
      </c>
      <c r="H7" s="4" t="n">
        <v>1.76</v>
      </c>
      <c r="I7" s="4" t="n">
        <v>0.43</v>
      </c>
      <c r="J7" s="4" t="n">
        <v>-0.06</v>
      </c>
      <c r="K7" s="4" t="n">
        <v>-0.59</v>
      </c>
      <c r="L7" s="4" t="n">
        <v>0.36</v>
      </c>
      <c r="M7" s="4" t="n">
        <v>0.07000000000000001</v>
      </c>
      <c r="N7" s="4">
        <f>(H7-I7)-(F7-G7)</f>
        <v/>
      </c>
      <c r="O7" s="4">
        <f>(H7+I7)-(F7+G7)</f>
        <v/>
      </c>
    </row>
    <row r="9">
      <c r="A9" s="6" t="inlineStr">
        <is>
          <t>Season summary</t>
        </is>
      </c>
    </row>
    <row r="10">
      <c r="A10" s="3" t="inlineStr">
        <is>
          <t>Matches played</t>
        </is>
      </c>
      <c r="E10" s="7">
        <f>COUNTA(A2:A7)</f>
        <v/>
      </c>
    </row>
    <row r="11">
      <c r="A11" s="3" t="inlineStr">
        <is>
          <t>Total goals for</t>
        </is>
      </c>
      <c r="E11" s="7">
        <f>SUM(D2:D7)</f>
        <v/>
      </c>
    </row>
    <row r="12">
      <c r="A12" s="3" t="inlineStr">
        <is>
          <t>Total goals against</t>
        </is>
      </c>
      <c r="E12" s="7">
        <f>SUM(E2:E7)</f>
        <v/>
      </c>
    </row>
    <row r="13">
      <c r="A13" s="3" t="inlineStr">
        <is>
          <t>Avg xG Delta (For)</t>
        </is>
      </c>
      <c r="E13" s="8">
        <f>AVERAGE(J2:J7)</f>
        <v/>
      </c>
    </row>
    <row r="14">
      <c r="A14" s="3" t="inlineStr">
        <is>
          <t>Avg xG Delta (Against)</t>
        </is>
      </c>
      <c r="E14" s="8">
        <f>AVERAGE(K2:K7)</f>
        <v/>
      </c>
    </row>
    <row r="15">
      <c r="A15" s="3" t="inlineStr">
        <is>
          <t>Avg Supremacy Delta</t>
        </is>
      </c>
      <c r="E15" s="8">
        <f>AVERAGE(N2:N7)</f>
        <v/>
      </c>
    </row>
    <row r="16">
      <c r="A16" s="3" t="inlineStr">
        <is>
          <t>Avg Total xG Delta</t>
        </is>
      </c>
      <c r="E16" s="8">
        <f>AVERAGE(O2:O7)</f>
        <v/>
      </c>
    </row>
    <row r="17">
      <c r="A17" s="3" t="inlineStr">
        <is>
          <t>Current form (last 6, For)</t>
        </is>
      </c>
      <c r="E17" s="8">
        <f>L7</f>
        <v/>
      </c>
    </row>
    <row r="18">
      <c r="A18" s="3" t="inlineStr">
        <is>
          <t>Current form (last 6, Against)</t>
        </is>
      </c>
      <c r="E18" s="8">
        <f>M7</f>
        <v/>
      </c>
    </row>
  </sheetData>
  <mergeCells count="9">
    <mergeCell ref="A17:D17"/>
    <mergeCell ref="A18:D18"/>
    <mergeCell ref="A12:D12"/>
    <mergeCell ref="A15:D15"/>
    <mergeCell ref="A16:D16"/>
    <mergeCell ref="A11:D11"/>
    <mergeCell ref="A10:D10"/>
    <mergeCell ref="A13:D13"/>
    <mergeCell ref="A14:D14"/>
  </mergeCells>
  <conditionalFormatting sqref="J2:J7">
    <cfRule type="colorScale" priority="1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L2:L7">
    <cfRule type="colorScale" priority="2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N2:N7">
    <cfRule type="colorScale" priority="3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K2:K7">
    <cfRule type="colorScale" priority="4">
      <colorScale>
        <cfvo type="min"/>
        <cfvo type="percentile" val="50"/>
        <cfvo type="max"/>
        <color rgb="0063BE7B"/>
        <color rgb="00FFFFFF"/>
        <color rgb="00F8696B"/>
      </colorScale>
    </cfRule>
  </conditionalFormatting>
  <conditionalFormatting sqref="M2:M7">
    <cfRule type="colorScale" priority="5">
      <colorScale>
        <cfvo type="min"/>
        <cfvo type="percentile" val="5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O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5" customWidth="1" min="12" max="12"/>
    <col width="6" customWidth="1" min="13" max="13"/>
    <col width="6" customWidth="1" min="14" max="14"/>
    <col width="6" customWidth="1" min="15" max="15"/>
  </cols>
  <sheetData>
    <row r="1" ht="30" customHeight="1">
      <c r="A1" s="1" t="inlineStr">
        <is>
          <t>Date</t>
        </is>
      </c>
      <c r="B1" s="1" t="inlineStr">
        <is>
          <t>Opponent</t>
        </is>
      </c>
      <c r="C1" s="1" t="inlineStr">
        <is>
          <t>Venue</t>
        </is>
      </c>
      <c r="D1" s="1" t="inlineStr">
        <is>
          <t>Goals For</t>
        </is>
      </c>
      <c r="E1" s="1" t="inlineStr">
        <is>
          <t>Goals Against</t>
        </is>
      </c>
      <c r="F1" s="1" t="inlineStr">
        <is>
          <t>xG Pre-Match (For)</t>
        </is>
      </c>
      <c r="G1" s="1" t="inlineStr">
        <is>
          <t>xG Pre-Match (Against)</t>
        </is>
      </c>
      <c r="H1" s="1" t="inlineStr">
        <is>
          <t>xG Actual (For)</t>
        </is>
      </c>
      <c r="I1" s="1" t="inlineStr">
        <is>
          <t>xG Actual (Against)</t>
        </is>
      </c>
      <c r="J1" s="1" t="inlineStr">
        <is>
          <t>xG Delta (For)</t>
        </is>
      </c>
      <c r="K1" s="1" t="inlineStr">
        <is>
          <t>xG Delta (Against)</t>
        </is>
      </c>
      <c r="L1" s="1" t="inlineStr">
        <is>
          <t>Rolling Delta (For)</t>
        </is>
      </c>
      <c r="M1" s="1" t="inlineStr">
        <is>
          <t>Rolling Delta (Against)</t>
        </is>
      </c>
      <c r="N1" s="1" t="inlineStr">
        <is>
          <t>Supremacy Delta</t>
        </is>
      </c>
      <c r="O1" s="1" t="inlineStr">
        <is>
          <t>Match Total xG Delta</t>
        </is>
      </c>
    </row>
    <row r="2">
      <c r="A2" s="3" t="inlineStr">
        <is>
          <t>2026-08-15</t>
        </is>
      </c>
      <c r="B2" s="3" t="inlineStr">
        <is>
          <t>Bristol Rvs</t>
        </is>
      </c>
      <c r="C2" s="3" t="inlineStr">
        <is>
          <t>Home</t>
        </is>
      </c>
      <c r="D2" s="3" t="n">
        <v>3</v>
      </c>
      <c r="E2" s="3" t="n">
        <v>2</v>
      </c>
      <c r="F2" s="4" t="n">
        <v>1.41</v>
      </c>
      <c r="G2" s="4" t="n">
        <v>1.09</v>
      </c>
      <c r="H2" s="4" t="n">
        <v>1.93</v>
      </c>
      <c r="I2" s="4" t="n">
        <v>1.83</v>
      </c>
      <c r="J2" s="4" t="n">
        <v>0.52</v>
      </c>
      <c r="K2" s="4" t="n">
        <v>0.74</v>
      </c>
      <c r="L2" s="4" t="n">
        <v>0.52</v>
      </c>
      <c r="M2" s="4" t="n">
        <v>0.74</v>
      </c>
      <c r="N2" s="4">
        <f>(H2-I2)-(F2-G2)</f>
        <v/>
      </c>
      <c r="O2" s="4">
        <f>(H2+I2)-(F2+G2)</f>
        <v/>
      </c>
    </row>
    <row r="3">
      <c r="A3" s="3" t="inlineStr">
        <is>
          <t>2026-08-22</t>
        </is>
      </c>
      <c r="B3" s="3" t="inlineStr">
        <is>
          <t>Rotherham United</t>
        </is>
      </c>
      <c r="C3" s="3" t="inlineStr">
        <is>
          <t>Away</t>
        </is>
      </c>
      <c r="D3" s="3" t="n">
        <v>1</v>
      </c>
      <c r="E3" s="3" t="n">
        <v>1</v>
      </c>
      <c r="F3" s="4" t="n">
        <v>1.3</v>
      </c>
      <c r="G3" s="4" t="n">
        <v>1.37</v>
      </c>
      <c r="H3" s="4" t="n">
        <v>2.32</v>
      </c>
      <c r="I3" s="4" t="n">
        <v>1</v>
      </c>
      <c r="J3" s="4" t="n">
        <v>1.02</v>
      </c>
      <c r="K3" s="4" t="n">
        <v>-0.37</v>
      </c>
      <c r="L3" s="4" t="n">
        <v>0.77</v>
      </c>
      <c r="M3" s="4" t="n">
        <v>0.18</v>
      </c>
      <c r="N3" s="4">
        <f>(H3-I3)-(F3-G3)</f>
        <v/>
      </c>
      <c r="O3" s="4">
        <f>(H3+I3)-(F3+G3)</f>
        <v/>
      </c>
    </row>
    <row r="4">
      <c r="A4" s="3" t="inlineStr">
        <is>
          <t>2026-08-29</t>
        </is>
      </c>
      <c r="B4" s="3" t="inlineStr">
        <is>
          <t>Exeter</t>
        </is>
      </c>
      <c r="C4" s="3" t="inlineStr">
        <is>
          <t>Home</t>
        </is>
      </c>
      <c r="D4" s="3" t="n">
        <v>2</v>
      </c>
      <c r="E4" s="3" t="n">
        <v>1</v>
      </c>
      <c r="F4" s="4" t="n">
        <v>1.8</v>
      </c>
      <c r="G4" s="4" t="n">
        <v>0.96</v>
      </c>
      <c r="H4" s="4" t="n">
        <v>1.18</v>
      </c>
      <c r="I4" s="4" t="n">
        <v>0.89</v>
      </c>
      <c r="J4" s="4" t="n">
        <v>-0.62</v>
      </c>
      <c r="K4" s="4" t="n">
        <v>-0.07000000000000001</v>
      </c>
      <c r="L4" s="4" t="n">
        <v>0.31</v>
      </c>
      <c r="M4" s="4" t="n">
        <v>0.1</v>
      </c>
      <c r="N4" s="4">
        <f>(H4-I4)-(F4-G4)</f>
        <v/>
      </c>
      <c r="O4" s="4">
        <f>(H4+I4)-(F4+G4)</f>
        <v/>
      </c>
    </row>
    <row r="5">
      <c r="A5" s="3" t="inlineStr">
        <is>
          <t>2026-09-01</t>
        </is>
      </c>
      <c r="B5" s="3" t="inlineStr">
        <is>
          <t>Cheltenham Town</t>
        </is>
      </c>
      <c r="C5" s="3" t="inlineStr">
        <is>
          <t>Away</t>
        </is>
      </c>
      <c r="D5" s="3" t="n">
        <v>2</v>
      </c>
      <c r="E5" s="3" t="n">
        <v>3</v>
      </c>
      <c r="F5" s="4" t="n">
        <v>1.7</v>
      </c>
      <c r="G5" s="4" t="n">
        <v>1.1</v>
      </c>
      <c r="H5" s="4" t="n">
        <v>2.59</v>
      </c>
      <c r="I5" s="4" t="n">
        <v>1.36</v>
      </c>
      <c r="J5" s="4" t="n">
        <v>0.89</v>
      </c>
      <c r="K5" s="4" t="n">
        <v>0.26</v>
      </c>
      <c r="L5" s="4" t="n">
        <v>0.45</v>
      </c>
      <c r="M5" s="4" t="n">
        <v>0.14</v>
      </c>
      <c r="N5" s="4">
        <f>(H5-I5)-(F5-G5)</f>
        <v/>
      </c>
      <c r="O5" s="4">
        <f>(H5+I5)-(F5+G5)</f>
        <v/>
      </c>
    </row>
    <row r="6">
      <c r="A6" s="3" t="inlineStr">
        <is>
          <t>2026-09-05</t>
        </is>
      </c>
      <c r="B6" s="3" t="inlineStr">
        <is>
          <t>Crewe Alexandra</t>
        </is>
      </c>
      <c r="C6" s="3" t="inlineStr">
        <is>
          <t>Away</t>
        </is>
      </c>
      <c r="D6" s="3" t="n">
        <v>1</v>
      </c>
      <c r="E6" s="3" t="n">
        <v>1</v>
      </c>
      <c r="F6" s="4" t="n">
        <v>1.44</v>
      </c>
      <c r="G6" s="4" t="n">
        <v>1.28</v>
      </c>
      <c r="H6" s="4" t="n">
        <v>2.51</v>
      </c>
      <c r="I6" s="4" t="n">
        <v>1.14</v>
      </c>
      <c r="J6" s="4" t="n">
        <v>1.07</v>
      </c>
      <c r="K6" s="4" t="n">
        <v>-0.14</v>
      </c>
      <c r="L6" s="4" t="n">
        <v>0.58</v>
      </c>
      <c r="M6" s="4" t="n">
        <v>0.08</v>
      </c>
      <c r="N6" s="4">
        <f>(H6-I6)-(F6-G6)</f>
        <v/>
      </c>
      <c r="O6" s="4">
        <f>(H6+I6)-(F6+G6)</f>
        <v/>
      </c>
    </row>
    <row r="7">
      <c r="A7" s="3" t="inlineStr">
        <is>
          <t>2026-09-12</t>
        </is>
      </c>
      <c r="B7" s="3" t="inlineStr">
        <is>
          <t>Swindon Town</t>
        </is>
      </c>
      <c r="C7" s="3" t="inlineStr">
        <is>
          <t>Home</t>
        </is>
      </c>
      <c r="D7" s="3" t="n">
        <v>4</v>
      </c>
      <c r="E7" s="3" t="n">
        <v>0</v>
      </c>
      <c r="F7" s="4" t="n">
        <v>2.02</v>
      </c>
      <c r="G7" s="4" t="n">
        <v>1.07</v>
      </c>
      <c r="H7" s="4" t="n">
        <v>2.42</v>
      </c>
      <c r="I7" s="4" t="n">
        <v>0.58</v>
      </c>
      <c r="J7" s="4" t="n">
        <v>0.4</v>
      </c>
      <c r="K7" s="4" t="n">
        <v>-0.49</v>
      </c>
      <c r="L7" s="4" t="n">
        <v>0.55</v>
      </c>
      <c r="M7" s="4" t="n">
        <v>-0.01</v>
      </c>
      <c r="N7" s="4">
        <f>(H7-I7)-(F7-G7)</f>
        <v/>
      </c>
      <c r="O7" s="4">
        <f>(H7+I7)-(F7+G7)</f>
        <v/>
      </c>
    </row>
    <row r="9">
      <c r="A9" s="6" t="inlineStr">
        <is>
          <t>Season summary</t>
        </is>
      </c>
    </row>
    <row r="10">
      <c r="A10" s="3" t="inlineStr">
        <is>
          <t>Matches played</t>
        </is>
      </c>
      <c r="E10" s="7">
        <f>COUNTA(A2:A7)</f>
        <v/>
      </c>
    </row>
    <row r="11">
      <c r="A11" s="3" t="inlineStr">
        <is>
          <t>Total goals for</t>
        </is>
      </c>
      <c r="E11" s="7">
        <f>SUM(D2:D7)</f>
        <v/>
      </c>
    </row>
    <row r="12">
      <c r="A12" s="3" t="inlineStr">
        <is>
          <t>Total goals against</t>
        </is>
      </c>
      <c r="E12" s="7">
        <f>SUM(E2:E7)</f>
        <v/>
      </c>
    </row>
    <row r="13">
      <c r="A13" s="3" t="inlineStr">
        <is>
          <t>Avg xG Delta (For)</t>
        </is>
      </c>
      <c r="E13" s="8">
        <f>AVERAGE(J2:J7)</f>
        <v/>
      </c>
    </row>
    <row r="14">
      <c r="A14" s="3" t="inlineStr">
        <is>
          <t>Avg xG Delta (Against)</t>
        </is>
      </c>
      <c r="E14" s="8">
        <f>AVERAGE(K2:K7)</f>
        <v/>
      </c>
    </row>
    <row r="15">
      <c r="A15" s="3" t="inlineStr">
        <is>
          <t>Avg Supremacy Delta</t>
        </is>
      </c>
      <c r="E15" s="8">
        <f>AVERAGE(N2:N7)</f>
        <v/>
      </c>
    </row>
    <row r="16">
      <c r="A16" s="3" t="inlineStr">
        <is>
          <t>Avg Total xG Delta</t>
        </is>
      </c>
      <c r="E16" s="8">
        <f>AVERAGE(O2:O7)</f>
        <v/>
      </c>
    </row>
    <row r="17">
      <c r="A17" s="3" t="inlineStr">
        <is>
          <t>Current form (last 6, For)</t>
        </is>
      </c>
      <c r="E17" s="8">
        <f>L7</f>
        <v/>
      </c>
    </row>
    <row r="18">
      <c r="A18" s="3" t="inlineStr">
        <is>
          <t>Current form (last 6, Against)</t>
        </is>
      </c>
      <c r="E18" s="8">
        <f>M7</f>
        <v/>
      </c>
    </row>
  </sheetData>
  <mergeCells count="9">
    <mergeCell ref="A17:D17"/>
    <mergeCell ref="A18:D18"/>
    <mergeCell ref="A12:D12"/>
    <mergeCell ref="A15:D15"/>
    <mergeCell ref="A16:D16"/>
    <mergeCell ref="A11:D11"/>
    <mergeCell ref="A10:D10"/>
    <mergeCell ref="A13:D13"/>
    <mergeCell ref="A14:D14"/>
  </mergeCells>
  <conditionalFormatting sqref="J2:J7">
    <cfRule type="colorScale" priority="1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L2:L7">
    <cfRule type="colorScale" priority="2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N2:N7">
    <cfRule type="colorScale" priority="3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K2:K7">
    <cfRule type="colorScale" priority="4">
      <colorScale>
        <cfvo type="min"/>
        <cfvo type="percentile" val="50"/>
        <cfvo type="max"/>
        <color rgb="0063BE7B"/>
        <color rgb="00FFFFFF"/>
        <color rgb="00F8696B"/>
      </colorScale>
    </cfRule>
  </conditionalFormatting>
  <conditionalFormatting sqref="M2:M7">
    <cfRule type="colorScale" priority="5">
      <colorScale>
        <cfvo type="min"/>
        <cfvo type="percentile" val="5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E73"/>
  <sheetViews>
    <sheetView workbookViewId="0">
      <selection activeCell="A1" sqref="A1"/>
    </sheetView>
  </sheetViews>
  <sheetFormatPr baseColWidth="8" defaultRowHeight="15"/>
  <cols>
    <col width="11" customWidth="1" min="1" max="1"/>
    <col width="19" customWidth="1" min="2" max="2"/>
    <col width="19" customWidth="1" min="3" max="3"/>
    <col width="4" customWidth="1" min="4" max="4"/>
    <col width="4" customWidth="1" min="5" max="5"/>
  </cols>
  <sheetData>
    <row r="1" ht="30" customHeight="1">
      <c r="A1" s="1" t="inlineStr">
        <is>
          <t>Date</t>
        </is>
      </c>
      <c r="B1" s="1" t="inlineStr">
        <is>
          <t>HomeTeam</t>
        </is>
      </c>
      <c r="C1" s="1" t="inlineStr">
        <is>
          <t>AwayTeam</t>
        </is>
      </c>
      <c r="D1" s="1" t="inlineStr">
        <is>
          <t>FTHG</t>
        </is>
      </c>
      <c r="E1" s="1" t="inlineStr">
        <is>
          <t>FTAG</t>
        </is>
      </c>
    </row>
    <row r="2">
      <c r="A2" t="inlineStr">
        <is>
          <t>2026-08-15</t>
        </is>
      </c>
      <c r="B2" t="inlineStr">
        <is>
          <t>Newport County</t>
        </is>
      </c>
      <c r="C2" t="inlineStr">
        <is>
          <t>Rochdale</t>
        </is>
      </c>
      <c r="D2" t="n">
        <v>3</v>
      </c>
      <c r="E2" t="n">
        <v>0</v>
      </c>
    </row>
    <row r="3">
      <c r="A3" t="inlineStr">
        <is>
          <t>2026-08-15</t>
        </is>
      </c>
      <c r="B3" t="inlineStr">
        <is>
          <t>Oldham Athletic</t>
        </is>
      </c>
      <c r="C3" t="inlineStr">
        <is>
          <t>Port Vale</t>
        </is>
      </c>
      <c r="D3" t="n">
        <v>2</v>
      </c>
      <c r="E3" t="n">
        <v>0</v>
      </c>
    </row>
    <row r="4">
      <c r="A4" t="inlineStr">
        <is>
          <t>2026-08-15</t>
        </is>
      </c>
      <c r="B4" t="inlineStr">
        <is>
          <t>Accrington Stanley</t>
        </is>
      </c>
      <c r="C4" t="inlineStr">
        <is>
          <t>Colchester United</t>
        </is>
      </c>
      <c r="D4" t="n">
        <v>2</v>
      </c>
      <c r="E4" t="n">
        <v>2</v>
      </c>
    </row>
    <row r="5">
      <c r="A5" t="inlineStr">
        <is>
          <t>2026-08-15</t>
        </is>
      </c>
      <c r="B5" t="inlineStr">
        <is>
          <t>Barnet</t>
        </is>
      </c>
      <c r="C5" t="inlineStr">
        <is>
          <t>Salford City</t>
        </is>
      </c>
      <c r="D5" t="n">
        <v>3</v>
      </c>
      <c r="E5" t="n">
        <v>1</v>
      </c>
    </row>
    <row r="6">
      <c r="A6" t="inlineStr">
        <is>
          <t>2026-08-15</t>
        </is>
      </c>
      <c r="B6" t="inlineStr">
        <is>
          <t>Cheltenham Town</t>
        </is>
      </c>
      <c r="C6" t="inlineStr">
        <is>
          <t>Rotherham United</t>
        </is>
      </c>
      <c r="D6" t="n">
        <v>2</v>
      </c>
      <c r="E6" t="n">
        <v>1</v>
      </c>
    </row>
    <row r="7">
      <c r="A7" t="inlineStr">
        <is>
          <t>2026-08-15</t>
        </is>
      </c>
      <c r="B7" t="inlineStr">
        <is>
          <t>Chesterfield</t>
        </is>
      </c>
      <c r="C7" t="inlineStr">
        <is>
          <t>Fleetwood Town</t>
        </is>
      </c>
      <c r="D7" t="n">
        <v>0</v>
      </c>
      <c r="E7" t="n">
        <v>1</v>
      </c>
    </row>
    <row r="8">
      <c r="A8" t="inlineStr">
        <is>
          <t>2026-08-15</t>
        </is>
      </c>
      <c r="B8" t="inlineStr">
        <is>
          <t>Crawley Town</t>
        </is>
      </c>
      <c r="C8" t="inlineStr">
        <is>
          <t>Crewe Alexandra</t>
        </is>
      </c>
      <c r="D8" t="n">
        <v>0</v>
      </c>
      <c r="E8" t="n">
        <v>1</v>
      </c>
    </row>
    <row r="9">
      <c r="A9" t="inlineStr">
        <is>
          <t>2026-08-15</t>
        </is>
      </c>
      <c r="B9" t="inlineStr">
        <is>
          <t>Gillingham</t>
        </is>
      </c>
      <c r="C9" t="inlineStr">
        <is>
          <t>Walsall</t>
        </is>
      </c>
      <c r="D9" t="n">
        <v>0</v>
      </c>
      <c r="E9" t="n">
        <v>3</v>
      </c>
    </row>
    <row r="10">
      <c r="A10" t="inlineStr">
        <is>
          <t>2026-08-15</t>
        </is>
      </c>
      <c r="B10" t="inlineStr">
        <is>
          <t>Grimsby Town</t>
        </is>
      </c>
      <c r="C10" t="inlineStr">
        <is>
          <t>Exeter</t>
        </is>
      </c>
      <c r="D10" t="n">
        <v>1</v>
      </c>
      <c r="E10" t="n">
        <v>0</v>
      </c>
    </row>
    <row r="11">
      <c r="A11" t="inlineStr">
        <is>
          <t>2026-08-15</t>
        </is>
      </c>
      <c r="B11" t="inlineStr">
        <is>
          <t>Northampton Town</t>
        </is>
      </c>
      <c r="C11" t="inlineStr">
        <is>
          <t>Swindon Town</t>
        </is>
      </c>
      <c r="D11" t="n">
        <v>0</v>
      </c>
      <c r="E11" t="n">
        <v>0</v>
      </c>
    </row>
    <row r="12">
      <c r="A12" t="inlineStr">
        <is>
          <t>2026-08-15</t>
        </is>
      </c>
      <c r="B12" t="inlineStr">
        <is>
          <t>Tranmere Rovers</t>
        </is>
      </c>
      <c r="C12" t="inlineStr">
        <is>
          <t>Shrewsbury Town</t>
        </is>
      </c>
      <c r="D12" t="n">
        <v>2</v>
      </c>
      <c r="E12" t="n">
        <v>0</v>
      </c>
    </row>
    <row r="13">
      <c r="A13" t="inlineStr">
        <is>
          <t>2026-08-15</t>
        </is>
      </c>
      <c r="B13" t="inlineStr">
        <is>
          <t>York</t>
        </is>
      </c>
      <c r="C13" t="inlineStr">
        <is>
          <t>Bristol Rvs</t>
        </is>
      </c>
      <c r="D13" t="n">
        <v>3</v>
      </c>
      <c r="E13" t="n">
        <v>2</v>
      </c>
    </row>
    <row r="14">
      <c r="A14" t="inlineStr">
        <is>
          <t>2026-08-22</t>
        </is>
      </c>
      <c r="B14" t="inlineStr">
        <is>
          <t>Bristol Rvs</t>
        </is>
      </c>
      <c r="C14" t="inlineStr">
        <is>
          <t>Newport County</t>
        </is>
      </c>
      <c r="D14" t="n">
        <v>5</v>
      </c>
      <c r="E14" t="n">
        <v>3</v>
      </c>
    </row>
    <row r="15">
      <c r="A15" t="inlineStr">
        <is>
          <t>2026-08-22</t>
        </is>
      </c>
      <c r="B15" t="inlineStr">
        <is>
          <t>Salford City</t>
        </is>
      </c>
      <c r="C15" t="inlineStr">
        <is>
          <t>Chesterfield</t>
        </is>
      </c>
      <c r="D15" t="n">
        <v>0</v>
      </c>
      <c r="E15" t="n">
        <v>1</v>
      </c>
    </row>
    <row r="16">
      <c r="A16" t="inlineStr">
        <is>
          <t>2026-08-22</t>
        </is>
      </c>
      <c r="B16" t="inlineStr">
        <is>
          <t>Walsall</t>
        </is>
      </c>
      <c r="C16" t="inlineStr">
        <is>
          <t>Grimsby Town</t>
        </is>
      </c>
      <c r="D16" t="n">
        <v>0</v>
      </c>
      <c r="E16" t="n">
        <v>0</v>
      </c>
    </row>
    <row r="17">
      <c r="A17" t="inlineStr">
        <is>
          <t>2026-08-22</t>
        </is>
      </c>
      <c r="B17" t="inlineStr">
        <is>
          <t>Colchester United</t>
        </is>
      </c>
      <c r="C17" t="inlineStr">
        <is>
          <t>Oldham Athletic</t>
        </is>
      </c>
      <c r="D17" t="n">
        <v>2</v>
      </c>
      <c r="E17" t="n">
        <v>1</v>
      </c>
    </row>
    <row r="18">
      <c r="A18" t="inlineStr">
        <is>
          <t>2026-08-22</t>
        </is>
      </c>
      <c r="B18" t="inlineStr">
        <is>
          <t>Crewe Alexandra</t>
        </is>
      </c>
      <c r="C18" t="inlineStr">
        <is>
          <t>Northampton Town</t>
        </is>
      </c>
      <c r="D18" t="n">
        <v>1</v>
      </c>
      <c r="E18" t="n">
        <v>0</v>
      </c>
    </row>
    <row r="19">
      <c r="A19" t="inlineStr">
        <is>
          <t>2026-08-22</t>
        </is>
      </c>
      <c r="B19" t="inlineStr">
        <is>
          <t>Exeter</t>
        </is>
      </c>
      <c r="C19" t="inlineStr">
        <is>
          <t>Accrington Stanley</t>
        </is>
      </c>
      <c r="D19" t="n">
        <v>2</v>
      </c>
      <c r="E19" t="n">
        <v>0</v>
      </c>
    </row>
    <row r="20">
      <c r="A20" t="inlineStr">
        <is>
          <t>2026-08-22</t>
        </is>
      </c>
      <c r="B20" t="inlineStr">
        <is>
          <t>Fleetwood Town</t>
        </is>
      </c>
      <c r="C20" t="inlineStr">
        <is>
          <t>Gillingham</t>
        </is>
      </c>
      <c r="D20" t="n">
        <v>0</v>
      </c>
      <c r="E20" t="n">
        <v>0</v>
      </c>
    </row>
    <row r="21">
      <c r="A21" t="inlineStr">
        <is>
          <t>2026-08-22</t>
        </is>
      </c>
      <c r="B21" t="inlineStr">
        <is>
          <t>Port Vale</t>
        </is>
      </c>
      <c r="C21" t="inlineStr">
        <is>
          <t>Tranmere Rovers</t>
        </is>
      </c>
      <c r="D21" t="n">
        <v>1</v>
      </c>
      <c r="E21" t="n">
        <v>1</v>
      </c>
    </row>
    <row r="22">
      <c r="A22" t="inlineStr">
        <is>
          <t>2026-08-22</t>
        </is>
      </c>
      <c r="B22" t="inlineStr">
        <is>
          <t>Rochdale</t>
        </is>
      </c>
      <c r="C22" t="inlineStr">
        <is>
          <t>Crawley Town</t>
        </is>
      </c>
      <c r="D22" t="n">
        <v>1</v>
      </c>
      <c r="E22" t="n">
        <v>2</v>
      </c>
    </row>
    <row r="23">
      <c r="A23" t="inlineStr">
        <is>
          <t>2026-08-22</t>
        </is>
      </c>
      <c r="B23" t="inlineStr">
        <is>
          <t>Rotherham United</t>
        </is>
      </c>
      <c r="C23" t="inlineStr">
        <is>
          <t>York</t>
        </is>
      </c>
      <c r="D23" t="n">
        <v>1</v>
      </c>
      <c r="E23" t="n">
        <v>1</v>
      </c>
    </row>
    <row r="24">
      <c r="A24" t="inlineStr">
        <is>
          <t>2026-08-22</t>
        </is>
      </c>
      <c r="B24" t="inlineStr">
        <is>
          <t>Shrewsbury Town</t>
        </is>
      </c>
      <c r="C24" t="inlineStr">
        <is>
          <t>Barnet</t>
        </is>
      </c>
      <c r="D24" t="n">
        <v>1</v>
      </c>
      <c r="E24" t="n">
        <v>3</v>
      </c>
    </row>
    <row r="25">
      <c r="A25" t="inlineStr">
        <is>
          <t>2026-08-22</t>
        </is>
      </c>
      <c r="B25" t="inlineStr">
        <is>
          <t>Swindon Town</t>
        </is>
      </c>
      <c r="C25" t="inlineStr">
        <is>
          <t>Cheltenham Town</t>
        </is>
      </c>
      <c r="D25" t="n">
        <v>2</v>
      </c>
      <c r="E25" t="n">
        <v>1</v>
      </c>
    </row>
    <row r="26">
      <c r="A26" t="inlineStr">
        <is>
          <t>2026-08-29</t>
        </is>
      </c>
      <c r="B26" t="inlineStr">
        <is>
          <t>Barnet</t>
        </is>
      </c>
      <c r="C26" t="inlineStr">
        <is>
          <t>Cheltenham Town</t>
        </is>
      </c>
      <c r="D26" t="n">
        <v>2</v>
      </c>
      <c r="E26" t="n">
        <v>2</v>
      </c>
    </row>
    <row r="27">
      <c r="A27" t="inlineStr">
        <is>
          <t>2026-08-29</t>
        </is>
      </c>
      <c r="B27" t="inlineStr">
        <is>
          <t>Port Vale</t>
        </is>
      </c>
      <c r="C27" t="inlineStr">
        <is>
          <t>Crewe Alexandra</t>
        </is>
      </c>
      <c r="D27" t="n">
        <v>0</v>
      </c>
      <c r="E27" t="n">
        <v>0</v>
      </c>
    </row>
    <row r="28">
      <c r="A28" t="inlineStr">
        <is>
          <t>2026-08-29</t>
        </is>
      </c>
      <c r="B28" t="inlineStr">
        <is>
          <t>Rotherham United</t>
        </is>
      </c>
      <c r="C28" t="inlineStr">
        <is>
          <t>Chesterfield</t>
        </is>
      </c>
      <c r="D28" t="n">
        <v>2</v>
      </c>
      <c r="E28" t="n">
        <v>1</v>
      </c>
    </row>
    <row r="29">
      <c r="A29" t="inlineStr">
        <is>
          <t>2026-08-29</t>
        </is>
      </c>
      <c r="B29" t="inlineStr">
        <is>
          <t>Colchester United</t>
        </is>
      </c>
      <c r="C29" t="inlineStr">
        <is>
          <t>Rochdale</t>
        </is>
      </c>
      <c r="D29" t="n">
        <v>1</v>
      </c>
      <c r="E29" t="n">
        <v>0</v>
      </c>
    </row>
    <row r="30">
      <c r="A30" t="inlineStr">
        <is>
          <t>2026-08-29</t>
        </is>
      </c>
      <c r="B30" t="inlineStr">
        <is>
          <t>Crawley Town</t>
        </is>
      </c>
      <c r="C30" t="inlineStr">
        <is>
          <t>Bristol Rvs</t>
        </is>
      </c>
      <c r="D30" t="n">
        <v>0</v>
      </c>
      <c r="E30" t="n">
        <v>2</v>
      </c>
    </row>
    <row r="31">
      <c r="A31" t="inlineStr">
        <is>
          <t>2026-08-29</t>
        </is>
      </c>
      <c r="B31" t="inlineStr">
        <is>
          <t>Gillingham</t>
        </is>
      </c>
      <c r="C31" t="inlineStr">
        <is>
          <t>Northampton Town</t>
        </is>
      </c>
      <c r="D31" t="n">
        <v>1</v>
      </c>
      <c r="E31" t="n">
        <v>1</v>
      </c>
    </row>
    <row r="32">
      <c r="A32" t="inlineStr">
        <is>
          <t>2026-08-29</t>
        </is>
      </c>
      <c r="B32" t="inlineStr">
        <is>
          <t>Grimsby Town</t>
        </is>
      </c>
      <c r="C32" t="inlineStr">
        <is>
          <t>Fleetwood Town</t>
        </is>
      </c>
      <c r="D32" t="n">
        <v>2</v>
      </c>
      <c r="E32" t="n">
        <v>2</v>
      </c>
    </row>
    <row r="33">
      <c r="A33" t="inlineStr">
        <is>
          <t>2026-08-29</t>
        </is>
      </c>
      <c r="B33" t="inlineStr">
        <is>
          <t>Newport County</t>
        </is>
      </c>
      <c r="C33" t="inlineStr">
        <is>
          <t>Tranmere Rovers</t>
        </is>
      </c>
      <c r="D33" t="n">
        <v>2</v>
      </c>
      <c r="E33" t="n">
        <v>2</v>
      </c>
    </row>
    <row r="34">
      <c r="A34" t="inlineStr">
        <is>
          <t>2026-08-29</t>
        </is>
      </c>
      <c r="B34" t="inlineStr">
        <is>
          <t>Oldham Athletic</t>
        </is>
      </c>
      <c r="C34" t="inlineStr">
        <is>
          <t>Swindon Town</t>
        </is>
      </c>
      <c r="D34" t="n">
        <v>3</v>
      </c>
      <c r="E34" t="n">
        <v>0</v>
      </c>
    </row>
    <row r="35">
      <c r="A35" t="inlineStr">
        <is>
          <t>2026-08-29</t>
        </is>
      </c>
      <c r="B35" t="inlineStr">
        <is>
          <t>Shrewsbury Town</t>
        </is>
      </c>
      <c r="C35" t="inlineStr">
        <is>
          <t>Salford City</t>
        </is>
      </c>
      <c r="D35" t="n">
        <v>1</v>
      </c>
      <c r="E35" t="n">
        <v>0</v>
      </c>
    </row>
    <row r="36">
      <c r="A36" t="inlineStr">
        <is>
          <t>2026-08-29</t>
        </is>
      </c>
      <c r="B36" t="inlineStr">
        <is>
          <t>Walsall</t>
        </is>
      </c>
      <c r="C36" t="inlineStr">
        <is>
          <t>Accrington Stanley</t>
        </is>
      </c>
      <c r="D36" t="n">
        <v>3</v>
      </c>
      <c r="E36" t="n">
        <v>2</v>
      </c>
    </row>
    <row r="37">
      <c r="A37" t="inlineStr">
        <is>
          <t>2026-08-29</t>
        </is>
      </c>
      <c r="B37" t="inlineStr">
        <is>
          <t>York</t>
        </is>
      </c>
      <c r="C37" t="inlineStr">
        <is>
          <t>Exeter</t>
        </is>
      </c>
      <c r="D37" t="n">
        <v>2</v>
      </c>
      <c r="E37" t="n">
        <v>1</v>
      </c>
    </row>
    <row r="38">
      <c r="A38" t="inlineStr">
        <is>
          <t>2026-09-01</t>
        </is>
      </c>
      <c r="B38" t="inlineStr">
        <is>
          <t>Accrington Stanley</t>
        </is>
      </c>
      <c r="C38" t="inlineStr">
        <is>
          <t>Grimsby Town</t>
        </is>
      </c>
      <c r="D38" t="n">
        <v>2</v>
      </c>
      <c r="E38" t="n">
        <v>2</v>
      </c>
    </row>
    <row r="39">
      <c r="A39" t="inlineStr">
        <is>
          <t>2026-09-01</t>
        </is>
      </c>
      <c r="B39" t="inlineStr">
        <is>
          <t>Bristol Rvs</t>
        </is>
      </c>
      <c r="C39" t="inlineStr">
        <is>
          <t>Colchester United</t>
        </is>
      </c>
      <c r="D39" t="n">
        <v>2</v>
      </c>
      <c r="E39" t="n">
        <v>0</v>
      </c>
    </row>
    <row r="40">
      <c r="A40" t="inlineStr">
        <is>
          <t>2026-09-01</t>
        </is>
      </c>
      <c r="B40" t="inlineStr">
        <is>
          <t>Cheltenham Town</t>
        </is>
      </c>
      <c r="C40" t="inlineStr">
        <is>
          <t>York</t>
        </is>
      </c>
      <c r="D40" t="n">
        <v>3</v>
      </c>
      <c r="E40" t="n">
        <v>2</v>
      </c>
    </row>
    <row r="41">
      <c r="A41" t="inlineStr">
        <is>
          <t>2026-09-01</t>
        </is>
      </c>
      <c r="B41" t="inlineStr">
        <is>
          <t>Chesterfield</t>
        </is>
      </c>
      <c r="C41" t="inlineStr">
        <is>
          <t>Gillingham</t>
        </is>
      </c>
      <c r="D41" t="n">
        <v>1</v>
      </c>
      <c r="E41" t="n">
        <v>1</v>
      </c>
    </row>
    <row r="42">
      <c r="A42" t="inlineStr">
        <is>
          <t>2026-09-01</t>
        </is>
      </c>
      <c r="B42" t="inlineStr">
        <is>
          <t>Crewe Alexandra</t>
        </is>
      </c>
      <c r="C42" t="inlineStr">
        <is>
          <t>Walsall</t>
        </is>
      </c>
      <c r="D42" t="n">
        <v>2</v>
      </c>
      <c r="E42" t="n">
        <v>2</v>
      </c>
    </row>
    <row r="43">
      <c r="A43" t="inlineStr">
        <is>
          <t>2026-09-01</t>
        </is>
      </c>
      <c r="B43" t="inlineStr">
        <is>
          <t>Exeter</t>
        </is>
      </c>
      <c r="C43" t="inlineStr">
        <is>
          <t>Barnet</t>
        </is>
      </c>
      <c r="D43" t="n">
        <v>1</v>
      </c>
      <c r="E43" t="n">
        <v>1</v>
      </c>
    </row>
    <row r="44">
      <c r="A44" t="inlineStr">
        <is>
          <t>2026-09-01</t>
        </is>
      </c>
      <c r="B44" t="inlineStr">
        <is>
          <t>Fleetwood Town</t>
        </is>
      </c>
      <c r="C44" t="inlineStr">
        <is>
          <t>Oldham Athletic</t>
        </is>
      </c>
      <c r="D44" t="n">
        <v>1</v>
      </c>
      <c r="E44" t="n">
        <v>1</v>
      </c>
    </row>
    <row r="45">
      <c r="A45" t="inlineStr">
        <is>
          <t>2026-09-01</t>
        </is>
      </c>
      <c r="B45" t="inlineStr">
        <is>
          <t>Northampton Town</t>
        </is>
      </c>
      <c r="C45" t="inlineStr">
        <is>
          <t>Crawley Town</t>
        </is>
      </c>
      <c r="D45" t="n">
        <v>1</v>
      </c>
      <c r="E45" t="n">
        <v>1</v>
      </c>
    </row>
    <row r="46">
      <c r="A46" t="inlineStr">
        <is>
          <t>2026-09-01</t>
        </is>
      </c>
      <c r="B46" t="inlineStr">
        <is>
          <t>Rochdale</t>
        </is>
      </c>
      <c r="C46" t="inlineStr">
        <is>
          <t>Shrewsbury Town</t>
        </is>
      </c>
      <c r="D46" t="n">
        <v>3</v>
      </c>
      <c r="E46" t="n">
        <v>0</v>
      </c>
    </row>
    <row r="47">
      <c r="A47" t="inlineStr">
        <is>
          <t>2026-09-01</t>
        </is>
      </c>
      <c r="B47" t="inlineStr">
        <is>
          <t>Salford City</t>
        </is>
      </c>
      <c r="C47" t="inlineStr">
        <is>
          <t>Newport County</t>
        </is>
      </c>
      <c r="D47" t="n">
        <v>2</v>
      </c>
      <c r="E47" t="n">
        <v>1</v>
      </c>
    </row>
    <row r="48">
      <c r="A48" t="inlineStr">
        <is>
          <t>2026-09-01</t>
        </is>
      </c>
      <c r="B48" t="inlineStr">
        <is>
          <t>Swindon Town</t>
        </is>
      </c>
      <c r="C48" t="inlineStr">
        <is>
          <t>Port Vale</t>
        </is>
      </c>
      <c r="D48" t="n">
        <v>3</v>
      </c>
      <c r="E48" t="n">
        <v>1</v>
      </c>
    </row>
    <row r="49">
      <c r="A49" t="inlineStr">
        <is>
          <t>2026-09-01</t>
        </is>
      </c>
      <c r="B49" t="inlineStr">
        <is>
          <t>Tranmere Rovers</t>
        </is>
      </c>
      <c r="C49" t="inlineStr">
        <is>
          <t>Rotherham United</t>
        </is>
      </c>
      <c r="D49" t="n">
        <v>2</v>
      </c>
      <c r="E49" t="n">
        <v>2</v>
      </c>
    </row>
    <row r="50">
      <c r="A50" t="inlineStr">
        <is>
          <t>2026-09-05</t>
        </is>
      </c>
      <c r="B50" t="inlineStr">
        <is>
          <t>Fleetwood Town</t>
        </is>
      </c>
      <c r="C50" t="inlineStr">
        <is>
          <t>Shrewsbury Town</t>
        </is>
      </c>
      <c r="D50" t="n">
        <v>2</v>
      </c>
      <c r="E50" t="n">
        <v>0</v>
      </c>
    </row>
    <row r="51">
      <c r="A51" t="inlineStr">
        <is>
          <t>2026-09-05</t>
        </is>
      </c>
      <c r="B51" t="inlineStr">
        <is>
          <t>Salford City</t>
        </is>
      </c>
      <c r="C51" t="inlineStr">
        <is>
          <t>Port Vale</t>
        </is>
      </c>
      <c r="D51" t="n">
        <v>1</v>
      </c>
      <c r="E51" t="n">
        <v>0</v>
      </c>
    </row>
    <row r="52">
      <c r="A52" t="inlineStr">
        <is>
          <t>2026-09-05</t>
        </is>
      </c>
      <c r="B52" t="inlineStr">
        <is>
          <t>Accrington Stanley</t>
        </is>
      </c>
      <c r="C52" t="inlineStr">
        <is>
          <t>Crawley Town</t>
        </is>
      </c>
      <c r="D52" t="n">
        <v>3</v>
      </c>
      <c r="E52" t="n">
        <v>2</v>
      </c>
    </row>
    <row r="53">
      <c r="A53" t="inlineStr">
        <is>
          <t>2026-09-05</t>
        </is>
      </c>
      <c r="B53" t="inlineStr">
        <is>
          <t>Bristol Rvs</t>
        </is>
      </c>
      <c r="C53" t="inlineStr">
        <is>
          <t>Rotherham United</t>
        </is>
      </c>
      <c r="D53" t="n">
        <v>1</v>
      </c>
      <c r="E53" t="n">
        <v>0</v>
      </c>
    </row>
    <row r="54">
      <c r="A54" t="inlineStr">
        <is>
          <t>2026-09-05</t>
        </is>
      </c>
      <c r="B54" t="inlineStr">
        <is>
          <t>Cheltenham Town</t>
        </is>
      </c>
      <c r="C54" t="inlineStr">
        <is>
          <t>Grimsby Town</t>
        </is>
      </c>
      <c r="D54" t="n">
        <v>2</v>
      </c>
      <c r="E54" t="n">
        <v>2</v>
      </c>
    </row>
    <row r="55">
      <c r="A55" t="inlineStr">
        <is>
          <t>2026-09-05</t>
        </is>
      </c>
      <c r="B55" t="inlineStr">
        <is>
          <t>Chesterfield</t>
        </is>
      </c>
      <c r="C55" t="inlineStr">
        <is>
          <t>Barnet</t>
        </is>
      </c>
      <c r="D55" t="n">
        <v>3</v>
      </c>
      <c r="E55" t="n">
        <v>3</v>
      </c>
    </row>
    <row r="56">
      <c r="A56" t="inlineStr">
        <is>
          <t>2026-09-05</t>
        </is>
      </c>
      <c r="B56" t="inlineStr">
        <is>
          <t>Crewe Alexandra</t>
        </is>
      </c>
      <c r="C56" t="inlineStr">
        <is>
          <t>York</t>
        </is>
      </c>
      <c r="D56" t="n">
        <v>1</v>
      </c>
      <c r="E56" t="n">
        <v>1</v>
      </c>
    </row>
    <row r="57">
      <c r="A57" t="inlineStr">
        <is>
          <t>2026-09-05</t>
        </is>
      </c>
      <c r="B57" t="inlineStr">
        <is>
          <t>Exeter</t>
        </is>
      </c>
      <c r="C57" t="inlineStr">
        <is>
          <t>Walsall</t>
        </is>
      </c>
      <c r="D57" t="n">
        <v>0</v>
      </c>
      <c r="E57" t="n">
        <v>0</v>
      </c>
    </row>
    <row r="58">
      <c r="A58" t="inlineStr">
        <is>
          <t>2026-09-05</t>
        </is>
      </c>
      <c r="B58" t="inlineStr">
        <is>
          <t>Northampton Town</t>
        </is>
      </c>
      <c r="C58" t="inlineStr">
        <is>
          <t>Newport County</t>
        </is>
      </c>
      <c r="D58" t="n">
        <v>1</v>
      </c>
      <c r="E58" t="n">
        <v>0</v>
      </c>
    </row>
    <row r="59">
      <c r="A59" t="inlineStr">
        <is>
          <t>2026-09-05</t>
        </is>
      </c>
      <c r="B59" t="inlineStr">
        <is>
          <t>Rochdale</t>
        </is>
      </c>
      <c r="C59" t="inlineStr">
        <is>
          <t>Gillingham</t>
        </is>
      </c>
      <c r="D59" t="n">
        <v>1</v>
      </c>
      <c r="E59" t="n">
        <v>4</v>
      </c>
    </row>
    <row r="60">
      <c r="A60" t="inlineStr">
        <is>
          <t>2026-09-05</t>
        </is>
      </c>
      <c r="B60" t="inlineStr">
        <is>
          <t>Swindon Town</t>
        </is>
      </c>
      <c r="C60" t="inlineStr">
        <is>
          <t>Colchester United</t>
        </is>
      </c>
      <c r="D60" t="n">
        <v>3</v>
      </c>
      <c r="E60" t="n">
        <v>1</v>
      </c>
    </row>
    <row r="61">
      <c r="A61" t="inlineStr">
        <is>
          <t>2026-09-05</t>
        </is>
      </c>
      <c r="B61" t="inlineStr">
        <is>
          <t>Tranmere Rovers</t>
        </is>
      </c>
      <c r="C61" t="inlineStr">
        <is>
          <t>Oldham Athletic</t>
        </is>
      </c>
      <c r="D61" t="n">
        <v>2</v>
      </c>
      <c r="E61" t="n">
        <v>0</v>
      </c>
    </row>
    <row r="62">
      <c r="A62" t="inlineStr">
        <is>
          <t>2026-09-12</t>
        </is>
      </c>
      <c r="B62" t="inlineStr">
        <is>
          <t>Crawley Town</t>
        </is>
      </c>
      <c r="C62" t="inlineStr">
        <is>
          <t>Cheltenham Town</t>
        </is>
      </c>
      <c r="D62" t="n">
        <v>1</v>
      </c>
      <c r="E62" t="n">
        <v>3</v>
      </c>
    </row>
    <row r="63">
      <c r="A63" t="inlineStr">
        <is>
          <t>2026-09-12</t>
        </is>
      </c>
      <c r="B63" t="inlineStr">
        <is>
          <t>Grimsby Town</t>
        </is>
      </c>
      <c r="C63" t="inlineStr">
        <is>
          <t>Bristol Rvs</t>
        </is>
      </c>
      <c r="D63" t="n">
        <v>2</v>
      </c>
      <c r="E63" t="n">
        <v>0</v>
      </c>
    </row>
    <row r="64">
      <c r="A64" t="inlineStr">
        <is>
          <t>2026-09-12</t>
        </is>
      </c>
      <c r="B64" t="inlineStr">
        <is>
          <t>Barnet</t>
        </is>
      </c>
      <c r="C64" t="inlineStr">
        <is>
          <t>Accrington Stanley</t>
        </is>
      </c>
      <c r="D64" t="n">
        <v>2</v>
      </c>
      <c r="E64" t="n">
        <v>1</v>
      </c>
    </row>
    <row r="65">
      <c r="A65" t="inlineStr">
        <is>
          <t>2026-09-12</t>
        </is>
      </c>
      <c r="B65" t="inlineStr">
        <is>
          <t>Colchester United</t>
        </is>
      </c>
      <c r="C65" t="inlineStr">
        <is>
          <t>Crewe Alexandra</t>
        </is>
      </c>
      <c r="D65" t="n">
        <v>1</v>
      </c>
      <c r="E65" t="n">
        <v>1</v>
      </c>
    </row>
    <row r="66">
      <c r="A66" t="inlineStr">
        <is>
          <t>2026-09-12</t>
        </is>
      </c>
      <c r="B66" t="inlineStr">
        <is>
          <t>Gillingham</t>
        </is>
      </c>
      <c r="C66" t="inlineStr">
        <is>
          <t>Tranmere Rovers</t>
        </is>
      </c>
      <c r="D66" t="n">
        <v>2</v>
      </c>
      <c r="E66" t="n">
        <v>0</v>
      </c>
    </row>
    <row r="67">
      <c r="A67" t="inlineStr">
        <is>
          <t>2026-09-12</t>
        </is>
      </c>
      <c r="B67" t="inlineStr">
        <is>
          <t>Newport County</t>
        </is>
      </c>
      <c r="C67" t="inlineStr">
        <is>
          <t>Fleetwood Town</t>
        </is>
      </c>
      <c r="D67" t="n">
        <v>1</v>
      </c>
      <c r="E67" t="n">
        <v>1</v>
      </c>
    </row>
    <row r="68">
      <c r="A68" t="inlineStr">
        <is>
          <t>2026-09-12</t>
        </is>
      </c>
      <c r="B68" t="inlineStr">
        <is>
          <t>Oldham Athletic</t>
        </is>
      </c>
      <c r="C68" t="inlineStr">
        <is>
          <t>Chesterfield</t>
        </is>
      </c>
      <c r="D68" t="n">
        <v>1</v>
      </c>
      <c r="E68" t="n">
        <v>2</v>
      </c>
    </row>
    <row r="69">
      <c r="A69" t="inlineStr">
        <is>
          <t>2026-09-12</t>
        </is>
      </c>
      <c r="B69" t="inlineStr">
        <is>
          <t>Port Vale</t>
        </is>
      </c>
      <c r="C69" t="inlineStr">
        <is>
          <t>Exeter</t>
        </is>
      </c>
      <c r="D69" t="n">
        <v>1</v>
      </c>
      <c r="E69" t="n">
        <v>0</v>
      </c>
    </row>
    <row r="70">
      <c r="A70" t="inlineStr">
        <is>
          <t>2026-09-12</t>
        </is>
      </c>
      <c r="B70" t="inlineStr">
        <is>
          <t>Rotherham United</t>
        </is>
      </c>
      <c r="C70" t="inlineStr">
        <is>
          <t>Salford City</t>
        </is>
      </c>
      <c r="D70" t="n">
        <v>3</v>
      </c>
      <c r="E70" t="n">
        <v>3</v>
      </c>
    </row>
    <row r="71">
      <c r="A71" t="inlineStr">
        <is>
          <t>2026-09-12</t>
        </is>
      </c>
      <c r="B71" t="inlineStr">
        <is>
          <t>Shrewsbury Town</t>
        </is>
      </c>
      <c r="C71" t="inlineStr">
        <is>
          <t>Northampton Town</t>
        </is>
      </c>
      <c r="D71" t="n">
        <v>2</v>
      </c>
      <c r="E71" t="n">
        <v>0</v>
      </c>
    </row>
    <row r="72">
      <c r="A72" t="inlineStr">
        <is>
          <t>2026-09-12</t>
        </is>
      </c>
      <c r="B72" t="inlineStr">
        <is>
          <t>Walsall</t>
        </is>
      </c>
      <c r="C72" t="inlineStr">
        <is>
          <t>Rochdale</t>
        </is>
      </c>
      <c r="D72" t="n">
        <v>0</v>
      </c>
      <c r="E72" t="n">
        <v>0</v>
      </c>
    </row>
    <row r="73">
      <c r="A73" t="inlineStr">
        <is>
          <t>2026-09-12</t>
        </is>
      </c>
      <c r="B73" t="inlineStr">
        <is>
          <t>York</t>
        </is>
      </c>
      <c r="C73" t="inlineStr">
        <is>
          <t>Swindon Town</t>
        </is>
      </c>
      <c r="D73" t="n">
        <v>4</v>
      </c>
      <c r="E73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2026-09-15T06:45:20Z</dcterms:created>
  <dcterms:modified xsi:type="dcterms:W3CDTF">2026-09-15T06:45:20Z</dcterms:modified>
</cp:coreProperties>
</file>