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Accrington Stanley" sheetId="14" state="visible" r:id="rId14"/>
    <sheet name="Barnet" sheetId="15" state="visible" r:id="rId15"/>
    <sheet name="Bristol Rvs" sheetId="16" state="visible" r:id="rId16"/>
    <sheet name="Cheltenham Town" sheetId="17" state="visible" r:id="rId17"/>
    <sheet name="Chesterfield" sheetId="18" state="visible" r:id="rId18"/>
    <sheet name="Colchester United" sheetId="19" state="visible" r:id="rId19"/>
    <sheet name="Crawley Town" sheetId="20" state="visible" r:id="rId20"/>
    <sheet name="Crewe Alexandra" sheetId="21" state="visible" r:id="rId21"/>
    <sheet name="Exeter" sheetId="22" state="visible" r:id="rId22"/>
    <sheet name="Fleetwood Town" sheetId="23" state="visible" r:id="rId23"/>
    <sheet name="Gillingham" sheetId="24" state="visible" r:id="rId24"/>
    <sheet name="Grimsby Town" sheetId="25" state="visible" r:id="rId25"/>
    <sheet name="Newport County" sheetId="26" state="visible" r:id="rId26"/>
    <sheet name="Northampton Town" sheetId="27" state="visible" r:id="rId27"/>
    <sheet name="Oldham Athletic" sheetId="28" state="visible" r:id="rId28"/>
    <sheet name="Port Vale" sheetId="29" state="visible" r:id="rId29"/>
    <sheet name="Rochdale" sheetId="30" state="visible" r:id="rId30"/>
    <sheet name="Rotherham United" sheetId="31" state="visible" r:id="rId31"/>
    <sheet name="Salford City" sheetId="32" state="visible" r:id="rId32"/>
    <sheet name="Shrewsbury Town" sheetId="33" state="visible" r:id="rId33"/>
    <sheet name="Swindon Town" sheetId="34" state="visible" r:id="rId34"/>
    <sheet name="Tranmere Rovers" sheetId="35" state="visible" r:id="rId35"/>
    <sheet name="Walsall" sheetId="36" state="visible" r:id="rId36"/>
    <sheet name="York" sheetId="37" state="visible" r:id="rId37"/>
    <sheet name="Results Data" sheetId="38" state="hidden" r:id="rId38"/>
  </sheets>
  <definedNames>
    <definedName name="_xlnm._FilterDatabase" localSheetId="6" hidden="1">'Match Log'!$A$1:$Q$73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styles" Target="styles.xml" Id="rId39" /><Relationship Type="http://schemas.openxmlformats.org/officeDocument/2006/relationships/theme" Target="theme/theme1.xml" Id="rId40"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Barnet</t>
        </is>
      </c>
      <c r="C2" s="6">
        <f>COUNTIF('Results Data'!$B$2:$B$73,$B2)+COUNTIF('Results Data'!$C$2:$C$73,$B2)</f>
        <v/>
      </c>
      <c r="D2" s="6">
        <f>SUMPRODUCT(('Results Data'!$B$2:$B$73=$B2)*('Results Data'!$D$2:$D$73&gt;'Results Data'!$E$2:$E$73))+SUMPRODUCT(('Results Data'!$C$2:$C$73=$B2)*('Results Data'!$E$2:$E$73&gt;'Results Data'!$D$2:$D$73))</f>
        <v/>
      </c>
      <c r="E2" s="6">
        <f>SUMPRODUCT(('Results Data'!$B$2:$B$73=$B2)*('Results Data'!$D$2:$D$73='Results Data'!$E$2:$E$73))+SUMPRODUCT(('Results Data'!$C$2:$C$73=$B2)*('Results Data'!$E$2:$E$73='Results Data'!$D$2:$D$73))</f>
        <v/>
      </c>
      <c r="F2" s="6">
        <f>C2-D2-E2</f>
        <v/>
      </c>
      <c r="G2" s="6">
        <f>SUMIF('Results Data'!$B$2:$B$73,$B2,'Results Data'!$D$2:$D$73)+SUMIF('Results Data'!$C$2:$C$73,$B2,'Results Data'!$E$2:$E$73)</f>
        <v/>
      </c>
      <c r="H2" s="6">
        <f>SUMIF('Results Data'!$B$2:$B$73,$B2,'Results Data'!$E$2:$E$73)+SUMIF('Results Data'!$C$2:$C$73,$B2,'Results Data'!$D$2:$D$73)</f>
        <v/>
      </c>
      <c r="I2" s="6">
        <f>G2-H2</f>
        <v/>
      </c>
      <c r="J2" s="6">
        <f>D2*3+E2</f>
        <v/>
      </c>
    </row>
    <row r="3">
      <c r="A3" s="7">
        <f>ROW()-1</f>
        <v/>
      </c>
      <c r="B3" s="8" t="inlineStr">
        <is>
          <t>Bristol Rvs</t>
        </is>
      </c>
      <c r="C3" s="8">
        <f>COUNTIF('Results Data'!$B$2:$B$73,$B3)+COUNTIF('Results Data'!$C$2:$C$73,$B3)</f>
        <v/>
      </c>
      <c r="D3" s="8">
        <f>SUMPRODUCT(('Results Data'!$B$2:$B$73=$B3)*('Results Data'!$D$2:$D$73&gt;'Results Data'!$E$2:$E$73))+SUMPRODUCT(('Results Data'!$C$2:$C$73=$B3)*('Results Data'!$E$2:$E$73&gt;'Results Data'!$D$2:$D$73))</f>
        <v/>
      </c>
      <c r="E3" s="8">
        <f>SUMPRODUCT(('Results Data'!$B$2:$B$73=$B3)*('Results Data'!$D$2:$D$73='Results Data'!$E$2:$E$73))+SUMPRODUCT(('Results Data'!$C$2:$C$73=$B3)*('Results Data'!$E$2:$E$73='Results Data'!$D$2:$D$73))</f>
        <v/>
      </c>
      <c r="F3" s="8">
        <f>C3-D3-E3</f>
        <v/>
      </c>
      <c r="G3" s="8">
        <f>SUMIF('Results Data'!$B$2:$B$73,$B3,'Results Data'!$D$2:$D$73)+SUMIF('Results Data'!$C$2:$C$73,$B3,'Results Data'!$E$2:$E$73)</f>
        <v/>
      </c>
      <c r="H3" s="8">
        <f>SUMIF('Results Data'!$B$2:$B$73,$B3,'Results Data'!$E$2:$E$73)+SUMIF('Results Data'!$C$2:$C$73,$B3,'Results Data'!$D$2:$D$73)</f>
        <v/>
      </c>
      <c r="I3" s="8">
        <f>G3-H3</f>
        <v/>
      </c>
      <c r="J3" s="8">
        <f>D3*3+E3</f>
        <v/>
      </c>
    </row>
    <row r="4">
      <c r="A4" s="5">
        <f>ROW()-1</f>
        <v/>
      </c>
      <c r="B4" s="6" t="inlineStr">
        <is>
          <t>York</t>
        </is>
      </c>
      <c r="C4" s="6">
        <f>COUNTIF('Results Data'!$B$2:$B$73,$B4)+COUNTIF('Results Data'!$C$2:$C$73,$B4)</f>
        <v/>
      </c>
      <c r="D4" s="6">
        <f>SUMPRODUCT(('Results Data'!$B$2:$B$73=$B4)*('Results Data'!$D$2:$D$73&gt;'Results Data'!$E$2:$E$73))+SUMPRODUCT(('Results Data'!$C$2:$C$73=$B4)*('Results Data'!$E$2:$E$73&gt;'Results Data'!$D$2:$D$73))</f>
        <v/>
      </c>
      <c r="E4" s="6">
        <f>SUMPRODUCT(('Results Data'!$B$2:$B$73=$B4)*('Results Data'!$D$2:$D$73='Results Data'!$E$2:$E$73))+SUMPRODUCT(('Results Data'!$C$2:$C$73=$B4)*('Results Data'!$E$2:$E$73='Results Data'!$D$2:$D$73))</f>
        <v/>
      </c>
      <c r="F4" s="6">
        <f>C4-D4-E4</f>
        <v/>
      </c>
      <c r="G4" s="6">
        <f>SUMIF('Results Data'!$B$2:$B$73,$B4,'Results Data'!$D$2:$D$73)+SUMIF('Results Data'!$C$2:$C$73,$B4,'Results Data'!$E$2:$E$73)</f>
        <v/>
      </c>
      <c r="H4" s="6">
        <f>SUMIF('Results Data'!$B$2:$B$73,$B4,'Results Data'!$E$2:$E$73)+SUMIF('Results Data'!$C$2:$C$73,$B4,'Results Data'!$D$2:$D$73)</f>
        <v/>
      </c>
      <c r="I4" s="6">
        <f>G4-H4</f>
        <v/>
      </c>
      <c r="J4" s="6">
        <f>D4*3+E4</f>
        <v/>
      </c>
    </row>
    <row r="5">
      <c r="A5" s="7">
        <f>ROW()-1</f>
        <v/>
      </c>
      <c r="B5" s="8" t="inlineStr">
        <is>
          <t>Cheltenham Town</t>
        </is>
      </c>
      <c r="C5" s="8">
        <f>COUNTIF('Results Data'!$B$2:$B$73,$B5)+COUNTIF('Results Data'!$C$2:$C$73,$B5)</f>
        <v/>
      </c>
      <c r="D5" s="8">
        <f>SUMPRODUCT(('Results Data'!$B$2:$B$73=$B5)*('Results Data'!$D$2:$D$73&gt;'Results Data'!$E$2:$E$73))+SUMPRODUCT(('Results Data'!$C$2:$C$73=$B5)*('Results Data'!$E$2:$E$73&gt;'Results Data'!$D$2:$D$73))</f>
        <v/>
      </c>
      <c r="E5" s="8">
        <f>SUMPRODUCT(('Results Data'!$B$2:$B$73=$B5)*('Results Data'!$D$2:$D$73='Results Data'!$E$2:$E$73))+SUMPRODUCT(('Results Data'!$C$2:$C$73=$B5)*('Results Data'!$E$2:$E$73='Results Data'!$D$2:$D$73))</f>
        <v/>
      </c>
      <c r="F5" s="8">
        <f>C5-D5-E5</f>
        <v/>
      </c>
      <c r="G5" s="8">
        <f>SUMIF('Results Data'!$B$2:$B$73,$B5,'Results Data'!$D$2:$D$73)+SUMIF('Results Data'!$C$2:$C$73,$B5,'Results Data'!$E$2:$E$73)</f>
        <v/>
      </c>
      <c r="H5" s="8">
        <f>SUMIF('Results Data'!$B$2:$B$73,$B5,'Results Data'!$E$2:$E$73)+SUMIF('Results Data'!$C$2:$C$73,$B5,'Results Data'!$D$2:$D$73)</f>
        <v/>
      </c>
      <c r="I5" s="8">
        <f>G5-H5</f>
        <v/>
      </c>
      <c r="J5" s="8">
        <f>D5*3+E5</f>
        <v/>
      </c>
    </row>
    <row r="6">
      <c r="A6" s="5">
        <f>ROW()-1</f>
        <v/>
      </c>
      <c r="B6" s="6" t="inlineStr">
        <is>
          <t>Walsall</t>
        </is>
      </c>
      <c r="C6" s="6">
        <f>COUNTIF('Results Data'!$B$2:$B$73,$B6)+COUNTIF('Results Data'!$C$2:$C$73,$B6)</f>
        <v/>
      </c>
      <c r="D6" s="6">
        <f>SUMPRODUCT(('Results Data'!$B$2:$B$73=$B6)*('Results Data'!$D$2:$D$73&gt;'Results Data'!$E$2:$E$73))+SUMPRODUCT(('Results Data'!$C$2:$C$73=$B6)*('Results Data'!$E$2:$E$73&gt;'Results Data'!$D$2:$D$73))</f>
        <v/>
      </c>
      <c r="E6" s="6">
        <f>SUMPRODUCT(('Results Data'!$B$2:$B$73=$B6)*('Results Data'!$D$2:$D$73='Results Data'!$E$2:$E$73))+SUMPRODUCT(('Results Data'!$C$2:$C$73=$B6)*('Results Data'!$E$2:$E$73='Results Data'!$D$2:$D$73))</f>
        <v/>
      </c>
      <c r="F6" s="6">
        <f>C6-D6-E6</f>
        <v/>
      </c>
      <c r="G6" s="6">
        <f>SUMIF('Results Data'!$B$2:$B$73,$B6,'Results Data'!$D$2:$D$73)+SUMIF('Results Data'!$C$2:$C$73,$B6,'Results Data'!$E$2:$E$73)</f>
        <v/>
      </c>
      <c r="H6" s="6">
        <f>SUMIF('Results Data'!$B$2:$B$73,$B6,'Results Data'!$E$2:$E$73)+SUMIF('Results Data'!$C$2:$C$73,$B6,'Results Data'!$D$2:$D$73)</f>
        <v/>
      </c>
      <c r="I6" s="6">
        <f>G6-H6</f>
        <v/>
      </c>
      <c r="J6" s="6">
        <f>D6*3+E6</f>
        <v/>
      </c>
    </row>
    <row r="7">
      <c r="A7" s="7">
        <f>ROW()-1</f>
        <v/>
      </c>
      <c r="B7" s="8" t="inlineStr">
        <is>
          <t>Grimsby Town</t>
        </is>
      </c>
      <c r="C7" s="8">
        <f>COUNTIF('Results Data'!$B$2:$B$73,$B7)+COUNTIF('Results Data'!$C$2:$C$73,$B7)</f>
        <v/>
      </c>
      <c r="D7" s="8">
        <f>SUMPRODUCT(('Results Data'!$B$2:$B$73=$B7)*('Results Data'!$D$2:$D$73&gt;'Results Data'!$E$2:$E$73))+SUMPRODUCT(('Results Data'!$C$2:$C$73=$B7)*('Results Data'!$E$2:$E$73&gt;'Results Data'!$D$2:$D$73))</f>
        <v/>
      </c>
      <c r="E7" s="8">
        <f>SUMPRODUCT(('Results Data'!$B$2:$B$73=$B7)*('Results Data'!$D$2:$D$73='Results Data'!$E$2:$E$73))+SUMPRODUCT(('Results Data'!$C$2:$C$73=$B7)*('Results Data'!$E$2:$E$73='Results Data'!$D$2:$D$73))</f>
        <v/>
      </c>
      <c r="F7" s="8">
        <f>C7-D7-E7</f>
        <v/>
      </c>
      <c r="G7" s="8">
        <f>SUMIF('Results Data'!$B$2:$B$73,$B7,'Results Data'!$D$2:$D$73)+SUMIF('Results Data'!$C$2:$C$73,$B7,'Results Data'!$E$2:$E$73)</f>
        <v/>
      </c>
      <c r="H7" s="8">
        <f>SUMIF('Results Data'!$B$2:$B$73,$B7,'Results Data'!$E$2:$E$73)+SUMIF('Results Data'!$C$2:$C$73,$B7,'Results Data'!$D$2:$D$73)</f>
        <v/>
      </c>
      <c r="I7" s="8">
        <f>G7-H7</f>
        <v/>
      </c>
      <c r="J7" s="8">
        <f>D7*3+E7</f>
        <v/>
      </c>
    </row>
    <row r="8">
      <c r="A8" s="5">
        <f>ROW()-1</f>
        <v/>
      </c>
      <c r="B8" s="6" t="inlineStr">
        <is>
          <t>Fleetwood Town</t>
        </is>
      </c>
      <c r="C8" s="6">
        <f>COUNTIF('Results Data'!$B$2:$B$73,$B8)+COUNTIF('Results Data'!$C$2:$C$73,$B8)</f>
        <v/>
      </c>
      <c r="D8" s="6">
        <f>SUMPRODUCT(('Results Data'!$B$2:$B$73=$B8)*('Results Data'!$D$2:$D$73&gt;'Results Data'!$E$2:$E$73))+SUMPRODUCT(('Results Data'!$C$2:$C$73=$B8)*('Results Data'!$E$2:$E$73&gt;'Results Data'!$D$2:$D$73))</f>
        <v/>
      </c>
      <c r="E8" s="6">
        <f>SUMPRODUCT(('Results Data'!$B$2:$B$73=$B8)*('Results Data'!$D$2:$D$73='Results Data'!$E$2:$E$73))+SUMPRODUCT(('Results Data'!$C$2:$C$73=$B8)*('Results Data'!$E$2:$E$73='Results Data'!$D$2:$D$73))</f>
        <v/>
      </c>
      <c r="F8" s="6">
        <f>C8-D8-E8</f>
        <v/>
      </c>
      <c r="G8" s="6">
        <f>SUMIF('Results Data'!$B$2:$B$73,$B8,'Results Data'!$D$2:$D$73)+SUMIF('Results Data'!$C$2:$C$73,$B8,'Results Data'!$E$2:$E$73)</f>
        <v/>
      </c>
      <c r="H8" s="6">
        <f>SUMIF('Results Data'!$B$2:$B$73,$B8,'Results Data'!$E$2:$E$73)+SUMIF('Results Data'!$C$2:$C$73,$B8,'Results Data'!$D$2:$D$73)</f>
        <v/>
      </c>
      <c r="I8" s="6">
        <f>G8-H8</f>
        <v/>
      </c>
      <c r="J8" s="6">
        <f>D8*3+E8</f>
        <v/>
      </c>
    </row>
    <row r="9">
      <c r="A9" s="7">
        <f>ROW()-1</f>
        <v/>
      </c>
      <c r="B9" s="8" t="inlineStr">
        <is>
          <t>Crewe Alexandra</t>
        </is>
      </c>
      <c r="C9" s="8">
        <f>COUNTIF('Results Data'!$B$2:$B$73,$B9)+COUNTIF('Results Data'!$C$2:$C$73,$B9)</f>
        <v/>
      </c>
      <c r="D9" s="8">
        <f>SUMPRODUCT(('Results Data'!$B$2:$B$73=$B9)*('Results Data'!$D$2:$D$73&gt;'Results Data'!$E$2:$E$73))+SUMPRODUCT(('Results Data'!$C$2:$C$73=$B9)*('Results Data'!$E$2:$E$73&gt;'Results Data'!$D$2:$D$73))</f>
        <v/>
      </c>
      <c r="E9" s="8">
        <f>SUMPRODUCT(('Results Data'!$B$2:$B$73=$B9)*('Results Data'!$D$2:$D$73='Results Data'!$E$2:$E$73))+SUMPRODUCT(('Results Data'!$C$2:$C$73=$B9)*('Results Data'!$E$2:$E$73='Results Data'!$D$2:$D$73))</f>
        <v/>
      </c>
      <c r="F9" s="8">
        <f>C9-D9-E9</f>
        <v/>
      </c>
      <c r="G9" s="8">
        <f>SUMIF('Results Data'!$B$2:$B$73,$B9,'Results Data'!$D$2:$D$73)+SUMIF('Results Data'!$C$2:$C$73,$B9,'Results Data'!$E$2:$E$73)</f>
        <v/>
      </c>
      <c r="H9" s="8">
        <f>SUMIF('Results Data'!$B$2:$B$73,$B9,'Results Data'!$E$2:$E$73)+SUMIF('Results Data'!$C$2:$C$73,$B9,'Results Data'!$D$2:$D$73)</f>
        <v/>
      </c>
      <c r="I9" s="8">
        <f>G9-H9</f>
        <v/>
      </c>
      <c r="J9" s="8">
        <f>D9*3+E9</f>
        <v/>
      </c>
    </row>
    <row r="10">
      <c r="A10" s="5">
        <f>ROW()-1</f>
        <v/>
      </c>
      <c r="B10" s="6" t="inlineStr">
        <is>
          <t>Swindon Town</t>
        </is>
      </c>
      <c r="C10" s="6">
        <f>COUNTIF('Results Data'!$B$2:$B$73,$B10)+COUNTIF('Results Data'!$C$2:$C$73,$B10)</f>
        <v/>
      </c>
      <c r="D10" s="6">
        <f>SUMPRODUCT(('Results Data'!$B$2:$B$73=$B10)*('Results Data'!$D$2:$D$73&gt;'Results Data'!$E$2:$E$73))+SUMPRODUCT(('Results Data'!$C$2:$C$73=$B10)*('Results Data'!$E$2:$E$73&gt;'Results Data'!$D$2:$D$73))</f>
        <v/>
      </c>
      <c r="E10" s="6">
        <f>SUMPRODUCT(('Results Data'!$B$2:$B$73=$B10)*('Results Data'!$D$2:$D$73='Results Data'!$E$2:$E$73))+SUMPRODUCT(('Results Data'!$C$2:$C$73=$B10)*('Results Data'!$E$2:$E$73='Results Data'!$D$2:$D$73))</f>
        <v/>
      </c>
      <c r="F10" s="6">
        <f>C10-D10-E10</f>
        <v/>
      </c>
      <c r="G10" s="6">
        <f>SUMIF('Results Data'!$B$2:$B$73,$B10,'Results Data'!$D$2:$D$73)+SUMIF('Results Data'!$C$2:$C$73,$B10,'Results Data'!$E$2:$E$73)</f>
        <v/>
      </c>
      <c r="H10" s="6">
        <f>SUMIF('Results Data'!$B$2:$B$73,$B10,'Results Data'!$E$2:$E$73)+SUMIF('Results Data'!$C$2:$C$73,$B10,'Results Data'!$D$2:$D$73)</f>
        <v/>
      </c>
      <c r="I10" s="6">
        <f>G10-H10</f>
        <v/>
      </c>
      <c r="J10" s="6">
        <f>D10*3+E10</f>
        <v/>
      </c>
    </row>
    <row r="11">
      <c r="A11" s="7">
        <f>ROW()-1</f>
        <v/>
      </c>
      <c r="B11" s="8" t="inlineStr">
        <is>
          <t>Tranmere Rovers</t>
        </is>
      </c>
      <c r="C11" s="8">
        <f>COUNTIF('Results Data'!$B$2:$B$73,$B11)+COUNTIF('Results Data'!$C$2:$C$73,$B11)</f>
        <v/>
      </c>
      <c r="D11" s="8">
        <f>SUMPRODUCT(('Results Data'!$B$2:$B$73=$B11)*('Results Data'!$D$2:$D$73&gt;'Results Data'!$E$2:$E$73))+SUMPRODUCT(('Results Data'!$C$2:$C$73=$B11)*('Results Data'!$E$2:$E$73&gt;'Results Data'!$D$2:$D$73))</f>
        <v/>
      </c>
      <c r="E11" s="8">
        <f>SUMPRODUCT(('Results Data'!$B$2:$B$73=$B11)*('Results Data'!$D$2:$D$73='Results Data'!$E$2:$E$73))+SUMPRODUCT(('Results Data'!$C$2:$C$73=$B11)*('Results Data'!$E$2:$E$73='Results Data'!$D$2:$D$73))</f>
        <v/>
      </c>
      <c r="F11" s="8">
        <f>C11-D11-E11</f>
        <v/>
      </c>
      <c r="G11" s="8">
        <f>SUMIF('Results Data'!$B$2:$B$73,$B11,'Results Data'!$D$2:$D$73)+SUMIF('Results Data'!$C$2:$C$73,$B11,'Results Data'!$E$2:$E$73)</f>
        <v/>
      </c>
      <c r="H11" s="8">
        <f>SUMIF('Results Data'!$B$2:$B$73,$B11,'Results Data'!$E$2:$E$73)+SUMIF('Results Data'!$C$2:$C$73,$B11,'Results Data'!$D$2:$D$73)</f>
        <v/>
      </c>
      <c r="I11" s="8">
        <f>G11-H11</f>
        <v/>
      </c>
      <c r="J11" s="8">
        <f>D11*3+E11</f>
        <v/>
      </c>
    </row>
    <row r="12">
      <c r="A12" s="5">
        <f>ROW()-1</f>
        <v/>
      </c>
      <c r="B12" s="6" t="inlineStr">
        <is>
          <t>Gillingham</t>
        </is>
      </c>
      <c r="C12" s="6">
        <f>COUNTIF('Results Data'!$B$2:$B$73,$B12)+COUNTIF('Results Data'!$C$2:$C$73,$B12)</f>
        <v/>
      </c>
      <c r="D12" s="6">
        <f>SUMPRODUCT(('Results Data'!$B$2:$B$73=$B12)*('Results Data'!$D$2:$D$73&gt;'Results Data'!$E$2:$E$73))+SUMPRODUCT(('Results Data'!$C$2:$C$73=$B12)*('Results Data'!$E$2:$E$73&gt;'Results Data'!$D$2:$D$73))</f>
        <v/>
      </c>
      <c r="E12" s="6">
        <f>SUMPRODUCT(('Results Data'!$B$2:$B$73=$B12)*('Results Data'!$D$2:$D$73='Results Data'!$E$2:$E$73))+SUMPRODUCT(('Results Data'!$C$2:$C$73=$B12)*('Results Data'!$E$2:$E$73='Results Data'!$D$2:$D$73))</f>
        <v/>
      </c>
      <c r="F12" s="6">
        <f>C12-D12-E12</f>
        <v/>
      </c>
      <c r="G12" s="6">
        <f>SUMIF('Results Data'!$B$2:$B$73,$B12,'Results Data'!$D$2:$D$73)+SUMIF('Results Data'!$C$2:$C$73,$B12,'Results Data'!$E$2:$E$73)</f>
        <v/>
      </c>
      <c r="H12" s="6">
        <f>SUMIF('Results Data'!$B$2:$B$73,$B12,'Results Data'!$E$2:$E$73)+SUMIF('Results Data'!$C$2:$C$73,$B12,'Results Data'!$D$2:$D$73)</f>
        <v/>
      </c>
      <c r="I12" s="6">
        <f>G12-H12</f>
        <v/>
      </c>
      <c r="J12" s="6">
        <f>D12*3+E12</f>
        <v/>
      </c>
    </row>
    <row r="13">
      <c r="A13" s="7">
        <f>ROW()-1</f>
        <v/>
      </c>
      <c r="B13" s="8" t="inlineStr">
        <is>
          <t>Chesterfield</t>
        </is>
      </c>
      <c r="C13" s="8">
        <f>COUNTIF('Results Data'!$B$2:$B$73,$B13)+COUNTIF('Results Data'!$C$2:$C$73,$B13)</f>
        <v/>
      </c>
      <c r="D13" s="8">
        <f>SUMPRODUCT(('Results Data'!$B$2:$B$73=$B13)*('Results Data'!$D$2:$D$73&gt;'Results Data'!$E$2:$E$73))+SUMPRODUCT(('Results Data'!$C$2:$C$73=$B13)*('Results Data'!$E$2:$E$73&gt;'Results Data'!$D$2:$D$73))</f>
        <v/>
      </c>
      <c r="E13" s="8">
        <f>SUMPRODUCT(('Results Data'!$B$2:$B$73=$B13)*('Results Data'!$D$2:$D$73='Results Data'!$E$2:$E$73))+SUMPRODUCT(('Results Data'!$C$2:$C$73=$B13)*('Results Data'!$E$2:$E$73='Results Data'!$D$2:$D$73))</f>
        <v/>
      </c>
      <c r="F13" s="8">
        <f>C13-D13-E13</f>
        <v/>
      </c>
      <c r="G13" s="8">
        <f>SUMIF('Results Data'!$B$2:$B$73,$B13,'Results Data'!$D$2:$D$73)+SUMIF('Results Data'!$C$2:$C$73,$B13,'Results Data'!$E$2:$E$73)</f>
        <v/>
      </c>
      <c r="H13" s="8">
        <f>SUMIF('Results Data'!$B$2:$B$73,$B13,'Results Data'!$E$2:$E$73)+SUMIF('Results Data'!$C$2:$C$73,$B13,'Results Data'!$D$2:$D$73)</f>
        <v/>
      </c>
      <c r="I13" s="8">
        <f>G13-H13</f>
        <v/>
      </c>
      <c r="J13" s="8">
        <f>D13*3+E13</f>
        <v/>
      </c>
    </row>
    <row r="14">
      <c r="A14" s="5">
        <f>ROW()-1</f>
        <v/>
      </c>
      <c r="B14" s="6" t="inlineStr">
        <is>
          <t>Colchester United</t>
        </is>
      </c>
      <c r="C14" s="6">
        <f>COUNTIF('Results Data'!$B$2:$B$73,$B14)+COUNTIF('Results Data'!$C$2:$C$73,$B14)</f>
        <v/>
      </c>
      <c r="D14" s="6">
        <f>SUMPRODUCT(('Results Data'!$B$2:$B$73=$B14)*('Results Data'!$D$2:$D$73&gt;'Results Data'!$E$2:$E$73))+SUMPRODUCT(('Results Data'!$C$2:$C$73=$B14)*('Results Data'!$E$2:$E$73&gt;'Results Data'!$D$2:$D$73))</f>
        <v/>
      </c>
      <c r="E14" s="6">
        <f>SUMPRODUCT(('Results Data'!$B$2:$B$73=$B14)*('Results Data'!$D$2:$D$73='Results Data'!$E$2:$E$73))+SUMPRODUCT(('Results Data'!$C$2:$C$73=$B14)*('Results Data'!$E$2:$E$73='Results Data'!$D$2:$D$73))</f>
        <v/>
      </c>
      <c r="F14" s="6">
        <f>C14-D14-E14</f>
        <v/>
      </c>
      <c r="G14" s="6">
        <f>SUMIF('Results Data'!$B$2:$B$73,$B14,'Results Data'!$D$2:$D$73)+SUMIF('Results Data'!$C$2:$C$73,$B14,'Results Data'!$E$2:$E$73)</f>
        <v/>
      </c>
      <c r="H14" s="6">
        <f>SUMIF('Results Data'!$B$2:$B$73,$B14,'Results Data'!$E$2:$E$73)+SUMIF('Results Data'!$C$2:$C$73,$B14,'Results Data'!$D$2:$D$73)</f>
        <v/>
      </c>
      <c r="I14" s="6">
        <f>G14-H14</f>
        <v/>
      </c>
      <c r="J14" s="6">
        <f>D14*3+E14</f>
        <v/>
      </c>
    </row>
    <row r="15">
      <c r="A15" s="7">
        <f>ROW()-1</f>
        <v/>
      </c>
      <c r="B15" s="8" t="inlineStr">
        <is>
          <t>Oldham Athletic</t>
        </is>
      </c>
      <c r="C15" s="8">
        <f>COUNTIF('Results Data'!$B$2:$B$73,$B15)+COUNTIF('Results Data'!$C$2:$C$73,$B15)</f>
        <v/>
      </c>
      <c r="D15" s="8">
        <f>SUMPRODUCT(('Results Data'!$B$2:$B$73=$B15)*('Results Data'!$D$2:$D$73&gt;'Results Data'!$E$2:$E$73))+SUMPRODUCT(('Results Data'!$C$2:$C$73=$B15)*('Results Data'!$E$2:$E$73&gt;'Results Data'!$D$2:$D$73))</f>
        <v/>
      </c>
      <c r="E15" s="8">
        <f>SUMPRODUCT(('Results Data'!$B$2:$B$73=$B15)*('Results Data'!$D$2:$D$73='Results Data'!$E$2:$E$73))+SUMPRODUCT(('Results Data'!$C$2:$C$73=$B15)*('Results Data'!$E$2:$E$73='Results Data'!$D$2:$D$73))</f>
        <v/>
      </c>
      <c r="F15" s="8">
        <f>C15-D15-E15</f>
        <v/>
      </c>
      <c r="G15" s="8">
        <f>SUMIF('Results Data'!$B$2:$B$73,$B15,'Results Data'!$D$2:$D$73)+SUMIF('Results Data'!$C$2:$C$73,$B15,'Results Data'!$E$2:$E$73)</f>
        <v/>
      </c>
      <c r="H15" s="8">
        <f>SUMIF('Results Data'!$B$2:$B$73,$B15,'Results Data'!$E$2:$E$73)+SUMIF('Results Data'!$C$2:$C$73,$B15,'Results Data'!$D$2:$D$73)</f>
        <v/>
      </c>
      <c r="I15" s="8">
        <f>G15-H15</f>
        <v/>
      </c>
      <c r="J15" s="8">
        <f>D15*3+E15</f>
        <v/>
      </c>
    </row>
    <row r="16">
      <c r="A16" s="5">
        <f>ROW()-1</f>
        <v/>
      </c>
      <c r="B16" s="6" t="inlineStr">
        <is>
          <t>Salford City</t>
        </is>
      </c>
      <c r="C16" s="6">
        <f>COUNTIF('Results Data'!$B$2:$B$73,$B16)+COUNTIF('Results Data'!$C$2:$C$73,$B16)</f>
        <v/>
      </c>
      <c r="D16" s="6">
        <f>SUMPRODUCT(('Results Data'!$B$2:$B$73=$B16)*('Results Data'!$D$2:$D$73&gt;'Results Data'!$E$2:$E$73))+SUMPRODUCT(('Results Data'!$C$2:$C$73=$B16)*('Results Data'!$E$2:$E$73&gt;'Results Data'!$D$2:$D$73))</f>
        <v/>
      </c>
      <c r="E16" s="6">
        <f>SUMPRODUCT(('Results Data'!$B$2:$B$73=$B16)*('Results Data'!$D$2:$D$73='Results Data'!$E$2:$E$73))+SUMPRODUCT(('Results Data'!$C$2:$C$73=$B16)*('Results Data'!$E$2:$E$73='Results Data'!$D$2:$D$73))</f>
        <v/>
      </c>
      <c r="F16" s="6">
        <f>C16-D16-E16</f>
        <v/>
      </c>
      <c r="G16" s="6">
        <f>SUMIF('Results Data'!$B$2:$B$73,$B16,'Results Data'!$D$2:$D$73)+SUMIF('Results Data'!$C$2:$C$73,$B16,'Results Data'!$E$2:$E$73)</f>
        <v/>
      </c>
      <c r="H16" s="6">
        <f>SUMIF('Results Data'!$B$2:$B$73,$B16,'Results Data'!$E$2:$E$73)+SUMIF('Results Data'!$C$2:$C$73,$B16,'Results Data'!$D$2:$D$73)</f>
        <v/>
      </c>
      <c r="I16" s="6">
        <f>G16-H16</f>
        <v/>
      </c>
      <c r="J16" s="6">
        <f>D16*3+E16</f>
        <v/>
      </c>
    </row>
    <row r="17">
      <c r="A17" s="7">
        <f>ROW()-1</f>
        <v/>
      </c>
      <c r="B17" s="8" t="inlineStr">
        <is>
          <t>Rotherham United</t>
        </is>
      </c>
      <c r="C17" s="8">
        <f>COUNTIF('Results Data'!$B$2:$B$73,$B17)+COUNTIF('Results Data'!$C$2:$C$73,$B17)</f>
        <v/>
      </c>
      <c r="D17" s="8">
        <f>SUMPRODUCT(('Results Data'!$B$2:$B$73=$B17)*('Results Data'!$D$2:$D$73&gt;'Results Data'!$E$2:$E$73))+SUMPRODUCT(('Results Data'!$C$2:$C$73=$B17)*('Results Data'!$E$2:$E$73&gt;'Results Data'!$D$2:$D$73))</f>
        <v/>
      </c>
      <c r="E17" s="8">
        <f>SUMPRODUCT(('Results Data'!$B$2:$B$73=$B17)*('Results Data'!$D$2:$D$73='Results Data'!$E$2:$E$73))+SUMPRODUCT(('Results Data'!$C$2:$C$73=$B17)*('Results Data'!$E$2:$E$73='Results Data'!$D$2:$D$73))</f>
        <v/>
      </c>
      <c r="F17" s="8">
        <f>C17-D17-E17</f>
        <v/>
      </c>
      <c r="G17" s="8">
        <f>SUMIF('Results Data'!$B$2:$B$73,$B17,'Results Data'!$D$2:$D$73)+SUMIF('Results Data'!$C$2:$C$73,$B17,'Results Data'!$E$2:$E$73)</f>
        <v/>
      </c>
      <c r="H17" s="8">
        <f>SUMIF('Results Data'!$B$2:$B$73,$B17,'Results Data'!$E$2:$E$73)+SUMIF('Results Data'!$C$2:$C$73,$B17,'Results Data'!$D$2:$D$73)</f>
        <v/>
      </c>
      <c r="I17" s="8">
        <f>G17-H17</f>
        <v/>
      </c>
      <c r="J17" s="8">
        <f>D17*3+E17</f>
        <v/>
      </c>
    </row>
    <row r="18">
      <c r="A18" s="5">
        <f>ROW()-1</f>
        <v/>
      </c>
      <c r="B18" s="6" t="inlineStr">
        <is>
          <t>Northampton Town</t>
        </is>
      </c>
      <c r="C18" s="6">
        <f>COUNTIF('Results Data'!$B$2:$B$73,$B18)+COUNTIF('Results Data'!$C$2:$C$73,$B18)</f>
        <v/>
      </c>
      <c r="D18" s="6">
        <f>SUMPRODUCT(('Results Data'!$B$2:$B$73=$B18)*('Results Data'!$D$2:$D$73&gt;'Results Data'!$E$2:$E$73))+SUMPRODUCT(('Results Data'!$C$2:$C$73=$B18)*('Results Data'!$E$2:$E$73&gt;'Results Data'!$D$2:$D$73))</f>
        <v/>
      </c>
      <c r="E18" s="6">
        <f>SUMPRODUCT(('Results Data'!$B$2:$B$73=$B18)*('Results Data'!$D$2:$D$73='Results Data'!$E$2:$E$73))+SUMPRODUCT(('Results Data'!$C$2:$C$73=$B18)*('Results Data'!$E$2:$E$73='Results Data'!$D$2:$D$73))</f>
        <v/>
      </c>
      <c r="F18" s="6">
        <f>C18-D18-E18</f>
        <v/>
      </c>
      <c r="G18" s="6">
        <f>SUMIF('Results Data'!$B$2:$B$73,$B18,'Results Data'!$D$2:$D$73)+SUMIF('Results Data'!$C$2:$C$73,$B18,'Results Data'!$E$2:$E$73)</f>
        <v/>
      </c>
      <c r="H18" s="6">
        <f>SUMIF('Results Data'!$B$2:$B$73,$B18,'Results Data'!$E$2:$E$73)+SUMIF('Results Data'!$C$2:$C$73,$B18,'Results Data'!$D$2:$D$73)</f>
        <v/>
      </c>
      <c r="I18" s="6">
        <f>G18-H18</f>
        <v/>
      </c>
      <c r="J18" s="6">
        <f>D18*3+E18</f>
        <v/>
      </c>
    </row>
    <row r="19">
      <c r="A19" s="7">
        <f>ROW()-1</f>
        <v/>
      </c>
      <c r="B19" s="8" t="inlineStr">
        <is>
          <t>Shrewsbury Town</t>
        </is>
      </c>
      <c r="C19" s="8">
        <f>COUNTIF('Results Data'!$B$2:$B$73,$B19)+COUNTIF('Results Data'!$C$2:$C$73,$B19)</f>
        <v/>
      </c>
      <c r="D19" s="8">
        <f>SUMPRODUCT(('Results Data'!$B$2:$B$73=$B19)*('Results Data'!$D$2:$D$73&gt;'Results Data'!$E$2:$E$73))+SUMPRODUCT(('Results Data'!$C$2:$C$73=$B19)*('Results Data'!$E$2:$E$73&gt;'Results Data'!$D$2:$D$73))</f>
        <v/>
      </c>
      <c r="E19" s="8">
        <f>SUMPRODUCT(('Results Data'!$B$2:$B$73=$B19)*('Results Data'!$D$2:$D$73='Results Data'!$E$2:$E$73))+SUMPRODUCT(('Results Data'!$C$2:$C$73=$B19)*('Results Data'!$E$2:$E$73='Results Data'!$D$2:$D$73))</f>
        <v/>
      </c>
      <c r="F19" s="8">
        <f>C19-D19-E19</f>
        <v/>
      </c>
      <c r="G19" s="8">
        <f>SUMIF('Results Data'!$B$2:$B$73,$B19,'Results Data'!$D$2:$D$73)+SUMIF('Results Data'!$C$2:$C$73,$B19,'Results Data'!$E$2:$E$73)</f>
        <v/>
      </c>
      <c r="H19" s="8">
        <f>SUMIF('Results Data'!$B$2:$B$73,$B19,'Results Data'!$E$2:$E$73)+SUMIF('Results Data'!$C$2:$C$73,$B19,'Results Data'!$D$2:$D$73)</f>
        <v/>
      </c>
      <c r="I19" s="8">
        <f>G19-H19</f>
        <v/>
      </c>
      <c r="J19" s="8">
        <f>D19*3+E19</f>
        <v/>
      </c>
    </row>
    <row r="20">
      <c r="A20" s="5">
        <f>ROW()-1</f>
        <v/>
      </c>
      <c r="B20" s="6" t="inlineStr">
        <is>
          <t>Newport County</t>
        </is>
      </c>
      <c r="C20" s="6">
        <f>COUNTIF('Results Data'!$B$2:$B$73,$B20)+COUNTIF('Results Data'!$C$2:$C$73,$B20)</f>
        <v/>
      </c>
      <c r="D20" s="6">
        <f>SUMPRODUCT(('Results Data'!$B$2:$B$73=$B20)*('Results Data'!$D$2:$D$73&gt;'Results Data'!$E$2:$E$73))+SUMPRODUCT(('Results Data'!$C$2:$C$73=$B20)*('Results Data'!$E$2:$E$73&gt;'Results Data'!$D$2:$D$73))</f>
        <v/>
      </c>
      <c r="E20" s="6">
        <f>SUMPRODUCT(('Results Data'!$B$2:$B$73=$B20)*('Results Data'!$D$2:$D$73='Results Data'!$E$2:$E$73))+SUMPRODUCT(('Results Data'!$C$2:$C$73=$B20)*('Results Data'!$E$2:$E$73='Results Data'!$D$2:$D$73))</f>
        <v/>
      </c>
      <c r="F20" s="6">
        <f>C20-D20-E20</f>
        <v/>
      </c>
      <c r="G20" s="6">
        <f>SUMIF('Results Data'!$B$2:$B$73,$B20,'Results Data'!$D$2:$D$73)+SUMIF('Results Data'!$C$2:$C$73,$B20,'Results Data'!$E$2:$E$73)</f>
        <v/>
      </c>
      <c r="H20" s="6">
        <f>SUMIF('Results Data'!$B$2:$B$73,$B20,'Results Data'!$E$2:$E$73)+SUMIF('Results Data'!$C$2:$C$73,$B20,'Results Data'!$D$2:$D$73)</f>
        <v/>
      </c>
      <c r="I20" s="6">
        <f>G20-H20</f>
        <v/>
      </c>
      <c r="J20" s="6">
        <f>D20*3+E20</f>
        <v/>
      </c>
    </row>
    <row r="21">
      <c r="A21" s="7">
        <f>ROW()-1</f>
        <v/>
      </c>
      <c r="B21" s="8" t="inlineStr">
        <is>
          <t>Exeter</t>
        </is>
      </c>
      <c r="C21" s="8">
        <f>COUNTIF('Results Data'!$B$2:$B$73,$B21)+COUNTIF('Results Data'!$C$2:$C$73,$B21)</f>
        <v/>
      </c>
      <c r="D21" s="8">
        <f>SUMPRODUCT(('Results Data'!$B$2:$B$73=$B21)*('Results Data'!$D$2:$D$73&gt;'Results Data'!$E$2:$E$73))+SUMPRODUCT(('Results Data'!$C$2:$C$73=$B21)*('Results Data'!$E$2:$E$73&gt;'Results Data'!$D$2:$D$73))</f>
        <v/>
      </c>
      <c r="E21" s="8">
        <f>SUMPRODUCT(('Results Data'!$B$2:$B$73=$B21)*('Results Data'!$D$2:$D$73='Results Data'!$E$2:$E$73))+SUMPRODUCT(('Results Data'!$C$2:$C$73=$B21)*('Results Data'!$E$2:$E$73='Results Data'!$D$2:$D$73))</f>
        <v/>
      </c>
      <c r="F21" s="8">
        <f>C21-D21-E21</f>
        <v/>
      </c>
      <c r="G21" s="8">
        <f>SUMIF('Results Data'!$B$2:$B$73,$B21,'Results Data'!$D$2:$D$73)+SUMIF('Results Data'!$C$2:$C$73,$B21,'Results Data'!$E$2:$E$73)</f>
        <v/>
      </c>
      <c r="H21" s="8">
        <f>SUMIF('Results Data'!$B$2:$B$73,$B21,'Results Data'!$E$2:$E$73)+SUMIF('Results Data'!$C$2:$C$73,$B21,'Results Data'!$D$2:$D$73)</f>
        <v/>
      </c>
      <c r="I21" s="8">
        <f>G21-H21</f>
        <v/>
      </c>
      <c r="J21" s="8">
        <f>D21*3+E21</f>
        <v/>
      </c>
    </row>
    <row r="22">
      <c r="A22" s="5">
        <f>ROW()-1</f>
        <v/>
      </c>
      <c r="B22" s="6" t="inlineStr">
        <is>
          <t>Accrington Stanley</t>
        </is>
      </c>
      <c r="C22" s="6">
        <f>COUNTIF('Results Data'!$B$2:$B$73,$B22)+COUNTIF('Results Data'!$C$2:$C$73,$B22)</f>
        <v/>
      </c>
      <c r="D22" s="6">
        <f>SUMPRODUCT(('Results Data'!$B$2:$B$73=$B22)*('Results Data'!$D$2:$D$73&gt;'Results Data'!$E$2:$E$73))+SUMPRODUCT(('Results Data'!$C$2:$C$73=$B22)*('Results Data'!$E$2:$E$73&gt;'Results Data'!$D$2:$D$73))</f>
        <v/>
      </c>
      <c r="E22" s="6">
        <f>SUMPRODUCT(('Results Data'!$B$2:$B$73=$B22)*('Results Data'!$D$2:$D$73='Results Data'!$E$2:$E$73))+SUMPRODUCT(('Results Data'!$C$2:$C$73=$B22)*('Results Data'!$E$2:$E$73='Results Data'!$D$2:$D$73))</f>
        <v/>
      </c>
      <c r="F22" s="6">
        <f>C22-D22-E22</f>
        <v/>
      </c>
      <c r="G22" s="6">
        <f>SUMIF('Results Data'!$B$2:$B$73,$B22,'Results Data'!$D$2:$D$73)+SUMIF('Results Data'!$C$2:$C$73,$B22,'Results Data'!$E$2:$E$73)</f>
        <v/>
      </c>
      <c r="H22" s="6">
        <f>SUMIF('Results Data'!$B$2:$B$73,$B22,'Results Data'!$E$2:$E$73)+SUMIF('Results Data'!$C$2:$C$73,$B22,'Results Data'!$D$2:$D$73)</f>
        <v/>
      </c>
      <c r="I22" s="6">
        <f>G22-H22</f>
        <v/>
      </c>
      <c r="J22" s="6">
        <f>D22*3+E22</f>
        <v/>
      </c>
    </row>
    <row r="23">
      <c r="A23" s="7">
        <f>ROW()-1</f>
        <v/>
      </c>
      <c r="B23" s="8" t="inlineStr">
        <is>
          <t>Port Vale</t>
        </is>
      </c>
      <c r="C23" s="8">
        <f>COUNTIF('Results Data'!$B$2:$B$73,$B23)+COUNTIF('Results Data'!$C$2:$C$73,$B23)</f>
        <v/>
      </c>
      <c r="D23" s="8">
        <f>SUMPRODUCT(('Results Data'!$B$2:$B$73=$B23)*('Results Data'!$D$2:$D$73&gt;'Results Data'!$E$2:$E$73))+SUMPRODUCT(('Results Data'!$C$2:$C$73=$B23)*('Results Data'!$E$2:$E$73&gt;'Results Data'!$D$2:$D$73))</f>
        <v/>
      </c>
      <c r="E23" s="8">
        <f>SUMPRODUCT(('Results Data'!$B$2:$B$73=$B23)*('Results Data'!$D$2:$D$73='Results Data'!$E$2:$E$73))+SUMPRODUCT(('Results Data'!$C$2:$C$73=$B23)*('Results Data'!$E$2:$E$73='Results Data'!$D$2:$D$73))</f>
        <v/>
      </c>
      <c r="F23" s="8">
        <f>C23-D23-E23</f>
        <v/>
      </c>
      <c r="G23" s="8">
        <f>SUMIF('Results Data'!$B$2:$B$73,$B23,'Results Data'!$D$2:$D$73)+SUMIF('Results Data'!$C$2:$C$73,$B23,'Results Data'!$E$2:$E$73)</f>
        <v/>
      </c>
      <c r="H23" s="8">
        <f>SUMIF('Results Data'!$B$2:$B$73,$B23,'Results Data'!$E$2:$E$73)+SUMIF('Results Data'!$C$2:$C$73,$B23,'Results Data'!$D$2:$D$73)</f>
        <v/>
      </c>
      <c r="I23" s="8">
        <f>G23-H23</f>
        <v/>
      </c>
      <c r="J23" s="8">
        <f>D23*3+E23</f>
        <v/>
      </c>
    </row>
    <row r="24">
      <c r="A24" s="5">
        <f>ROW()-1</f>
        <v/>
      </c>
      <c r="B24" s="6" t="inlineStr">
        <is>
          <t>Crawley Town</t>
        </is>
      </c>
      <c r="C24" s="6">
        <f>COUNTIF('Results Data'!$B$2:$B$73,$B24)+COUNTIF('Results Data'!$C$2:$C$73,$B24)</f>
        <v/>
      </c>
      <c r="D24" s="6">
        <f>SUMPRODUCT(('Results Data'!$B$2:$B$73=$B24)*('Results Data'!$D$2:$D$73&gt;'Results Data'!$E$2:$E$73))+SUMPRODUCT(('Results Data'!$C$2:$C$73=$B24)*('Results Data'!$E$2:$E$73&gt;'Results Data'!$D$2:$D$73))</f>
        <v/>
      </c>
      <c r="E24" s="6">
        <f>SUMPRODUCT(('Results Data'!$B$2:$B$73=$B24)*('Results Data'!$D$2:$D$73='Results Data'!$E$2:$E$73))+SUMPRODUCT(('Results Data'!$C$2:$C$73=$B24)*('Results Data'!$E$2:$E$73='Results Data'!$D$2:$D$73))</f>
        <v/>
      </c>
      <c r="F24" s="6">
        <f>C24-D24-E24</f>
        <v/>
      </c>
      <c r="G24" s="6">
        <f>SUMIF('Results Data'!$B$2:$B$73,$B24,'Results Data'!$D$2:$D$73)+SUMIF('Results Data'!$C$2:$C$73,$B24,'Results Data'!$E$2:$E$73)</f>
        <v/>
      </c>
      <c r="H24" s="6">
        <f>SUMIF('Results Data'!$B$2:$B$73,$B24,'Results Data'!$E$2:$E$73)+SUMIF('Results Data'!$C$2:$C$73,$B24,'Results Data'!$D$2:$D$73)</f>
        <v/>
      </c>
      <c r="I24" s="6">
        <f>G24-H24</f>
        <v/>
      </c>
      <c r="J24" s="6">
        <f>D24*3+E24</f>
        <v/>
      </c>
    </row>
    <row r="25">
      <c r="A25" s="7">
        <f>ROW()-1</f>
        <v/>
      </c>
      <c r="B25" s="8" t="inlineStr">
        <is>
          <t>Rochdale</t>
        </is>
      </c>
      <c r="C25" s="8">
        <f>COUNTIF('Results Data'!$B$2:$B$73,$B25)+COUNTIF('Results Data'!$C$2:$C$73,$B25)</f>
        <v/>
      </c>
      <c r="D25" s="8">
        <f>SUMPRODUCT(('Results Data'!$B$2:$B$73=$B25)*('Results Data'!$D$2:$D$73&gt;'Results Data'!$E$2:$E$73))+SUMPRODUCT(('Results Data'!$C$2:$C$73=$B25)*('Results Data'!$E$2:$E$73&gt;'Results Data'!$D$2:$D$73))</f>
        <v/>
      </c>
      <c r="E25" s="8">
        <f>SUMPRODUCT(('Results Data'!$B$2:$B$73=$B25)*('Results Data'!$D$2:$D$73='Results Data'!$E$2:$E$73))+SUMPRODUCT(('Results Data'!$C$2:$C$73=$B25)*('Results Data'!$E$2:$E$73='Results Data'!$D$2:$D$73))</f>
        <v/>
      </c>
      <c r="F25" s="8">
        <f>C25-D25-E25</f>
        <v/>
      </c>
      <c r="G25" s="8">
        <f>SUMIF('Results Data'!$B$2:$B$73,$B25,'Results Data'!$D$2:$D$73)+SUMIF('Results Data'!$C$2:$C$73,$B25,'Results Data'!$E$2:$E$73)</f>
        <v/>
      </c>
      <c r="H25" s="8">
        <f>SUMIF('Results Data'!$B$2:$B$73,$B25,'Results Data'!$E$2:$E$73)+SUMIF('Results Data'!$C$2:$C$73,$B25,'Results Data'!$D$2:$D$73)</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Accrington Stanley</t>
        </is>
      </c>
      <c r="B2" s="6">
        <f>'Accrington Stanley'!$E$10</f>
        <v/>
      </c>
      <c r="C2" s="9">
        <f>'Accrington Stanley'!$E$13</f>
        <v/>
      </c>
      <c r="D2" s="9">
        <f>'Accrington Stanley'!$E$15</f>
        <v/>
      </c>
      <c r="E2" s="9">
        <f>'Accrington Stanley'!$E$17</f>
        <v/>
      </c>
      <c r="F2" s="9">
        <f>'Accrington Stanley'!$E$19</f>
        <v/>
      </c>
      <c r="G2" s="9">
        <f>'Accrington Stanley'!$E$21</f>
        <v/>
      </c>
      <c r="H2" s="9">
        <f>'Accrington Stanley'!$E$25</f>
        <v/>
      </c>
      <c r="I2" s="9">
        <f>'Accrington Stanley'!$E$26</f>
        <v/>
      </c>
      <c r="J2" s="9">
        <f>'Accrington Stanley'!$E$29</f>
        <v/>
      </c>
      <c r="K2" s="9">
        <f>'Accrington Stanley'!$E$30</f>
        <v/>
      </c>
      <c r="L2" s="9">
        <f>'Accrington Stanley'!$E$31</f>
        <v/>
      </c>
    </row>
    <row r="3">
      <c r="A3" s="8" t="inlineStr">
        <is>
          <t>Rotherham United</t>
        </is>
      </c>
      <c r="B3" s="8">
        <f>'Rotherham United'!$E$10</f>
        <v/>
      </c>
      <c r="C3" s="10">
        <f>'Rotherham United'!$E$13</f>
        <v/>
      </c>
      <c r="D3" s="10">
        <f>'Rotherham United'!$E$15</f>
        <v/>
      </c>
      <c r="E3" s="10">
        <f>'Rotherham United'!$E$17</f>
        <v/>
      </c>
      <c r="F3" s="10">
        <f>'Rotherham United'!$E$19</f>
        <v/>
      </c>
      <c r="G3" s="10">
        <f>'Rotherham United'!$E$21</f>
        <v/>
      </c>
      <c r="H3" s="10">
        <f>'Rotherham United'!$E$25</f>
        <v/>
      </c>
      <c r="I3" s="10">
        <f>'Rotherham United'!$E$26</f>
        <v/>
      </c>
      <c r="J3" s="10">
        <f>'Rotherham United'!$E$29</f>
        <v/>
      </c>
      <c r="K3" s="10">
        <f>'Rotherham United'!$E$30</f>
        <v/>
      </c>
      <c r="L3" s="10">
        <f>'Rotherham United'!$E$31</f>
        <v/>
      </c>
    </row>
    <row r="4">
      <c r="A4" s="6" t="inlineStr">
        <is>
          <t>York</t>
        </is>
      </c>
      <c r="B4" s="6">
        <f>'York'!$E$10</f>
        <v/>
      </c>
      <c r="C4" s="9">
        <f>'York'!$E$13</f>
        <v/>
      </c>
      <c r="D4" s="9">
        <f>'York'!$E$15</f>
        <v/>
      </c>
      <c r="E4" s="9">
        <f>'York'!$E$17</f>
        <v/>
      </c>
      <c r="F4" s="9">
        <f>'York'!$E$19</f>
        <v/>
      </c>
      <c r="G4" s="9">
        <f>'York'!$E$21</f>
        <v/>
      </c>
      <c r="H4" s="9">
        <f>'York'!$E$25</f>
        <v/>
      </c>
      <c r="I4" s="9">
        <f>'York'!$E$26</f>
        <v/>
      </c>
      <c r="J4" s="9">
        <f>'York'!$E$29</f>
        <v/>
      </c>
      <c r="K4" s="9">
        <f>'York'!$E$30</f>
        <v/>
      </c>
      <c r="L4" s="9">
        <f>'York'!$E$31</f>
        <v/>
      </c>
    </row>
    <row r="5">
      <c r="A5" s="8" t="inlineStr">
        <is>
          <t>Chesterfield</t>
        </is>
      </c>
      <c r="B5" s="8">
        <f>'Chesterfield'!$E$10</f>
        <v/>
      </c>
      <c r="C5" s="10">
        <f>'Chesterfield'!$E$13</f>
        <v/>
      </c>
      <c r="D5" s="10">
        <f>'Chesterfield'!$E$15</f>
        <v/>
      </c>
      <c r="E5" s="10">
        <f>'Chesterfield'!$E$17</f>
        <v/>
      </c>
      <c r="F5" s="10">
        <f>'Chesterfield'!$E$19</f>
        <v/>
      </c>
      <c r="G5" s="10">
        <f>'Chesterfield'!$E$21</f>
        <v/>
      </c>
      <c r="H5" s="10">
        <f>'Chesterfield'!$E$25</f>
        <v/>
      </c>
      <c r="I5" s="10">
        <f>'Chesterfield'!$E$26</f>
        <v/>
      </c>
      <c r="J5" s="10">
        <f>'Chesterfield'!$E$29</f>
        <v/>
      </c>
      <c r="K5" s="10">
        <f>'Chesterfield'!$E$30</f>
        <v/>
      </c>
      <c r="L5" s="10">
        <f>'Chesterfield'!$E$31</f>
        <v/>
      </c>
    </row>
    <row r="6">
      <c r="A6" s="6" t="inlineStr">
        <is>
          <t>Bristol Rvs</t>
        </is>
      </c>
      <c r="B6" s="6">
        <f>'Bristol Rvs'!$E$10</f>
        <v/>
      </c>
      <c r="C6" s="9">
        <f>'Bristol Rvs'!$E$13</f>
        <v/>
      </c>
      <c r="D6" s="9">
        <f>'Bristol Rvs'!$E$15</f>
        <v/>
      </c>
      <c r="E6" s="9">
        <f>'Bristol Rvs'!$E$17</f>
        <v/>
      </c>
      <c r="F6" s="9">
        <f>'Bristol Rvs'!$E$19</f>
        <v/>
      </c>
      <c r="G6" s="9">
        <f>'Bristol Rvs'!$E$21</f>
        <v/>
      </c>
      <c r="H6" s="9">
        <f>'Bristol Rvs'!$E$25</f>
        <v/>
      </c>
      <c r="I6" s="9">
        <f>'Bristol Rvs'!$E$26</f>
        <v/>
      </c>
      <c r="J6" s="9">
        <f>'Bristol Rvs'!$E$29</f>
        <v/>
      </c>
      <c r="K6" s="9">
        <f>'Bristol Rvs'!$E$30</f>
        <v/>
      </c>
      <c r="L6" s="9">
        <f>'Bristol Rvs'!$E$31</f>
        <v/>
      </c>
    </row>
    <row r="7">
      <c r="A7" s="8" t="inlineStr">
        <is>
          <t>Crawley Town</t>
        </is>
      </c>
      <c r="B7" s="8">
        <f>'Crawley Town'!$E$10</f>
        <v/>
      </c>
      <c r="C7" s="10">
        <f>'Crawley Town'!$E$13</f>
        <v/>
      </c>
      <c r="D7" s="10">
        <f>'Crawley Town'!$E$15</f>
        <v/>
      </c>
      <c r="E7" s="10">
        <f>'Crawley Town'!$E$17</f>
        <v/>
      </c>
      <c r="F7" s="10">
        <f>'Crawley Town'!$E$19</f>
        <v/>
      </c>
      <c r="G7" s="10">
        <f>'Crawley Town'!$E$21</f>
        <v/>
      </c>
      <c r="H7" s="10">
        <f>'Crawley Town'!$E$25</f>
        <v/>
      </c>
      <c r="I7" s="10">
        <f>'Crawley Town'!$E$26</f>
        <v/>
      </c>
      <c r="J7" s="10">
        <f>'Crawley Town'!$E$29</f>
        <v/>
      </c>
      <c r="K7" s="10">
        <f>'Crawley Town'!$E$30</f>
        <v/>
      </c>
      <c r="L7" s="10">
        <f>'Crawley Town'!$E$31</f>
        <v/>
      </c>
    </row>
    <row r="8">
      <c r="A8" s="6" t="inlineStr">
        <is>
          <t>Walsall</t>
        </is>
      </c>
      <c r="B8" s="6">
        <f>'Walsall'!$E$10</f>
        <v/>
      </c>
      <c r="C8" s="9">
        <f>'Walsall'!$E$13</f>
        <v/>
      </c>
      <c r="D8" s="9">
        <f>'Walsall'!$E$15</f>
        <v/>
      </c>
      <c r="E8" s="9">
        <f>'Walsall'!$E$17</f>
        <v/>
      </c>
      <c r="F8" s="9">
        <f>'Walsall'!$E$19</f>
        <v/>
      </c>
      <c r="G8" s="9">
        <f>'Walsall'!$E$21</f>
        <v/>
      </c>
      <c r="H8" s="9">
        <f>'Walsall'!$E$25</f>
        <v/>
      </c>
      <c r="I8" s="9">
        <f>'Walsall'!$E$26</f>
        <v/>
      </c>
      <c r="J8" s="9">
        <f>'Walsall'!$E$29</f>
        <v/>
      </c>
      <c r="K8" s="9">
        <f>'Walsall'!$E$30</f>
        <v/>
      </c>
      <c r="L8" s="9">
        <f>'Walsall'!$E$31</f>
        <v/>
      </c>
    </row>
    <row r="9">
      <c r="A9" s="8" t="inlineStr">
        <is>
          <t>Cheltenham Town</t>
        </is>
      </c>
      <c r="B9" s="8">
        <f>'Cheltenham Town'!$E$10</f>
        <v/>
      </c>
      <c r="C9" s="10">
        <f>'Cheltenham Town'!$E$13</f>
        <v/>
      </c>
      <c r="D9" s="10">
        <f>'Cheltenham Town'!$E$15</f>
        <v/>
      </c>
      <c r="E9" s="10">
        <f>'Cheltenham Town'!$E$17</f>
        <v/>
      </c>
      <c r="F9" s="10">
        <f>'Cheltenham Town'!$E$19</f>
        <v/>
      </c>
      <c r="G9" s="10">
        <f>'Cheltenham Town'!$E$21</f>
        <v/>
      </c>
      <c r="H9" s="10">
        <f>'Cheltenham Town'!$E$25</f>
        <v/>
      </c>
      <c r="I9" s="10">
        <f>'Cheltenham Town'!$E$26</f>
        <v/>
      </c>
      <c r="J9" s="10">
        <f>'Cheltenham Town'!$E$29</f>
        <v/>
      </c>
      <c r="K9" s="10">
        <f>'Cheltenham Town'!$E$30</f>
        <v/>
      </c>
      <c r="L9" s="10">
        <f>'Cheltenham Town'!$E$31</f>
        <v/>
      </c>
    </row>
    <row r="10">
      <c r="A10" s="6" t="inlineStr">
        <is>
          <t>Grimsby Town</t>
        </is>
      </c>
      <c r="B10" s="6">
        <f>'Grimsby Town'!$E$10</f>
        <v/>
      </c>
      <c r="C10" s="9">
        <f>'Grimsby Town'!$E$13</f>
        <v/>
      </c>
      <c r="D10" s="9">
        <f>'Grimsby Town'!$E$15</f>
        <v/>
      </c>
      <c r="E10" s="9">
        <f>'Grimsby Town'!$E$17</f>
        <v/>
      </c>
      <c r="F10" s="9">
        <f>'Grimsby Town'!$E$19</f>
        <v/>
      </c>
      <c r="G10" s="9">
        <f>'Grimsby Town'!$E$21</f>
        <v/>
      </c>
      <c r="H10" s="9">
        <f>'Grimsby Town'!$E$25</f>
        <v/>
      </c>
      <c r="I10" s="9">
        <f>'Grimsby Town'!$E$26</f>
        <v/>
      </c>
      <c r="J10" s="9">
        <f>'Grimsby Town'!$E$29</f>
        <v/>
      </c>
      <c r="K10" s="9">
        <f>'Grimsby Town'!$E$30</f>
        <v/>
      </c>
      <c r="L10" s="9">
        <f>'Grimsby Town'!$E$31</f>
        <v/>
      </c>
    </row>
    <row r="11">
      <c r="A11" s="8" t="inlineStr">
        <is>
          <t>Barnet</t>
        </is>
      </c>
      <c r="B11" s="8">
        <f>'Barnet'!$E$10</f>
        <v/>
      </c>
      <c r="C11" s="10">
        <f>'Barnet'!$E$13</f>
        <v/>
      </c>
      <c r="D11" s="10">
        <f>'Barnet'!$E$15</f>
        <v/>
      </c>
      <c r="E11" s="10">
        <f>'Barnet'!$E$17</f>
        <v/>
      </c>
      <c r="F11" s="10">
        <f>'Barnet'!$E$19</f>
        <v/>
      </c>
      <c r="G11" s="10">
        <f>'Barnet'!$E$21</f>
        <v/>
      </c>
      <c r="H11" s="10">
        <f>'Barnet'!$E$25</f>
        <v/>
      </c>
      <c r="I11" s="10">
        <f>'Barnet'!$E$26</f>
        <v/>
      </c>
      <c r="J11" s="10">
        <f>'Barnet'!$E$29</f>
        <v/>
      </c>
      <c r="K11" s="10">
        <f>'Barnet'!$E$30</f>
        <v/>
      </c>
      <c r="L11" s="10">
        <f>'Barnet'!$E$31</f>
        <v/>
      </c>
    </row>
    <row r="12">
      <c r="A12" s="6" t="inlineStr">
        <is>
          <t>Gillingham</t>
        </is>
      </c>
      <c r="B12" s="6">
        <f>'Gillingham'!$E$10</f>
        <v/>
      </c>
      <c r="C12" s="9">
        <f>'Gillingham'!$E$13</f>
        <v/>
      </c>
      <c r="D12" s="9">
        <f>'Gillingham'!$E$15</f>
        <v/>
      </c>
      <c r="E12" s="9">
        <f>'Gillingham'!$E$17</f>
        <v/>
      </c>
      <c r="F12" s="9">
        <f>'Gillingham'!$E$19</f>
        <v/>
      </c>
      <c r="G12" s="9">
        <f>'Gillingham'!$E$21</f>
        <v/>
      </c>
      <c r="H12" s="9">
        <f>'Gillingham'!$E$25</f>
        <v/>
      </c>
      <c r="I12" s="9">
        <f>'Gillingham'!$E$26</f>
        <v/>
      </c>
      <c r="J12" s="9">
        <f>'Gillingham'!$E$29</f>
        <v/>
      </c>
      <c r="K12" s="9">
        <f>'Gillingham'!$E$30</f>
        <v/>
      </c>
      <c r="L12" s="9">
        <f>'Gillingham'!$E$31</f>
        <v/>
      </c>
    </row>
    <row r="13">
      <c r="A13" s="8" t="inlineStr">
        <is>
          <t>Oldham Athletic</t>
        </is>
      </c>
      <c r="B13" s="8">
        <f>'Oldham Athletic'!$E$10</f>
        <v/>
      </c>
      <c r="C13" s="10">
        <f>'Oldham Athletic'!$E$13</f>
        <v/>
      </c>
      <c r="D13" s="10">
        <f>'Oldham Athletic'!$E$15</f>
        <v/>
      </c>
      <c r="E13" s="10">
        <f>'Oldham Athletic'!$E$17</f>
        <v/>
      </c>
      <c r="F13" s="10">
        <f>'Oldham Athletic'!$E$19</f>
        <v/>
      </c>
      <c r="G13" s="10">
        <f>'Oldham Athletic'!$E$21</f>
        <v/>
      </c>
      <c r="H13" s="10">
        <f>'Oldham Athletic'!$E$25</f>
        <v/>
      </c>
      <c r="I13" s="10">
        <f>'Oldham Athletic'!$E$26</f>
        <v/>
      </c>
      <c r="J13" s="10">
        <f>'Oldham Athletic'!$E$29</f>
        <v/>
      </c>
      <c r="K13" s="10">
        <f>'Oldham Athletic'!$E$30</f>
        <v/>
      </c>
      <c r="L13" s="10">
        <f>'Oldham Athletic'!$E$31</f>
        <v/>
      </c>
    </row>
    <row r="14">
      <c r="A14" s="6" t="inlineStr">
        <is>
          <t>Shrewsbury Town</t>
        </is>
      </c>
      <c r="B14" s="6">
        <f>'Shrewsbury Town'!$E$10</f>
        <v/>
      </c>
      <c r="C14" s="9">
        <f>'Shrewsbury Town'!$E$13</f>
        <v/>
      </c>
      <c r="D14" s="9">
        <f>'Shrewsbury Town'!$E$15</f>
        <v/>
      </c>
      <c r="E14" s="9">
        <f>'Shrewsbury Town'!$E$17</f>
        <v/>
      </c>
      <c r="F14" s="9">
        <f>'Shrewsbury Town'!$E$19</f>
        <v/>
      </c>
      <c r="G14" s="9">
        <f>'Shrewsbury Town'!$E$21</f>
        <v/>
      </c>
      <c r="H14" s="9">
        <f>'Shrewsbury Town'!$E$25</f>
        <v/>
      </c>
      <c r="I14" s="9">
        <f>'Shrewsbury Town'!$E$26</f>
        <v/>
      </c>
      <c r="J14" s="9">
        <f>'Shrewsbury Town'!$E$29</f>
        <v/>
      </c>
      <c r="K14" s="9">
        <f>'Shrewsbury Town'!$E$30</f>
        <v/>
      </c>
      <c r="L14" s="9">
        <f>'Shrewsbury Town'!$E$31</f>
        <v/>
      </c>
    </row>
    <row r="15">
      <c r="A15" s="8" t="inlineStr">
        <is>
          <t>Colchester United</t>
        </is>
      </c>
      <c r="B15" s="8">
        <f>'Colchester United'!$E$10</f>
        <v/>
      </c>
      <c r="C15" s="10">
        <f>'Colchester United'!$E$13</f>
        <v/>
      </c>
      <c r="D15" s="10">
        <f>'Colchester United'!$E$15</f>
        <v/>
      </c>
      <c r="E15" s="10">
        <f>'Colchester United'!$E$17</f>
        <v/>
      </c>
      <c r="F15" s="10">
        <f>'Colchester United'!$E$19</f>
        <v/>
      </c>
      <c r="G15" s="10">
        <f>'Colchester United'!$E$21</f>
        <v/>
      </c>
      <c r="H15" s="10">
        <f>'Colchester United'!$E$25</f>
        <v/>
      </c>
      <c r="I15" s="10">
        <f>'Colchester United'!$E$26</f>
        <v/>
      </c>
      <c r="J15" s="10">
        <f>'Colchester United'!$E$29</f>
        <v/>
      </c>
      <c r="K15" s="10">
        <f>'Colchester United'!$E$30</f>
        <v/>
      </c>
      <c r="L15" s="10">
        <f>'Colchester United'!$E$31</f>
        <v/>
      </c>
    </row>
    <row r="16">
      <c r="A16" s="6" t="inlineStr">
        <is>
          <t>Exeter</t>
        </is>
      </c>
      <c r="B16" s="6">
        <f>'Exeter'!$E$10</f>
        <v/>
      </c>
      <c r="C16" s="9">
        <f>'Exeter'!$E$13</f>
        <v/>
      </c>
      <c r="D16" s="9">
        <f>'Exeter'!$E$15</f>
        <v/>
      </c>
      <c r="E16" s="9">
        <f>'Exeter'!$E$17</f>
        <v/>
      </c>
      <c r="F16" s="9">
        <f>'Exeter'!$E$19</f>
        <v/>
      </c>
      <c r="G16" s="9">
        <f>'Exeter'!$E$21</f>
        <v/>
      </c>
      <c r="H16" s="9">
        <f>'Exeter'!$E$25</f>
        <v/>
      </c>
      <c r="I16" s="9">
        <f>'Exeter'!$E$26</f>
        <v/>
      </c>
      <c r="J16" s="9">
        <f>'Exeter'!$E$29</f>
        <v/>
      </c>
      <c r="K16" s="9">
        <f>'Exeter'!$E$30</f>
        <v/>
      </c>
      <c r="L16" s="9">
        <f>'Exeter'!$E$31</f>
        <v/>
      </c>
    </row>
    <row r="17">
      <c r="A17" s="8" t="inlineStr">
        <is>
          <t>Newport County</t>
        </is>
      </c>
      <c r="B17" s="8">
        <f>'Newport County'!$E$10</f>
        <v/>
      </c>
      <c r="C17" s="10">
        <f>'Newport County'!$E$13</f>
        <v/>
      </c>
      <c r="D17" s="10">
        <f>'Newport County'!$E$15</f>
        <v/>
      </c>
      <c r="E17" s="10">
        <f>'Newport County'!$E$17</f>
        <v/>
      </c>
      <c r="F17" s="10">
        <f>'Newport County'!$E$19</f>
        <v/>
      </c>
      <c r="G17" s="10">
        <f>'Newport County'!$E$21</f>
        <v/>
      </c>
      <c r="H17" s="10">
        <f>'Newport County'!$E$25</f>
        <v/>
      </c>
      <c r="I17" s="10">
        <f>'Newport County'!$E$26</f>
        <v/>
      </c>
      <c r="J17" s="10">
        <f>'Newport County'!$E$29</f>
        <v/>
      </c>
      <c r="K17" s="10">
        <f>'Newport County'!$E$30</f>
        <v/>
      </c>
      <c r="L17" s="10">
        <f>'Newport County'!$E$31</f>
        <v/>
      </c>
    </row>
    <row r="18">
      <c r="A18" s="6" t="inlineStr">
        <is>
          <t>Tranmere Rovers</t>
        </is>
      </c>
      <c r="B18" s="6">
        <f>'Tranmere Rovers'!$E$10</f>
        <v/>
      </c>
      <c r="C18" s="9">
        <f>'Tranmere Rovers'!$E$13</f>
        <v/>
      </c>
      <c r="D18" s="9">
        <f>'Tranmere Rovers'!$E$15</f>
        <v/>
      </c>
      <c r="E18" s="9">
        <f>'Tranmere Rovers'!$E$17</f>
        <v/>
      </c>
      <c r="F18" s="9">
        <f>'Tranmere Rovers'!$E$19</f>
        <v/>
      </c>
      <c r="G18" s="9">
        <f>'Tranmere Rovers'!$E$21</f>
        <v/>
      </c>
      <c r="H18" s="9">
        <f>'Tranmere Rovers'!$E$25</f>
        <v/>
      </c>
      <c r="I18" s="9">
        <f>'Tranmere Rovers'!$E$26</f>
        <v/>
      </c>
      <c r="J18" s="9">
        <f>'Tranmere Rovers'!$E$29</f>
        <v/>
      </c>
      <c r="K18" s="9">
        <f>'Tranmere Rovers'!$E$30</f>
        <v/>
      </c>
      <c r="L18" s="9">
        <f>'Tranmere Rovers'!$E$31</f>
        <v/>
      </c>
    </row>
    <row r="19">
      <c r="A19" s="8" t="inlineStr">
        <is>
          <t>Crewe Alexandra</t>
        </is>
      </c>
      <c r="B19" s="8">
        <f>'Crewe Alexandra'!$E$10</f>
        <v/>
      </c>
      <c r="C19" s="10">
        <f>'Crewe Alexandra'!$E$13</f>
        <v/>
      </c>
      <c r="D19" s="10">
        <f>'Crewe Alexandra'!$E$15</f>
        <v/>
      </c>
      <c r="E19" s="10">
        <f>'Crewe Alexandra'!$E$17</f>
        <v/>
      </c>
      <c r="F19" s="10">
        <f>'Crewe Alexandra'!$E$19</f>
        <v/>
      </c>
      <c r="G19" s="10">
        <f>'Crewe Alexandra'!$E$21</f>
        <v/>
      </c>
      <c r="H19" s="10">
        <f>'Crewe Alexandra'!$E$25</f>
        <v/>
      </c>
      <c r="I19" s="10">
        <f>'Crewe Alexandra'!$E$26</f>
        <v/>
      </c>
      <c r="J19" s="10">
        <f>'Crewe Alexandra'!$E$29</f>
        <v/>
      </c>
      <c r="K19" s="10">
        <f>'Crewe Alexandra'!$E$30</f>
        <v/>
      </c>
      <c r="L19" s="10">
        <f>'Crewe Alexandra'!$E$31</f>
        <v/>
      </c>
    </row>
    <row r="20">
      <c r="A20" s="6" t="inlineStr">
        <is>
          <t>Swindon Town</t>
        </is>
      </c>
      <c r="B20" s="6">
        <f>'Swindon Town'!$E$10</f>
        <v/>
      </c>
      <c r="C20" s="9">
        <f>'Swindon Town'!$E$13</f>
        <v/>
      </c>
      <c r="D20" s="9">
        <f>'Swindon Town'!$E$15</f>
        <v/>
      </c>
      <c r="E20" s="9">
        <f>'Swindon Town'!$E$17</f>
        <v/>
      </c>
      <c r="F20" s="9">
        <f>'Swindon Town'!$E$19</f>
        <v/>
      </c>
      <c r="G20" s="9">
        <f>'Swindon Town'!$E$21</f>
        <v/>
      </c>
      <c r="H20" s="9">
        <f>'Swindon Town'!$E$25</f>
        <v/>
      </c>
      <c r="I20" s="9">
        <f>'Swindon Town'!$E$26</f>
        <v/>
      </c>
      <c r="J20" s="9">
        <f>'Swindon Town'!$E$29</f>
        <v/>
      </c>
      <c r="K20" s="9">
        <f>'Swindon Town'!$E$30</f>
        <v/>
      </c>
      <c r="L20" s="9">
        <f>'Swindon Town'!$E$31</f>
        <v/>
      </c>
    </row>
    <row r="21">
      <c r="A21" s="8" t="inlineStr">
        <is>
          <t>Fleetwood Town</t>
        </is>
      </c>
      <c r="B21" s="8">
        <f>'Fleetwood Town'!$E$10</f>
        <v/>
      </c>
      <c r="C21" s="10">
        <f>'Fleetwood Town'!$E$13</f>
        <v/>
      </c>
      <c r="D21" s="10">
        <f>'Fleetwood Town'!$E$15</f>
        <v/>
      </c>
      <c r="E21" s="10">
        <f>'Fleetwood Town'!$E$17</f>
        <v/>
      </c>
      <c r="F21" s="10">
        <f>'Fleetwood Town'!$E$19</f>
        <v/>
      </c>
      <c r="G21" s="10">
        <f>'Fleetwood Town'!$E$21</f>
        <v/>
      </c>
      <c r="H21" s="10">
        <f>'Fleetwood Town'!$E$25</f>
        <v/>
      </c>
      <c r="I21" s="10">
        <f>'Fleetwood Town'!$E$26</f>
        <v/>
      </c>
      <c r="J21" s="10">
        <f>'Fleetwood Town'!$E$29</f>
        <v/>
      </c>
      <c r="K21" s="10">
        <f>'Fleetwood Town'!$E$30</f>
        <v/>
      </c>
      <c r="L21" s="10">
        <f>'Fleetwood Town'!$E$31</f>
        <v/>
      </c>
    </row>
    <row r="22">
      <c r="A22" s="6" t="inlineStr">
        <is>
          <t>Port Vale</t>
        </is>
      </c>
      <c r="B22" s="6">
        <f>'Port Vale'!$E$10</f>
        <v/>
      </c>
      <c r="C22" s="9">
        <f>'Port Vale'!$E$13</f>
        <v/>
      </c>
      <c r="D22" s="9">
        <f>'Port Vale'!$E$15</f>
        <v/>
      </c>
      <c r="E22" s="9">
        <f>'Port Vale'!$E$17</f>
        <v/>
      </c>
      <c r="F22" s="9">
        <f>'Port Vale'!$E$19</f>
        <v/>
      </c>
      <c r="G22" s="9">
        <f>'Port Vale'!$E$21</f>
        <v/>
      </c>
      <c r="H22" s="9">
        <f>'Port Vale'!$E$25</f>
        <v/>
      </c>
      <c r="I22" s="9">
        <f>'Port Vale'!$E$26</f>
        <v/>
      </c>
      <c r="J22" s="9">
        <f>'Port Vale'!$E$29</f>
        <v/>
      </c>
      <c r="K22" s="9">
        <f>'Port Vale'!$E$30</f>
        <v/>
      </c>
      <c r="L22" s="9">
        <f>'Port Vale'!$E$31</f>
        <v/>
      </c>
    </row>
    <row r="23">
      <c r="A23" s="8" t="inlineStr">
        <is>
          <t>Salford City</t>
        </is>
      </c>
      <c r="B23" s="8">
        <f>'Salford City'!$E$10</f>
        <v/>
      </c>
      <c r="C23" s="10">
        <f>'Salford City'!$E$13</f>
        <v/>
      </c>
      <c r="D23" s="10">
        <f>'Salford City'!$E$15</f>
        <v/>
      </c>
      <c r="E23" s="10">
        <f>'Salford City'!$E$17</f>
        <v/>
      </c>
      <c r="F23" s="10">
        <f>'Salford City'!$E$19</f>
        <v/>
      </c>
      <c r="G23" s="10">
        <f>'Salford City'!$E$21</f>
        <v/>
      </c>
      <c r="H23" s="10">
        <f>'Salford City'!$E$25</f>
        <v/>
      </c>
      <c r="I23" s="10">
        <f>'Salford City'!$E$26</f>
        <v/>
      </c>
      <c r="J23" s="10">
        <f>'Salford City'!$E$29</f>
        <v/>
      </c>
      <c r="K23" s="10">
        <f>'Salford City'!$E$30</f>
        <v/>
      </c>
      <c r="L23" s="10">
        <f>'Salford City'!$E$31</f>
        <v/>
      </c>
    </row>
    <row r="24">
      <c r="A24" s="6" t="inlineStr">
        <is>
          <t>Rochdale</t>
        </is>
      </c>
      <c r="B24" s="6">
        <f>'Rochdale'!$E$10</f>
        <v/>
      </c>
      <c r="C24" s="9">
        <f>'Rochdale'!$E$13</f>
        <v/>
      </c>
      <c r="D24" s="9">
        <f>'Rochdale'!$E$15</f>
        <v/>
      </c>
      <c r="E24" s="9">
        <f>'Rochdale'!$E$17</f>
        <v/>
      </c>
      <c r="F24" s="9">
        <f>'Rochdale'!$E$19</f>
        <v/>
      </c>
      <c r="G24" s="9">
        <f>'Rochdale'!$E$21</f>
        <v/>
      </c>
      <c r="H24" s="9">
        <f>'Rochdale'!$E$25</f>
        <v/>
      </c>
      <c r="I24" s="9">
        <f>'Rochdale'!$E$26</f>
        <v/>
      </c>
      <c r="J24" s="9">
        <f>'Rochdale'!$E$29</f>
        <v/>
      </c>
      <c r="K24" s="9">
        <f>'Rochdale'!$E$30</f>
        <v/>
      </c>
      <c r="L24" s="9">
        <f>'Rochdale'!$E$31</f>
        <v/>
      </c>
    </row>
    <row r="25">
      <c r="A25" s="8" t="inlineStr">
        <is>
          <t>Northampton Town</t>
        </is>
      </c>
      <c r="B25" s="8">
        <f>'Northampton Town'!$E$10</f>
        <v/>
      </c>
      <c r="C25" s="10">
        <f>'Northampton Town'!$E$13</f>
        <v/>
      </c>
      <c r="D25" s="10">
        <f>'Northampton Town'!$E$15</f>
        <v/>
      </c>
      <c r="E25" s="10">
        <f>'Northampton Town'!$E$17</f>
        <v/>
      </c>
      <c r="F25" s="10">
        <f>'Northampton Town'!$E$19</f>
        <v/>
      </c>
      <c r="G25" s="10">
        <f>'Northampton Town'!$E$21</f>
        <v/>
      </c>
      <c r="H25" s="10">
        <f>'Northampton Town'!$E$25</f>
        <v/>
      </c>
      <c r="I25" s="10">
        <f>'Northampton Town'!$E$26</f>
        <v/>
      </c>
      <c r="J25" s="10">
        <f>'Northampton Town'!$E$29</f>
        <v/>
      </c>
      <c r="K25" s="10">
        <f>'Northampton Town'!$E$30</f>
        <v/>
      </c>
      <c r="L25" s="10">
        <f>'Northampton Town'!$E$31</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Rotherham United</t>
        </is>
      </c>
      <c r="C2" s="6">
        <f>'Rotherham United'!$E$10</f>
        <v/>
      </c>
      <c r="D2" s="9">
        <f>'Rotherham United'!$E$29</f>
        <v/>
      </c>
      <c r="E2" s="9">
        <f>'Rotherham United'!$E$30</f>
        <v/>
      </c>
      <c r="F2" s="9">
        <f>D2-E2</f>
        <v/>
      </c>
    </row>
    <row r="3">
      <c r="A3" s="7" t="n">
        <v>2</v>
      </c>
      <c r="B3" s="8" t="inlineStr">
        <is>
          <t>Shrewsbury Town</t>
        </is>
      </c>
      <c r="C3" s="8">
        <f>'Shrewsbury Town'!$E$10</f>
        <v/>
      </c>
      <c r="D3" s="10">
        <f>'Shrewsbury Town'!$E$29</f>
        <v/>
      </c>
      <c r="E3" s="10">
        <f>'Shrewsbury Town'!$E$30</f>
        <v/>
      </c>
      <c r="F3" s="10">
        <f>D3-E3</f>
        <v/>
      </c>
    </row>
    <row r="4">
      <c r="A4" s="5" t="n">
        <v>3</v>
      </c>
      <c r="B4" s="6" t="inlineStr">
        <is>
          <t>York</t>
        </is>
      </c>
      <c r="C4" s="6">
        <f>'York'!$E$10</f>
        <v/>
      </c>
      <c r="D4" s="9">
        <f>'York'!$E$29</f>
        <v/>
      </c>
      <c r="E4" s="9">
        <f>'York'!$E$30</f>
        <v/>
      </c>
      <c r="F4" s="9">
        <f>D4-E4</f>
        <v/>
      </c>
    </row>
    <row r="5">
      <c r="A5" s="7" t="n">
        <v>4</v>
      </c>
      <c r="B5" s="8" t="inlineStr">
        <is>
          <t>Chesterfield</t>
        </is>
      </c>
      <c r="C5" s="8">
        <f>'Chesterfield'!$E$10</f>
        <v/>
      </c>
      <c r="D5" s="10">
        <f>'Chesterfield'!$E$29</f>
        <v/>
      </c>
      <c r="E5" s="10">
        <f>'Chesterfield'!$E$30</f>
        <v/>
      </c>
      <c r="F5" s="10">
        <f>D5-E5</f>
        <v/>
      </c>
    </row>
    <row r="6">
      <c r="A6" s="5" t="n">
        <v>5</v>
      </c>
      <c r="B6" s="6" t="inlineStr">
        <is>
          <t>Exeter</t>
        </is>
      </c>
      <c r="C6" s="6">
        <f>'Exeter'!$E$10</f>
        <v/>
      </c>
      <c r="D6" s="9">
        <f>'Exeter'!$E$29</f>
        <v/>
      </c>
      <c r="E6" s="9">
        <f>'Exeter'!$E$30</f>
        <v/>
      </c>
      <c r="F6" s="9">
        <f>D6-E6</f>
        <v/>
      </c>
    </row>
    <row r="7">
      <c r="A7" s="7" t="n">
        <v>6</v>
      </c>
      <c r="B7" s="8" t="inlineStr">
        <is>
          <t>Crawley Town</t>
        </is>
      </c>
      <c r="C7" s="8">
        <f>'Crawley Town'!$E$10</f>
        <v/>
      </c>
      <c r="D7" s="10">
        <f>'Crawley Town'!$E$29</f>
        <v/>
      </c>
      <c r="E7" s="10">
        <f>'Crawley Town'!$E$30</f>
        <v/>
      </c>
      <c r="F7" s="10">
        <f>D7-E7</f>
        <v/>
      </c>
    </row>
    <row r="8">
      <c r="A8" s="5" t="n">
        <v>7</v>
      </c>
      <c r="B8" s="6" t="inlineStr">
        <is>
          <t>Newport County</t>
        </is>
      </c>
      <c r="C8" s="6">
        <f>'Newport County'!$E$10</f>
        <v/>
      </c>
      <c r="D8" s="9">
        <f>'Newport County'!$E$29</f>
        <v/>
      </c>
      <c r="E8" s="9">
        <f>'Newport County'!$E$30</f>
        <v/>
      </c>
      <c r="F8" s="9">
        <f>D8-E8</f>
        <v/>
      </c>
    </row>
    <row r="9">
      <c r="A9" s="7" t="n">
        <v>8</v>
      </c>
      <c r="B9" s="8" t="inlineStr">
        <is>
          <t>Accrington Stanley</t>
        </is>
      </c>
      <c r="C9" s="8">
        <f>'Accrington Stanley'!$E$10</f>
        <v/>
      </c>
      <c r="D9" s="10">
        <f>'Accrington Stanley'!$E$29</f>
        <v/>
      </c>
      <c r="E9" s="10">
        <f>'Accrington Stanley'!$E$30</f>
        <v/>
      </c>
      <c r="F9" s="10">
        <f>D9-E9</f>
        <v/>
      </c>
    </row>
    <row r="10">
      <c r="A10" s="5" t="n">
        <v>9</v>
      </c>
      <c r="B10" s="6" t="inlineStr">
        <is>
          <t>Bristol Rvs</t>
        </is>
      </c>
      <c r="C10" s="6">
        <f>'Bristol Rvs'!$E$10</f>
        <v/>
      </c>
      <c r="D10" s="9">
        <f>'Bristol Rvs'!$E$29</f>
        <v/>
      </c>
      <c r="E10" s="9">
        <f>'Bristol Rvs'!$E$30</f>
        <v/>
      </c>
      <c r="F10" s="9">
        <f>D10-E10</f>
        <v/>
      </c>
    </row>
    <row r="11">
      <c r="A11" s="7" t="n">
        <v>10</v>
      </c>
      <c r="B11" s="8" t="inlineStr">
        <is>
          <t>Walsall</t>
        </is>
      </c>
      <c r="C11" s="8">
        <f>'Walsall'!$E$10</f>
        <v/>
      </c>
      <c r="D11" s="10">
        <f>'Walsall'!$E$29</f>
        <v/>
      </c>
      <c r="E11" s="10">
        <f>'Walsall'!$E$30</f>
        <v/>
      </c>
      <c r="F11" s="10">
        <f>D11-E11</f>
        <v/>
      </c>
    </row>
    <row r="12">
      <c r="A12" s="5" t="n">
        <v>11</v>
      </c>
      <c r="B12" s="6" t="inlineStr">
        <is>
          <t>Gillingham</t>
        </is>
      </c>
      <c r="C12" s="6">
        <f>'Gillingham'!$E$10</f>
        <v/>
      </c>
      <c r="D12" s="9">
        <f>'Gillingham'!$E$29</f>
        <v/>
      </c>
      <c r="E12" s="9">
        <f>'Gillingham'!$E$30</f>
        <v/>
      </c>
      <c r="F12" s="9">
        <f>D12-E12</f>
        <v/>
      </c>
    </row>
    <row r="13">
      <c r="A13" s="7" t="n">
        <v>12</v>
      </c>
      <c r="B13" s="8" t="inlineStr">
        <is>
          <t>Cheltenham Town</t>
        </is>
      </c>
      <c r="C13" s="8">
        <f>'Cheltenham Town'!$E$10</f>
        <v/>
      </c>
      <c r="D13" s="10">
        <f>'Cheltenham Town'!$E$29</f>
        <v/>
      </c>
      <c r="E13" s="10">
        <f>'Cheltenham Town'!$E$30</f>
        <v/>
      </c>
      <c r="F13" s="10">
        <f>D13-E13</f>
        <v/>
      </c>
    </row>
    <row r="14">
      <c r="A14" s="5" t="n">
        <v>13</v>
      </c>
      <c r="B14" s="6" t="inlineStr">
        <is>
          <t>Grimsby Town</t>
        </is>
      </c>
      <c r="C14" s="6">
        <f>'Grimsby Town'!$E$10</f>
        <v/>
      </c>
      <c r="D14" s="9">
        <f>'Grimsby Town'!$E$29</f>
        <v/>
      </c>
      <c r="E14" s="9">
        <f>'Grimsby Town'!$E$30</f>
        <v/>
      </c>
      <c r="F14" s="9">
        <f>D14-E14</f>
        <v/>
      </c>
    </row>
    <row r="15">
      <c r="A15" s="7" t="n">
        <v>14</v>
      </c>
      <c r="B15" s="8" t="inlineStr">
        <is>
          <t>Oldham Athletic</t>
        </is>
      </c>
      <c r="C15" s="8">
        <f>'Oldham Athletic'!$E$10</f>
        <v/>
      </c>
      <c r="D15" s="10">
        <f>'Oldham Athletic'!$E$29</f>
        <v/>
      </c>
      <c r="E15" s="10">
        <f>'Oldham Athletic'!$E$30</f>
        <v/>
      </c>
      <c r="F15" s="10">
        <f>D15-E15</f>
        <v/>
      </c>
    </row>
    <row r="16">
      <c r="A16" s="5" t="n">
        <v>15</v>
      </c>
      <c r="B16" s="6" t="inlineStr">
        <is>
          <t>Colchester United</t>
        </is>
      </c>
      <c r="C16" s="6">
        <f>'Colchester United'!$E$10</f>
        <v/>
      </c>
      <c r="D16" s="9">
        <f>'Colchester United'!$E$29</f>
        <v/>
      </c>
      <c r="E16" s="9">
        <f>'Colchester United'!$E$30</f>
        <v/>
      </c>
      <c r="F16" s="9">
        <f>D16-E16</f>
        <v/>
      </c>
    </row>
    <row r="17">
      <c r="A17" s="7" t="n">
        <v>16</v>
      </c>
      <c r="B17" s="8" t="inlineStr">
        <is>
          <t>Port Vale</t>
        </is>
      </c>
      <c r="C17" s="8">
        <f>'Port Vale'!$E$10</f>
        <v/>
      </c>
      <c r="D17" s="10">
        <f>'Port Vale'!$E$29</f>
        <v/>
      </c>
      <c r="E17" s="10">
        <f>'Port Vale'!$E$30</f>
        <v/>
      </c>
      <c r="F17" s="10">
        <f>D17-E17</f>
        <v/>
      </c>
    </row>
    <row r="18">
      <c r="A18" s="5" t="n">
        <v>17</v>
      </c>
      <c r="B18" s="6" t="inlineStr">
        <is>
          <t>Barnet</t>
        </is>
      </c>
      <c r="C18" s="6">
        <f>'Barnet'!$E$10</f>
        <v/>
      </c>
      <c r="D18" s="9">
        <f>'Barnet'!$E$29</f>
        <v/>
      </c>
      <c r="E18" s="9">
        <f>'Barnet'!$E$30</f>
        <v/>
      </c>
      <c r="F18" s="9">
        <f>D18-E18</f>
        <v/>
      </c>
    </row>
    <row r="19">
      <c r="A19" s="7" t="n">
        <v>18</v>
      </c>
      <c r="B19" s="8" t="inlineStr">
        <is>
          <t>Crewe Alexandra</t>
        </is>
      </c>
      <c r="C19" s="8">
        <f>'Crewe Alexandra'!$E$10</f>
        <v/>
      </c>
      <c r="D19" s="10">
        <f>'Crewe Alexandra'!$E$29</f>
        <v/>
      </c>
      <c r="E19" s="10">
        <f>'Crewe Alexandra'!$E$30</f>
        <v/>
      </c>
      <c r="F19" s="10">
        <f>D19-E19</f>
        <v/>
      </c>
    </row>
    <row r="20">
      <c r="A20" s="5" t="n">
        <v>19</v>
      </c>
      <c r="B20" s="6" t="inlineStr">
        <is>
          <t>Swindon Town</t>
        </is>
      </c>
      <c r="C20" s="6">
        <f>'Swindon Town'!$E$10</f>
        <v/>
      </c>
      <c r="D20" s="9">
        <f>'Swindon Town'!$E$29</f>
        <v/>
      </c>
      <c r="E20" s="9">
        <f>'Swindon Town'!$E$30</f>
        <v/>
      </c>
      <c r="F20" s="9">
        <f>D20-E20</f>
        <v/>
      </c>
    </row>
    <row r="21">
      <c r="A21" s="7" t="n">
        <v>20</v>
      </c>
      <c r="B21" s="8" t="inlineStr">
        <is>
          <t>Tranmere Rovers</t>
        </is>
      </c>
      <c r="C21" s="8">
        <f>'Tranmere Rovers'!$E$10</f>
        <v/>
      </c>
      <c r="D21" s="10">
        <f>'Tranmere Rovers'!$E$29</f>
        <v/>
      </c>
      <c r="E21" s="10">
        <f>'Tranmere Rovers'!$E$30</f>
        <v/>
      </c>
      <c r="F21" s="10">
        <f>D21-E21</f>
        <v/>
      </c>
    </row>
    <row r="22">
      <c r="A22" s="5" t="n">
        <v>21</v>
      </c>
      <c r="B22" s="6" t="inlineStr">
        <is>
          <t>Northampton Town</t>
        </is>
      </c>
      <c r="C22" s="6">
        <f>'Northampton Town'!$E$10</f>
        <v/>
      </c>
      <c r="D22" s="9">
        <f>'Northampton Town'!$E$29</f>
        <v/>
      </c>
      <c r="E22" s="9">
        <f>'Northampton Town'!$E$30</f>
        <v/>
      </c>
      <c r="F22" s="9">
        <f>D22-E22</f>
        <v/>
      </c>
    </row>
    <row r="23">
      <c r="A23" s="7" t="n">
        <v>22</v>
      </c>
      <c r="B23" s="8" t="inlineStr">
        <is>
          <t>Fleetwood Town</t>
        </is>
      </c>
      <c r="C23" s="8">
        <f>'Fleetwood Town'!$E$10</f>
        <v/>
      </c>
      <c r="D23" s="10">
        <f>'Fleetwood Town'!$E$29</f>
        <v/>
      </c>
      <c r="E23" s="10">
        <f>'Fleetwood Town'!$E$30</f>
        <v/>
      </c>
      <c r="F23" s="10">
        <f>D23-E23</f>
        <v/>
      </c>
    </row>
    <row r="24">
      <c r="A24" s="5" t="n">
        <v>23</v>
      </c>
      <c r="B24" s="6" t="inlineStr">
        <is>
          <t>Salford City</t>
        </is>
      </c>
      <c r="C24" s="6">
        <f>'Salford City'!$E$10</f>
        <v/>
      </c>
      <c r="D24" s="9">
        <f>'Salford City'!$E$29</f>
        <v/>
      </c>
      <c r="E24" s="9">
        <f>'Salford City'!$E$30</f>
        <v/>
      </c>
      <c r="F24" s="9">
        <f>D24-E24</f>
        <v/>
      </c>
    </row>
    <row r="25">
      <c r="A25" s="7" t="n">
        <v>24</v>
      </c>
      <c r="B25" s="8" t="inlineStr">
        <is>
          <t>Rochdale</t>
        </is>
      </c>
      <c r="C25" s="8">
        <f>'Rochdale'!$E$10</f>
        <v/>
      </c>
      <c r="D25" s="10">
        <f>'Rochdale'!$E$29</f>
        <v/>
      </c>
      <c r="E25" s="10">
        <f>'Rochdale'!$E$30</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72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73"/>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Tranmere Rovers</t>
        </is>
      </c>
      <c r="C3" s="8" t="inlineStr">
        <is>
          <t>Shrewsbury Town</t>
        </is>
      </c>
      <c r="D3" s="8" t="n">
        <v>2</v>
      </c>
      <c r="E3" s="8" t="n">
        <v>0</v>
      </c>
      <c r="F3" s="10" t="n">
        <v>1.4</v>
      </c>
      <c r="G3" s="10" t="n">
        <v>1.1</v>
      </c>
      <c r="H3" s="10" t="n">
        <v>1.16</v>
      </c>
      <c r="I3" s="10" t="n">
        <v>1.28</v>
      </c>
      <c r="J3" s="10" t="n">
        <v>-0.24</v>
      </c>
      <c r="K3" s="10" t="n">
        <v>0.18</v>
      </c>
      <c r="L3" s="10" t="n">
        <v>-0.42</v>
      </c>
      <c r="M3" s="10" t="n">
        <v>-0.06</v>
      </c>
      <c r="N3" s="10" t="n">
        <v>1.28</v>
      </c>
      <c r="O3" s="10" t="n">
        <v>1.45</v>
      </c>
      <c r="P3" s="10" t="n">
        <v>1.58</v>
      </c>
      <c r="Q3" s="10" t="n">
        <v>1.15</v>
      </c>
    </row>
    <row r="4">
      <c r="A4" s="6" t="inlineStr">
        <is>
          <t>2026-08-15</t>
        </is>
      </c>
      <c r="B4" s="6" t="inlineStr">
        <is>
          <t>Oldham Athletic</t>
        </is>
      </c>
      <c r="C4" s="6" t="inlineStr">
        <is>
          <t>Port Vale</t>
        </is>
      </c>
      <c r="D4" s="6" t="n">
        <v>2</v>
      </c>
      <c r="E4" s="6" t="n">
        <v>0</v>
      </c>
      <c r="F4" s="9" t="n">
        <v>1.28</v>
      </c>
      <c r="G4" s="9" t="n">
        <v>1.23</v>
      </c>
      <c r="H4" s="9" t="n">
        <v>1.43</v>
      </c>
      <c r="I4" s="9" t="n">
        <v>0.51</v>
      </c>
      <c r="J4" s="9" t="n">
        <v>0.15</v>
      </c>
      <c r="K4" s="9" t="n">
        <v>-0.72</v>
      </c>
      <c r="L4" s="9" t="n">
        <v>0.88</v>
      </c>
      <c r="M4" s="9" t="n">
        <v>-0.57</v>
      </c>
      <c r="N4" s="9" t="n">
        <v>2.07</v>
      </c>
      <c r="O4" s="9" t="n">
        <v>0.66</v>
      </c>
      <c r="P4" s="9" t="n">
        <v>1.4</v>
      </c>
      <c r="Q4" s="9" t="n">
        <v>1.33</v>
      </c>
    </row>
    <row r="5">
      <c r="A5" s="8" t="inlineStr">
        <is>
          <t>2026-08-15</t>
        </is>
      </c>
      <c r="B5" s="8" t="inlineStr">
        <is>
          <t>Northampton Town</t>
        </is>
      </c>
      <c r="C5" s="8" t="inlineStr">
        <is>
          <t>Swindon Town</t>
        </is>
      </c>
      <c r="D5" s="8" t="n">
        <v>0</v>
      </c>
      <c r="E5" s="8" t="n">
        <v>0</v>
      </c>
      <c r="F5" s="10" t="n">
        <v>1.51</v>
      </c>
      <c r="G5" s="10" t="n">
        <v>1.14</v>
      </c>
      <c r="H5" s="10" t="n">
        <v>0.76</v>
      </c>
      <c r="I5" s="10" t="n">
        <v>0.2</v>
      </c>
      <c r="J5" s="10" t="n">
        <v>-0.75</v>
      </c>
      <c r="K5" s="10" t="n">
        <v>-0.9399999999999999</v>
      </c>
      <c r="L5" s="10" t="n">
        <v>0.19</v>
      </c>
      <c r="M5" s="10" t="n">
        <v>-1.7</v>
      </c>
      <c r="N5" s="10" t="n">
        <v>1.84</v>
      </c>
      <c r="O5" s="10" t="n">
        <v>0.72</v>
      </c>
      <c r="P5" s="10" t="n">
        <v>1.63</v>
      </c>
      <c r="Q5" s="10" t="n">
        <v>1.11</v>
      </c>
    </row>
    <row r="6">
      <c r="A6" s="6" t="inlineStr">
        <is>
          <t>2026-08-15</t>
        </is>
      </c>
      <c r="B6" s="6" t="inlineStr">
        <is>
          <t>Newport County</t>
        </is>
      </c>
      <c r="C6" s="6" t="inlineStr">
        <is>
          <t>Rochdale</t>
        </is>
      </c>
      <c r="D6" s="6" t="n">
        <v>3</v>
      </c>
      <c r="E6" s="6" t="n">
        <v>0</v>
      </c>
      <c r="F6" s="9" t="n">
        <v>1.2</v>
      </c>
      <c r="G6" s="9" t="n">
        <v>1.39</v>
      </c>
      <c r="H6" s="9" t="n">
        <v>1.15</v>
      </c>
      <c r="I6" s="9" t="n">
        <v>0.16</v>
      </c>
      <c r="J6" s="9" t="n">
        <v>-0.05</v>
      </c>
      <c r="K6" s="9" t="n">
        <v>-1.23</v>
      </c>
      <c r="L6" s="9" t="n">
        <v>1.18</v>
      </c>
      <c r="M6" s="9" t="n">
        <v>-1.28</v>
      </c>
      <c r="N6" s="9" t="n">
        <v>2.2</v>
      </c>
      <c r="O6" s="9" t="n">
        <v>0.47</v>
      </c>
      <c r="P6" s="9" t="n">
        <v>1.24</v>
      </c>
      <c r="Q6" s="9" t="n">
        <v>1.5</v>
      </c>
    </row>
    <row r="7">
      <c r="A7" s="8" t="inlineStr">
        <is>
          <t>2026-08-15</t>
        </is>
      </c>
      <c r="B7" s="8" t="inlineStr">
        <is>
          <t>Grimsby Town</t>
        </is>
      </c>
      <c r="C7" s="8" t="inlineStr">
        <is>
          <t>Exeter</t>
        </is>
      </c>
      <c r="D7" s="8" t="n">
        <v>1</v>
      </c>
      <c r="E7" s="8" t="n">
        <v>0</v>
      </c>
      <c r="F7" s="10" t="n">
        <v>1.7</v>
      </c>
      <c r="G7" s="10" t="n">
        <v>1.02</v>
      </c>
      <c r="H7" s="10" t="n">
        <v>1.43</v>
      </c>
      <c r="I7" s="10" t="n">
        <v>0.75</v>
      </c>
      <c r="J7" s="10" t="n">
        <v>-0.27</v>
      </c>
      <c r="K7" s="10" t="n">
        <v>-0.27</v>
      </c>
      <c r="L7" s="10" t="n">
        <v>-0</v>
      </c>
      <c r="M7" s="10" t="n">
        <v>-0.54</v>
      </c>
      <c r="N7" s="10" t="n">
        <v>1.87</v>
      </c>
      <c r="O7" s="10" t="n">
        <v>0.86</v>
      </c>
      <c r="P7" s="10" t="n">
        <v>1.84</v>
      </c>
      <c r="Q7" s="10" t="n">
        <v>0.92</v>
      </c>
    </row>
    <row r="8">
      <c r="A8" s="6" t="inlineStr">
        <is>
          <t>2026-08-15</t>
        </is>
      </c>
      <c r="B8" s="6" t="inlineStr">
        <is>
          <t>Crawley Town</t>
        </is>
      </c>
      <c r="C8" s="6" t="inlineStr">
        <is>
          <t>Crewe Alexandra</t>
        </is>
      </c>
      <c r="D8" s="6" t="n">
        <v>0</v>
      </c>
      <c r="E8" s="6" t="n">
        <v>1</v>
      </c>
      <c r="F8" s="9" t="n">
        <v>1.33</v>
      </c>
      <c r="G8" s="9" t="n">
        <v>1.29</v>
      </c>
      <c r="H8" s="9" t="n">
        <v>0.93</v>
      </c>
      <c r="I8" s="9" t="n">
        <v>2.2</v>
      </c>
      <c r="J8" s="9" t="n">
        <v>-0.4</v>
      </c>
      <c r="K8" s="9" t="n">
        <v>0.91</v>
      </c>
      <c r="L8" s="9" t="n">
        <v>-1.32</v>
      </c>
      <c r="M8" s="9" t="n">
        <v>0.51</v>
      </c>
      <c r="N8" s="9" t="n">
        <v>0.63</v>
      </c>
      <c r="O8" s="9" t="n">
        <v>2.18</v>
      </c>
      <c r="P8" s="9" t="n">
        <v>1.4</v>
      </c>
      <c r="Q8" s="9" t="n">
        <v>1.34</v>
      </c>
    </row>
    <row r="9">
      <c r="A9" s="8" t="inlineStr">
        <is>
          <t>2026-08-15</t>
        </is>
      </c>
      <c r="B9" s="8" t="inlineStr">
        <is>
          <t>Chesterfield</t>
        </is>
      </c>
      <c r="C9" s="8" t="inlineStr">
        <is>
          <t>Fleetwood Town</t>
        </is>
      </c>
      <c r="D9" s="8" t="n">
        <v>0</v>
      </c>
      <c r="E9" s="8" t="n">
        <v>1</v>
      </c>
      <c r="F9" s="10" t="n">
        <v>1.63</v>
      </c>
      <c r="G9" s="10" t="n">
        <v>0.95</v>
      </c>
      <c r="H9" s="10" t="n">
        <v>2.17</v>
      </c>
      <c r="I9" s="10" t="n">
        <v>1.11</v>
      </c>
      <c r="J9" s="10" t="n">
        <v>0.54</v>
      </c>
      <c r="K9" s="10" t="n">
        <v>0.16</v>
      </c>
      <c r="L9" s="10" t="n">
        <v>0.38</v>
      </c>
      <c r="M9" s="10" t="n">
        <v>0.6899999999999999</v>
      </c>
      <c r="N9" s="10" t="n">
        <v>2.04</v>
      </c>
      <c r="O9" s="10" t="n">
        <v>0.76</v>
      </c>
      <c r="P9" s="10" t="n">
        <v>1.85</v>
      </c>
      <c r="Q9" s="10" t="n">
        <v>0.91</v>
      </c>
    </row>
    <row r="10">
      <c r="A10" s="6" t="inlineStr">
        <is>
          <t>2026-08-15</t>
        </is>
      </c>
      <c r="B10" s="6" t="inlineStr">
        <is>
          <t>Cheltenham Town</t>
        </is>
      </c>
      <c r="C10" s="6" t="inlineStr">
        <is>
          <t>Rotherham United</t>
        </is>
      </c>
      <c r="D10" s="6" t="n">
        <v>2</v>
      </c>
      <c r="E10" s="6" t="n">
        <v>1</v>
      </c>
      <c r="F10" s="9" t="n">
        <v>1.3</v>
      </c>
      <c r="G10" s="9" t="n">
        <v>1.36</v>
      </c>
      <c r="H10" s="9" t="n">
        <v>0.6</v>
      </c>
      <c r="I10" s="9" t="n">
        <v>2.2</v>
      </c>
      <c r="J10" s="9" t="n">
        <v>-0.7</v>
      </c>
      <c r="K10" s="9" t="n">
        <v>0.84</v>
      </c>
      <c r="L10" s="9" t="n">
        <v>-1.54</v>
      </c>
      <c r="M10" s="9" t="n">
        <v>0.14</v>
      </c>
      <c r="N10" s="9" t="n">
        <v>0.43</v>
      </c>
      <c r="O10" s="9" t="n">
        <v>2.4</v>
      </c>
      <c r="P10" s="9" t="n">
        <v>1.33</v>
      </c>
      <c r="Q10" s="9" t="n">
        <v>1.41</v>
      </c>
    </row>
    <row r="11">
      <c r="A11" s="8" t="inlineStr">
        <is>
          <t>2026-08-15</t>
        </is>
      </c>
      <c r="B11" s="8" t="inlineStr">
        <is>
          <t>Gillingham</t>
        </is>
      </c>
      <c r="C11" s="8" t="inlineStr">
        <is>
          <t>Walsall</t>
        </is>
      </c>
      <c r="D11" s="8" t="n">
        <v>0</v>
      </c>
      <c r="E11" s="8" t="n">
        <v>3</v>
      </c>
      <c r="F11" s="10" t="n">
        <v>1.43</v>
      </c>
      <c r="G11" s="10" t="n">
        <v>1.15</v>
      </c>
      <c r="H11" s="10" t="n">
        <v>1.45</v>
      </c>
      <c r="I11" s="10" t="n">
        <v>3.1</v>
      </c>
      <c r="J11" s="10" t="n">
        <v>0.02</v>
      </c>
      <c r="K11" s="10" t="n">
        <v>1.95</v>
      </c>
      <c r="L11" s="10" t="n">
        <v>-1.94</v>
      </c>
      <c r="M11" s="10" t="n">
        <v>1.97</v>
      </c>
      <c r="N11" s="10" t="n">
        <v>0.59</v>
      </c>
      <c r="O11" s="10" t="n">
        <v>2.26</v>
      </c>
      <c r="P11" s="10" t="n">
        <v>1.57</v>
      </c>
      <c r="Q11" s="10" t="n">
        <v>1.17</v>
      </c>
    </row>
    <row r="12">
      <c r="A12" s="6" t="inlineStr">
        <is>
          <t>2026-08-15</t>
        </is>
      </c>
      <c r="B12" s="6" t="inlineStr">
        <is>
          <t>Barnet</t>
        </is>
      </c>
      <c r="C12" s="6" t="inlineStr">
        <is>
          <t>Salford City</t>
        </is>
      </c>
      <c r="D12" s="6" t="n">
        <v>3</v>
      </c>
      <c r="E12" s="6" t="n">
        <v>1</v>
      </c>
      <c r="F12" s="9" t="n">
        <v>1.42</v>
      </c>
      <c r="G12" s="9" t="n">
        <v>1.18</v>
      </c>
      <c r="H12" s="9" t="n">
        <v>1.62</v>
      </c>
      <c r="I12" s="9" t="n">
        <v>0.92</v>
      </c>
      <c r="J12" s="9" t="n">
        <v>0.2</v>
      </c>
      <c r="K12" s="9" t="n">
        <v>-0.26</v>
      </c>
      <c r="L12" s="9" t="n">
        <v>0.46</v>
      </c>
      <c r="M12" s="9" t="n">
        <v>-0.05</v>
      </c>
      <c r="N12" s="9" t="n">
        <v>1.86</v>
      </c>
      <c r="O12" s="9" t="n">
        <v>0.89</v>
      </c>
      <c r="P12" s="9" t="n">
        <v>1.54</v>
      </c>
      <c r="Q12" s="9" t="n">
        <v>1.2</v>
      </c>
    </row>
    <row r="13">
      <c r="A13" s="8" t="inlineStr">
        <is>
          <t>2026-08-15</t>
        </is>
      </c>
      <c r="B13" s="8" t="inlineStr">
        <is>
          <t>York</t>
        </is>
      </c>
      <c r="C13" s="8" t="inlineStr">
        <is>
          <t>Bristol Rvs</t>
        </is>
      </c>
      <c r="D13" s="8" t="n">
        <v>3</v>
      </c>
      <c r="E13" s="8" t="n">
        <v>2</v>
      </c>
      <c r="F13" s="10" t="n">
        <v>1.41</v>
      </c>
      <c r="G13" s="10" t="n">
        <v>1.09</v>
      </c>
      <c r="H13" s="10" t="n">
        <v>1.93</v>
      </c>
      <c r="I13" s="10" t="n">
        <v>1.83</v>
      </c>
      <c r="J13" s="10" t="n">
        <v>0.52</v>
      </c>
      <c r="K13" s="10" t="n">
        <v>0.74</v>
      </c>
      <c r="L13" s="10" t="n">
        <v>-0.22</v>
      </c>
      <c r="M13" s="10" t="n">
        <v>1.25</v>
      </c>
      <c r="N13" s="10" t="n">
        <v>1.45</v>
      </c>
      <c r="O13" s="10" t="n">
        <v>1.33</v>
      </c>
      <c r="P13" s="10" t="n">
        <v>1.59</v>
      </c>
      <c r="Q13" s="10" t="n">
        <v>1.14</v>
      </c>
    </row>
    <row r="14">
      <c r="A14" s="6" t="inlineStr">
        <is>
          <t>2026-08-22</t>
        </is>
      </c>
      <c r="B14" s="6" t="inlineStr">
        <is>
          <t>Swindon Town</t>
        </is>
      </c>
      <c r="C14" s="6" t="inlineStr">
        <is>
          <t>Cheltenham Town</t>
        </is>
      </c>
      <c r="D14" s="6" t="n">
        <v>2</v>
      </c>
      <c r="E14" s="6" t="n">
        <v>1</v>
      </c>
      <c r="F14" s="9" t="n">
        <v>1.74</v>
      </c>
      <c r="G14" s="9" t="n">
        <v>1.04</v>
      </c>
      <c r="H14" s="9" t="n">
        <v>1.04</v>
      </c>
      <c r="I14" s="9" t="n">
        <v>1.1</v>
      </c>
      <c r="J14" s="9" t="n">
        <v>-0.7</v>
      </c>
      <c r="K14" s="9" t="n">
        <v>0.06</v>
      </c>
      <c r="L14" s="9" t="n">
        <v>-0.76</v>
      </c>
      <c r="M14" s="9" t="n">
        <v>-0.64</v>
      </c>
      <c r="N14" s="9" t="n">
        <v>1.31</v>
      </c>
      <c r="O14" s="9" t="n">
        <v>1.4</v>
      </c>
      <c r="P14" s="9" t="n">
        <v>1.85</v>
      </c>
      <c r="Q14" s="9" t="n">
        <v>0.92</v>
      </c>
    </row>
    <row r="15">
      <c r="A15" s="8" t="inlineStr">
        <is>
          <t>2026-08-22</t>
        </is>
      </c>
      <c r="B15" s="8" t="inlineStr">
        <is>
          <t>Fleetwood Town</t>
        </is>
      </c>
      <c r="C15" s="8" t="inlineStr">
        <is>
          <t>Gillingham</t>
        </is>
      </c>
      <c r="D15" s="8" t="n">
        <v>0</v>
      </c>
      <c r="E15" s="8" t="n">
        <v>0</v>
      </c>
      <c r="F15" s="10" t="n">
        <v>1.64</v>
      </c>
      <c r="G15" s="10" t="n">
        <v>1</v>
      </c>
      <c r="H15" s="10" t="n">
        <v>1.16</v>
      </c>
      <c r="I15" s="10" t="n">
        <v>1.18</v>
      </c>
      <c r="J15" s="10" t="n">
        <v>-0.48</v>
      </c>
      <c r="K15" s="10" t="n">
        <v>0.18</v>
      </c>
      <c r="L15" s="10" t="n">
        <v>-0.65</v>
      </c>
      <c r="M15" s="10" t="n">
        <v>-0.3</v>
      </c>
      <c r="N15" s="10" t="n">
        <v>1.34</v>
      </c>
      <c r="O15" s="10" t="n">
        <v>1.37</v>
      </c>
      <c r="P15" s="10" t="n">
        <v>1.81</v>
      </c>
      <c r="Q15" s="10" t="n">
        <v>0.9399999999999999</v>
      </c>
    </row>
    <row r="16">
      <c r="A16" s="6" t="inlineStr">
        <is>
          <t>2026-08-22</t>
        </is>
      </c>
      <c r="B16" s="6" t="inlineStr">
        <is>
          <t>Exeter</t>
        </is>
      </c>
      <c r="C16" s="6" t="inlineStr">
        <is>
          <t>Accrington Stanley</t>
        </is>
      </c>
      <c r="D16" s="6" t="n">
        <v>2</v>
      </c>
      <c r="E16" s="6" t="n">
        <v>0</v>
      </c>
      <c r="F16" s="9" t="n">
        <v>1.58</v>
      </c>
      <c r="G16" s="9" t="n">
        <v>1.06</v>
      </c>
      <c r="H16" s="9" t="n">
        <v>2.31</v>
      </c>
      <c r="I16" s="9" t="n">
        <v>0.68</v>
      </c>
      <c r="J16" s="9" t="n">
        <v>0.73</v>
      </c>
      <c r="K16" s="9" t="n">
        <v>-0.38</v>
      </c>
      <c r="L16" s="9" t="n">
        <v>1.11</v>
      </c>
      <c r="M16" s="9" t="n">
        <v>0.35</v>
      </c>
      <c r="N16" s="9" t="n">
        <v>2.39</v>
      </c>
      <c r="O16" s="9" t="n">
        <v>0.44</v>
      </c>
      <c r="P16" s="9" t="n">
        <v>1.73</v>
      </c>
      <c r="Q16" s="9" t="n">
        <v>1.02</v>
      </c>
    </row>
    <row r="17">
      <c r="A17" s="8" t="inlineStr">
        <is>
          <t>2026-08-22</t>
        </is>
      </c>
      <c r="B17" s="8" t="inlineStr">
        <is>
          <t>Crewe Alexandra</t>
        </is>
      </c>
      <c r="C17" s="8" t="inlineStr">
        <is>
          <t>Northampton Town</t>
        </is>
      </c>
      <c r="D17" s="8" t="n">
        <v>1</v>
      </c>
      <c r="E17" s="8" t="n">
        <v>0</v>
      </c>
      <c r="F17" s="10" t="n">
        <v>1.46</v>
      </c>
      <c r="G17" s="10" t="n">
        <v>1.13</v>
      </c>
      <c r="H17" s="10" t="n">
        <v>0.48</v>
      </c>
      <c r="I17" s="10" t="n">
        <v>0.77</v>
      </c>
      <c r="J17" s="10" t="n">
        <v>-0.98</v>
      </c>
      <c r="K17" s="10" t="n">
        <v>-0.36</v>
      </c>
      <c r="L17" s="10" t="n">
        <v>-0.62</v>
      </c>
      <c r="M17" s="10" t="n">
        <v>-1.35</v>
      </c>
      <c r="N17" s="10" t="n">
        <v>1.03</v>
      </c>
      <c r="O17" s="10" t="n">
        <v>1.57</v>
      </c>
      <c r="P17" s="10" t="n">
        <v>1.6</v>
      </c>
      <c r="Q17" s="10" t="n">
        <v>1.14</v>
      </c>
    </row>
    <row r="18">
      <c r="A18" s="6" t="inlineStr">
        <is>
          <t>2026-08-22</t>
        </is>
      </c>
      <c r="B18" s="6" t="inlineStr">
        <is>
          <t>Bristol Rvs</t>
        </is>
      </c>
      <c r="C18" s="6" t="inlineStr">
        <is>
          <t>Newport County</t>
        </is>
      </c>
      <c r="D18" s="6" t="n">
        <v>5</v>
      </c>
      <c r="E18" s="6" t="n">
        <v>3</v>
      </c>
      <c r="F18" s="9" t="n">
        <v>1.83</v>
      </c>
      <c r="G18" s="9" t="n">
        <v>0.9399999999999999</v>
      </c>
      <c r="H18" s="9" t="n">
        <v>3.99</v>
      </c>
      <c r="I18" s="9" t="n">
        <v>0.66</v>
      </c>
      <c r="J18" s="9" t="n">
        <v>2.16</v>
      </c>
      <c r="K18" s="9" t="n">
        <v>-0.28</v>
      </c>
      <c r="L18" s="9" t="n">
        <v>2.44</v>
      </c>
      <c r="M18" s="9" t="n">
        <v>1.88</v>
      </c>
      <c r="N18" s="9" t="n">
        <v>2.8</v>
      </c>
      <c r="O18" s="9" t="n">
        <v>0.13</v>
      </c>
      <c r="P18" s="9" t="n">
        <v>1.98</v>
      </c>
      <c r="Q18" s="9" t="n">
        <v>0.8</v>
      </c>
    </row>
    <row r="19">
      <c r="A19" s="8" t="inlineStr">
        <is>
          <t>2026-08-22</t>
        </is>
      </c>
      <c r="B19" s="8" t="inlineStr">
        <is>
          <t>Port Vale</t>
        </is>
      </c>
      <c r="C19" s="8" t="inlineStr">
        <is>
          <t>Tranmere Rovers</t>
        </is>
      </c>
      <c r="D19" s="8" t="n">
        <v>1</v>
      </c>
      <c r="E19" s="8" t="n">
        <v>1</v>
      </c>
      <c r="F19" s="10" t="n">
        <v>1.64</v>
      </c>
      <c r="G19" s="10" t="n">
        <v>0.87</v>
      </c>
      <c r="H19" s="10" t="n">
        <v>1.79</v>
      </c>
      <c r="I19" s="10" t="n">
        <v>0.71</v>
      </c>
      <c r="J19" s="10" t="n">
        <v>0.15</v>
      </c>
      <c r="K19" s="10" t="n">
        <v>-0.16</v>
      </c>
      <c r="L19" s="10" t="n">
        <v>0.31</v>
      </c>
      <c r="M19" s="10" t="n">
        <v>-0.01</v>
      </c>
      <c r="N19" s="10" t="n">
        <v>2.12</v>
      </c>
      <c r="O19" s="10" t="n">
        <v>0.65</v>
      </c>
      <c r="P19" s="10" t="n">
        <v>1.91</v>
      </c>
      <c r="Q19" s="10" t="n">
        <v>0.84</v>
      </c>
    </row>
    <row r="20">
      <c r="A20" s="6" t="inlineStr">
        <is>
          <t>2026-08-22</t>
        </is>
      </c>
      <c r="B20" s="6" t="inlineStr">
        <is>
          <t>Rotherham United</t>
        </is>
      </c>
      <c r="C20" s="6" t="inlineStr">
        <is>
          <t>York</t>
        </is>
      </c>
      <c r="D20" s="6" t="n">
        <v>1</v>
      </c>
      <c r="E20" s="6" t="n">
        <v>1</v>
      </c>
      <c r="F20" s="9" t="n">
        <v>1.37</v>
      </c>
      <c r="G20" s="9" t="n">
        <v>1.3</v>
      </c>
      <c r="H20" s="9" t="n">
        <v>1</v>
      </c>
      <c r="I20" s="9" t="n">
        <v>2.32</v>
      </c>
      <c r="J20" s="9" t="n">
        <v>-0.37</v>
      </c>
      <c r="K20" s="9" t="n">
        <v>1.02</v>
      </c>
      <c r="L20" s="9" t="n">
        <v>-1.39</v>
      </c>
      <c r="M20" s="9" t="n">
        <v>0.65</v>
      </c>
      <c r="N20" s="9" t="n">
        <v>0.63</v>
      </c>
      <c r="O20" s="9" t="n">
        <v>2.19</v>
      </c>
      <c r="P20" s="9" t="n">
        <v>1.42</v>
      </c>
      <c r="Q20" s="9" t="n">
        <v>1.32</v>
      </c>
    </row>
    <row r="21">
      <c r="A21" s="8" t="inlineStr">
        <is>
          <t>2026-08-22</t>
        </is>
      </c>
      <c r="B21" s="8" t="inlineStr">
        <is>
          <t>Colchester United</t>
        </is>
      </c>
      <c r="C21" s="8" t="inlineStr">
        <is>
          <t>Oldham Athletic</t>
        </is>
      </c>
      <c r="D21" s="8" t="n">
        <v>2</v>
      </c>
      <c r="E21" s="8" t="n">
        <v>1</v>
      </c>
      <c r="F21" s="10" t="n">
        <v>1.38</v>
      </c>
      <c r="G21" s="10" t="n">
        <v>1.3</v>
      </c>
      <c r="H21" s="10" t="n">
        <v>2.37</v>
      </c>
      <c r="I21" s="10" t="n">
        <v>0.27</v>
      </c>
      <c r="J21" s="10" t="n">
        <v>0.99</v>
      </c>
      <c r="K21" s="10" t="n">
        <v>-1.03</v>
      </c>
      <c r="L21" s="10" t="n">
        <v>2.02</v>
      </c>
      <c r="M21" s="10" t="n">
        <v>-0.05</v>
      </c>
      <c r="N21" s="10" t="n">
        <v>2.66</v>
      </c>
      <c r="O21" s="10" t="n">
        <v>0.21</v>
      </c>
      <c r="P21" s="10" t="n">
        <v>1.43</v>
      </c>
      <c r="Q21" s="10" t="n">
        <v>1.31</v>
      </c>
    </row>
    <row r="22">
      <c r="A22" s="6" t="inlineStr">
        <is>
          <t>2026-08-22</t>
        </is>
      </c>
      <c r="B22" s="6" t="inlineStr">
        <is>
          <t>Salford City</t>
        </is>
      </c>
      <c r="C22" s="6" t="inlineStr">
        <is>
          <t>Chesterfield</t>
        </is>
      </c>
      <c r="D22" s="6" t="n">
        <v>0</v>
      </c>
      <c r="E22" s="6" t="n">
        <v>1</v>
      </c>
      <c r="F22" s="9" t="n">
        <v>1.49</v>
      </c>
      <c r="G22" s="9" t="n">
        <v>1.02</v>
      </c>
      <c r="H22" s="9" t="n">
        <v>0.51</v>
      </c>
      <c r="I22" s="9" t="n">
        <v>2.27</v>
      </c>
      <c r="J22" s="9" t="n">
        <v>-0.98</v>
      </c>
      <c r="K22" s="9" t="n">
        <v>1.25</v>
      </c>
      <c r="L22" s="9" t="n">
        <v>-2.23</v>
      </c>
      <c r="M22" s="9" t="n">
        <v>0.27</v>
      </c>
      <c r="N22" s="9" t="n">
        <v>0.36</v>
      </c>
      <c r="O22" s="9" t="n">
        <v>2.48</v>
      </c>
      <c r="P22" s="9" t="n">
        <v>1.7</v>
      </c>
      <c r="Q22" s="9" t="n">
        <v>1.04</v>
      </c>
    </row>
    <row r="23">
      <c r="A23" s="8" t="inlineStr">
        <is>
          <t>2026-08-22</t>
        </is>
      </c>
      <c r="B23" s="8" t="inlineStr">
        <is>
          <t>Shrewsbury Town</t>
        </is>
      </c>
      <c r="C23" s="8" t="inlineStr">
        <is>
          <t>Barnet</t>
        </is>
      </c>
      <c r="D23" s="8" t="n">
        <v>1</v>
      </c>
      <c r="E23" s="8" t="n">
        <v>3</v>
      </c>
      <c r="F23" s="10" t="n">
        <v>1.02</v>
      </c>
      <c r="G23" s="10" t="n">
        <v>1.6</v>
      </c>
      <c r="H23" s="10" t="n">
        <v>1.78</v>
      </c>
      <c r="I23" s="10" t="n">
        <v>1.07</v>
      </c>
      <c r="J23" s="10" t="n">
        <v>0.76</v>
      </c>
      <c r="K23" s="10" t="n">
        <v>-0.53</v>
      </c>
      <c r="L23" s="10" t="n">
        <v>1.29</v>
      </c>
      <c r="M23" s="10" t="n">
        <v>0.22</v>
      </c>
      <c r="N23" s="10" t="n">
        <v>1.85</v>
      </c>
      <c r="O23" s="10" t="n">
        <v>0.91</v>
      </c>
      <c r="P23" s="10" t="n">
        <v>0.98</v>
      </c>
      <c r="Q23" s="10" t="n">
        <v>1.77</v>
      </c>
    </row>
    <row r="24">
      <c r="A24" s="6" t="inlineStr">
        <is>
          <t>2026-08-22</t>
        </is>
      </c>
      <c r="B24" s="6" t="inlineStr">
        <is>
          <t>Rochdale</t>
        </is>
      </c>
      <c r="C24" s="6" t="inlineStr">
        <is>
          <t>Crawley Town</t>
        </is>
      </c>
      <c r="D24" s="6" t="n">
        <v>1</v>
      </c>
      <c r="E24" s="6" t="n">
        <v>2</v>
      </c>
      <c r="F24" s="9" t="n">
        <v>1.65</v>
      </c>
      <c r="G24" s="9" t="n">
        <v>1.07</v>
      </c>
      <c r="H24" s="9" t="n">
        <v>0.53</v>
      </c>
      <c r="I24" s="9" t="n">
        <v>2.16</v>
      </c>
      <c r="J24" s="9" t="n">
        <v>-1.11</v>
      </c>
      <c r="K24" s="9" t="n">
        <v>1.09</v>
      </c>
      <c r="L24" s="9" t="n">
        <v>-2.2</v>
      </c>
      <c r="M24" s="9" t="n">
        <v>-0.02</v>
      </c>
      <c r="N24" s="9" t="n">
        <v>0.4</v>
      </c>
      <c r="O24" s="9" t="n">
        <v>2.43</v>
      </c>
      <c r="P24" s="9" t="n">
        <v>1.77</v>
      </c>
      <c r="Q24" s="9" t="n">
        <v>0.99</v>
      </c>
    </row>
    <row r="25">
      <c r="A25" s="8" t="inlineStr">
        <is>
          <t>2026-08-22</t>
        </is>
      </c>
      <c r="B25" s="8" t="inlineStr">
        <is>
          <t>Walsall</t>
        </is>
      </c>
      <c r="C25" s="8" t="inlineStr">
        <is>
          <t>Grimsby Town</t>
        </is>
      </c>
      <c r="D25" s="8" t="n">
        <v>0</v>
      </c>
      <c r="E25" s="8" t="n">
        <v>0</v>
      </c>
      <c r="F25" s="10" t="n">
        <v>1.21</v>
      </c>
      <c r="G25" s="10" t="n">
        <v>1.31</v>
      </c>
      <c r="H25" s="10" t="n">
        <v>1.21</v>
      </c>
      <c r="I25" s="10" t="n">
        <v>0.9</v>
      </c>
      <c r="J25" s="10" t="n">
        <v>0</v>
      </c>
      <c r="K25" s="10" t="n">
        <v>-0.41</v>
      </c>
      <c r="L25" s="10" t="n">
        <v>0.41</v>
      </c>
      <c r="M25" s="10" t="n">
        <v>-0.41</v>
      </c>
      <c r="N25" s="10" t="n">
        <v>1.59</v>
      </c>
      <c r="O25" s="10" t="n">
        <v>1.12</v>
      </c>
      <c r="P25" s="10" t="n">
        <v>1.29</v>
      </c>
      <c r="Q25" s="10" t="n">
        <v>1.44</v>
      </c>
    </row>
    <row r="26">
      <c r="A26" s="6" t="inlineStr">
        <is>
          <t>2026-08-29</t>
        </is>
      </c>
      <c r="B26" s="6" t="inlineStr">
        <is>
          <t>Port Vale</t>
        </is>
      </c>
      <c r="C26" s="6" t="inlineStr">
        <is>
          <t>Crewe Alexandra</t>
        </is>
      </c>
      <c r="D26" s="6" t="n">
        <v>0</v>
      </c>
      <c r="E26" s="6" t="n">
        <v>0</v>
      </c>
      <c r="F26" s="9" t="n">
        <v>1.49</v>
      </c>
      <c r="G26" s="9" t="n">
        <v>1.19</v>
      </c>
      <c r="H26" s="9" t="n">
        <v>1.06</v>
      </c>
      <c r="I26" s="9" t="n">
        <v>1.18</v>
      </c>
      <c r="J26" s="9" t="n">
        <v>-0.43</v>
      </c>
      <c r="K26" s="9" t="n">
        <v>-0.01</v>
      </c>
      <c r="L26" s="9" t="n">
        <v>-0.43</v>
      </c>
      <c r="M26" s="9" t="n">
        <v>-0.44</v>
      </c>
      <c r="N26" s="9" t="n">
        <v>1.27</v>
      </c>
      <c r="O26" s="9" t="n">
        <v>1.45</v>
      </c>
      <c r="P26" s="9" t="n">
        <v>1.58</v>
      </c>
      <c r="Q26" s="9" t="n">
        <v>1.16</v>
      </c>
    </row>
    <row r="27">
      <c r="A27" s="8" t="inlineStr">
        <is>
          <t>2026-08-29</t>
        </is>
      </c>
      <c r="B27" s="8" t="inlineStr">
        <is>
          <t>Rotherham United</t>
        </is>
      </c>
      <c r="C27" s="8" t="inlineStr">
        <is>
          <t>Chesterfield</t>
        </is>
      </c>
      <c r="D27" s="8" t="n">
        <v>2</v>
      </c>
      <c r="E27" s="8" t="n">
        <v>1</v>
      </c>
      <c r="F27" s="10" t="n">
        <v>1.2</v>
      </c>
      <c r="G27" s="10" t="n">
        <v>1.43</v>
      </c>
      <c r="H27" s="10" t="n">
        <v>2.95</v>
      </c>
      <c r="I27" s="10" t="n">
        <v>1.1</v>
      </c>
      <c r="J27" s="10" t="n">
        <v>1.75</v>
      </c>
      <c r="K27" s="10" t="n">
        <v>-0.32</v>
      </c>
      <c r="L27" s="10" t="n">
        <v>2.07</v>
      </c>
      <c r="M27" s="10" t="n">
        <v>1.42</v>
      </c>
      <c r="N27" s="10" t="n">
        <v>2.39</v>
      </c>
      <c r="O27" s="10" t="n">
        <v>0.47</v>
      </c>
      <c r="P27" s="10" t="n">
        <v>1.22</v>
      </c>
      <c r="Q27" s="10" t="n">
        <v>1.52</v>
      </c>
    </row>
    <row r="28">
      <c r="A28" s="6" t="inlineStr">
        <is>
          <t>2026-08-29</t>
        </is>
      </c>
      <c r="B28" s="6" t="inlineStr">
        <is>
          <t>Oldham Athletic</t>
        </is>
      </c>
      <c r="C28" s="6" t="inlineStr">
        <is>
          <t>Swindon Town</t>
        </is>
      </c>
      <c r="D28" s="6" t="n">
        <v>3</v>
      </c>
      <c r="E28" s="6" t="n">
        <v>0</v>
      </c>
      <c r="F28" s="9" t="n">
        <v>1.59</v>
      </c>
      <c r="G28" s="9" t="n">
        <v>1.09</v>
      </c>
      <c r="H28" s="9" t="n">
        <v>2.73</v>
      </c>
      <c r="I28" s="9" t="n">
        <v>0.07000000000000001</v>
      </c>
      <c r="J28" s="9" t="n">
        <v>1.14</v>
      </c>
      <c r="K28" s="9" t="n">
        <v>-1.02</v>
      </c>
      <c r="L28" s="9" t="n">
        <v>2.16</v>
      </c>
      <c r="M28" s="9" t="n">
        <v>0.11</v>
      </c>
      <c r="N28" s="9" t="n">
        <v>2.84</v>
      </c>
      <c r="O28" s="9" t="n">
        <v>0.09</v>
      </c>
      <c r="P28" s="9" t="n">
        <v>1.72</v>
      </c>
      <c r="Q28" s="9" t="n">
        <v>1.03</v>
      </c>
    </row>
    <row r="29">
      <c r="A29" s="8" t="inlineStr">
        <is>
          <t>2026-08-29</t>
        </is>
      </c>
      <c r="B29" s="8" t="inlineStr">
        <is>
          <t>Newport County</t>
        </is>
      </c>
      <c r="C29" s="8" t="inlineStr">
        <is>
          <t>Tranmere Rovers</t>
        </is>
      </c>
      <c r="D29" s="8" t="n">
        <v>2</v>
      </c>
      <c r="E29" s="8" t="n">
        <v>2</v>
      </c>
      <c r="F29" s="10" t="n">
        <v>1.27</v>
      </c>
      <c r="G29" s="10" t="n">
        <v>1.23</v>
      </c>
      <c r="H29" s="10" t="n">
        <v>1.06</v>
      </c>
      <c r="I29" s="10" t="n">
        <v>0.9399999999999999</v>
      </c>
      <c r="J29" s="10" t="n">
        <v>-0.21</v>
      </c>
      <c r="K29" s="10" t="n">
        <v>-0.29</v>
      </c>
      <c r="L29" s="10" t="n">
        <v>0.08</v>
      </c>
      <c r="M29" s="10" t="n">
        <v>-0.49</v>
      </c>
      <c r="N29" s="10" t="n">
        <v>1.44</v>
      </c>
      <c r="O29" s="10" t="n">
        <v>1.25</v>
      </c>
      <c r="P29" s="10" t="n">
        <v>1.4</v>
      </c>
      <c r="Q29" s="10" t="n">
        <v>1.33</v>
      </c>
    </row>
    <row r="30">
      <c r="A30" s="6" t="inlineStr">
        <is>
          <t>2026-08-29</t>
        </is>
      </c>
      <c r="B30" s="6" t="inlineStr">
        <is>
          <t>Barnet</t>
        </is>
      </c>
      <c r="C30" s="6" t="inlineStr">
        <is>
          <t>Cheltenham Town</t>
        </is>
      </c>
      <c r="D30" s="6" t="n">
        <v>2</v>
      </c>
      <c r="E30" s="6" t="n">
        <v>2</v>
      </c>
      <c r="F30" s="9" t="n">
        <v>1.86</v>
      </c>
      <c r="G30" s="9" t="n">
        <v>0.92</v>
      </c>
      <c r="H30" s="9" t="n">
        <v>2.15</v>
      </c>
      <c r="I30" s="9" t="n">
        <v>1.78</v>
      </c>
      <c r="J30" s="9" t="n">
        <v>0.29</v>
      </c>
      <c r="K30" s="9" t="n">
        <v>0.86</v>
      </c>
      <c r="L30" s="9" t="n">
        <v>-0.57</v>
      </c>
      <c r="M30" s="9" t="n">
        <v>1.15</v>
      </c>
      <c r="N30" s="9" t="n">
        <v>1.61</v>
      </c>
      <c r="O30" s="9" t="n">
        <v>1.18</v>
      </c>
      <c r="P30" s="9" t="n">
        <v>2</v>
      </c>
      <c r="Q30" s="9" t="n">
        <v>0.77</v>
      </c>
    </row>
    <row r="31">
      <c r="A31" s="8" t="inlineStr">
        <is>
          <t>2026-08-29</t>
        </is>
      </c>
      <c r="B31" s="8" t="inlineStr">
        <is>
          <t>Shrewsbury Town</t>
        </is>
      </c>
      <c r="C31" s="8" t="inlineStr">
        <is>
          <t>Salford City</t>
        </is>
      </c>
      <c r="D31" s="8" t="n">
        <v>1</v>
      </c>
      <c r="E31" s="8" t="n">
        <v>0</v>
      </c>
      <c r="F31" s="10" t="n">
        <v>1.02</v>
      </c>
      <c r="G31" s="10" t="n">
        <v>1.58</v>
      </c>
      <c r="H31" s="10" t="n">
        <v>0.67</v>
      </c>
      <c r="I31" s="10" t="n">
        <v>0.98</v>
      </c>
      <c r="J31" s="10" t="n">
        <v>-0.35</v>
      </c>
      <c r="K31" s="10" t="n">
        <v>-0.6</v>
      </c>
      <c r="L31" s="10" t="n">
        <v>0.25</v>
      </c>
      <c r="M31" s="10" t="n">
        <v>-0.95</v>
      </c>
      <c r="N31" s="10" t="n">
        <v>1.07</v>
      </c>
      <c r="O31" s="10" t="n">
        <v>1.59</v>
      </c>
      <c r="P31" s="10" t="n">
        <v>0.99</v>
      </c>
      <c r="Q31" s="10" t="n">
        <v>1.76</v>
      </c>
    </row>
    <row r="32">
      <c r="A32" s="6" t="inlineStr">
        <is>
          <t>2026-08-29</t>
        </is>
      </c>
      <c r="B32" s="6" t="inlineStr">
        <is>
          <t>Grimsby Town</t>
        </is>
      </c>
      <c r="C32" s="6" t="inlineStr">
        <is>
          <t>Fleetwood Town</t>
        </is>
      </c>
      <c r="D32" s="6" t="n">
        <v>2</v>
      </c>
      <c r="E32" s="6" t="n">
        <v>2</v>
      </c>
      <c r="F32" s="9" t="n">
        <v>1.61</v>
      </c>
      <c r="G32" s="9" t="n">
        <v>0.98</v>
      </c>
      <c r="H32" s="9" t="n">
        <v>2.92</v>
      </c>
      <c r="I32" s="9" t="n">
        <v>1.61</v>
      </c>
      <c r="J32" s="9" t="n">
        <v>1.31</v>
      </c>
      <c r="K32" s="9" t="n">
        <v>0.63</v>
      </c>
      <c r="L32" s="9" t="n">
        <v>0.68</v>
      </c>
      <c r="M32" s="9" t="n">
        <v>1.94</v>
      </c>
      <c r="N32" s="9" t="n">
        <v>2.1</v>
      </c>
      <c r="O32" s="9" t="n">
        <v>0.74</v>
      </c>
      <c r="P32" s="9" t="n">
        <v>1.81</v>
      </c>
      <c r="Q32" s="9" t="n">
        <v>0.9399999999999999</v>
      </c>
    </row>
    <row r="33">
      <c r="A33" s="8" t="inlineStr">
        <is>
          <t>2026-08-29</t>
        </is>
      </c>
      <c r="B33" s="8" t="inlineStr">
        <is>
          <t>York</t>
        </is>
      </c>
      <c r="C33" s="8" t="inlineStr">
        <is>
          <t>Exeter</t>
        </is>
      </c>
      <c r="D33" s="8" t="n">
        <v>2</v>
      </c>
      <c r="E33" s="8" t="n">
        <v>1</v>
      </c>
      <c r="F33" s="10" t="n">
        <v>1.8</v>
      </c>
      <c r="G33" s="10" t="n">
        <v>0.96</v>
      </c>
      <c r="H33" s="10" t="n">
        <v>1.18</v>
      </c>
      <c r="I33" s="10" t="n">
        <v>0.89</v>
      </c>
      <c r="J33" s="10" t="n">
        <v>-0.62</v>
      </c>
      <c r="K33" s="10" t="n">
        <v>-0.07000000000000001</v>
      </c>
      <c r="L33" s="10" t="n">
        <v>-0.5600000000000001</v>
      </c>
      <c r="M33" s="10" t="n">
        <v>-0.6899999999999999</v>
      </c>
      <c r="N33" s="10" t="n">
        <v>1.57</v>
      </c>
      <c r="O33" s="10" t="n">
        <v>1.13</v>
      </c>
      <c r="P33" s="10" t="n">
        <v>1.95</v>
      </c>
      <c r="Q33" s="10" t="n">
        <v>0.82</v>
      </c>
    </row>
    <row r="34">
      <c r="A34" s="6" t="inlineStr">
        <is>
          <t>2026-08-29</t>
        </is>
      </c>
      <c r="B34" s="6" t="inlineStr">
        <is>
          <t>Crawley Town</t>
        </is>
      </c>
      <c r="C34" s="6" t="inlineStr">
        <is>
          <t>Bristol Rvs</t>
        </is>
      </c>
      <c r="D34" s="6" t="n">
        <v>0</v>
      </c>
      <c r="E34" s="6" t="n">
        <v>2</v>
      </c>
      <c r="F34" s="9" t="n">
        <v>1.14</v>
      </c>
      <c r="G34" s="9" t="n">
        <v>1.52</v>
      </c>
      <c r="H34" s="9" t="n">
        <v>0.72</v>
      </c>
      <c r="I34" s="9" t="n">
        <v>1.98</v>
      </c>
      <c r="J34" s="9" t="n">
        <v>-0.41</v>
      </c>
      <c r="K34" s="9" t="n">
        <v>0.46</v>
      </c>
      <c r="L34" s="9" t="n">
        <v>-0.88</v>
      </c>
      <c r="M34" s="9" t="n">
        <v>0.05</v>
      </c>
      <c r="N34" s="9" t="n">
        <v>0.58</v>
      </c>
      <c r="O34" s="9" t="n">
        <v>2.21</v>
      </c>
      <c r="P34" s="9" t="n">
        <v>1.11</v>
      </c>
      <c r="Q34" s="9" t="n">
        <v>1.64</v>
      </c>
    </row>
    <row r="35">
      <c r="A35" s="8" t="inlineStr">
        <is>
          <t>2026-08-29</t>
        </is>
      </c>
      <c r="B35" s="8" t="inlineStr">
        <is>
          <t>Colchester United</t>
        </is>
      </c>
      <c r="C35" s="8" t="inlineStr">
        <is>
          <t>Rochdale</t>
        </is>
      </c>
      <c r="D35" s="8" t="n">
        <v>1</v>
      </c>
      <c r="E35" s="8" t="n">
        <v>0</v>
      </c>
      <c r="F35" s="10" t="n">
        <v>1.43</v>
      </c>
      <c r="G35" s="10" t="n">
        <v>1.19</v>
      </c>
      <c r="H35" s="10" t="n">
        <v>1.12</v>
      </c>
      <c r="I35" s="10" t="n">
        <v>0.78</v>
      </c>
      <c r="J35" s="10" t="n">
        <v>-0.31</v>
      </c>
      <c r="K35" s="10" t="n">
        <v>-0.41</v>
      </c>
      <c r="L35" s="10" t="n">
        <v>0.1</v>
      </c>
      <c r="M35" s="10" t="n">
        <v>-0.72</v>
      </c>
      <c r="N35" s="10" t="n">
        <v>1.61</v>
      </c>
      <c r="O35" s="10" t="n">
        <v>1.07</v>
      </c>
      <c r="P35" s="10" t="n">
        <v>1.54</v>
      </c>
      <c r="Q35" s="10" t="n">
        <v>1.2</v>
      </c>
    </row>
    <row r="36">
      <c r="A36" s="6" t="inlineStr">
        <is>
          <t>2026-08-29</t>
        </is>
      </c>
      <c r="B36" s="6" t="inlineStr">
        <is>
          <t>Gillingham</t>
        </is>
      </c>
      <c r="C36" s="6" t="inlineStr">
        <is>
          <t>Northampton Town</t>
        </is>
      </c>
      <c r="D36" s="6" t="n">
        <v>1</v>
      </c>
      <c r="E36" s="6" t="n">
        <v>1</v>
      </c>
      <c r="F36" s="9" t="n">
        <v>1.32</v>
      </c>
      <c r="G36" s="9" t="n">
        <v>1.26</v>
      </c>
      <c r="H36" s="9" t="n">
        <v>0.89</v>
      </c>
      <c r="I36" s="9" t="n">
        <v>0.35</v>
      </c>
      <c r="J36" s="9" t="n">
        <v>-0.43</v>
      </c>
      <c r="K36" s="9" t="n">
        <v>-0.91</v>
      </c>
      <c r="L36" s="9" t="n">
        <v>0.48</v>
      </c>
      <c r="M36" s="9" t="n">
        <v>-1.34</v>
      </c>
      <c r="N36" s="9" t="n">
        <v>1.81</v>
      </c>
      <c r="O36" s="9" t="n">
        <v>0.8100000000000001</v>
      </c>
      <c r="P36" s="9" t="n">
        <v>1.41</v>
      </c>
      <c r="Q36" s="9" t="n">
        <v>1.32</v>
      </c>
    </row>
    <row r="37">
      <c r="A37" s="8" t="inlineStr">
        <is>
          <t>2026-08-29</t>
        </is>
      </c>
      <c r="B37" s="8" t="inlineStr">
        <is>
          <t>Walsall</t>
        </is>
      </c>
      <c r="C37" s="8" t="inlineStr">
        <is>
          <t>Accrington Stanley</t>
        </is>
      </c>
      <c r="D37" s="8" t="n">
        <v>3</v>
      </c>
      <c r="E37" s="8" t="n">
        <v>2</v>
      </c>
      <c r="F37" s="10" t="n">
        <v>1.58</v>
      </c>
      <c r="G37" s="10" t="n">
        <v>0.97</v>
      </c>
      <c r="H37" s="10" t="n">
        <v>2.22</v>
      </c>
      <c r="I37" s="10" t="n">
        <v>2.29</v>
      </c>
      <c r="J37" s="10" t="n">
        <v>0.64</v>
      </c>
      <c r="K37" s="10" t="n">
        <v>1.32</v>
      </c>
      <c r="L37" s="10" t="n">
        <v>-0.68</v>
      </c>
      <c r="M37" s="10" t="n">
        <v>1.96</v>
      </c>
      <c r="N37" s="10" t="n">
        <v>1.36</v>
      </c>
      <c r="O37" s="10" t="n">
        <v>1.44</v>
      </c>
      <c r="P37" s="10" t="n">
        <v>1.8</v>
      </c>
      <c r="Q37" s="10" t="n">
        <v>0.95</v>
      </c>
    </row>
    <row r="38">
      <c r="A38" s="6" t="inlineStr">
        <is>
          <t>2026-09-01</t>
        </is>
      </c>
      <c r="B38" s="6" t="inlineStr">
        <is>
          <t>Bristol Rvs</t>
        </is>
      </c>
      <c r="C38" s="6" t="inlineStr">
        <is>
          <t>Colchester United</t>
        </is>
      </c>
      <c r="D38" s="6" t="n">
        <v>2</v>
      </c>
      <c r="E38" s="6" t="n">
        <v>0</v>
      </c>
      <c r="F38" s="9" t="n">
        <v>1.74</v>
      </c>
      <c r="G38" s="9" t="n">
        <v>1.09</v>
      </c>
      <c r="H38" s="9" t="n">
        <v>2.99</v>
      </c>
      <c r="I38" s="9" t="n">
        <v>0.86</v>
      </c>
      <c r="J38" s="9" t="n">
        <v>1.25</v>
      </c>
      <c r="K38" s="9" t="n">
        <v>-0.23</v>
      </c>
      <c r="L38" s="9" t="n">
        <v>1.48</v>
      </c>
      <c r="M38" s="9" t="n">
        <v>1.02</v>
      </c>
      <c r="N38" s="9" t="n">
        <v>2.52</v>
      </c>
      <c r="O38" s="9" t="n">
        <v>0.35</v>
      </c>
      <c r="P38" s="9" t="n">
        <v>1.82</v>
      </c>
      <c r="Q38" s="9" t="n">
        <v>0.95</v>
      </c>
    </row>
    <row r="39">
      <c r="A39" s="8" t="inlineStr">
        <is>
          <t>2026-09-01</t>
        </is>
      </c>
      <c r="B39" s="8" t="inlineStr">
        <is>
          <t>Salford City</t>
        </is>
      </c>
      <c r="C39" s="8" t="inlineStr">
        <is>
          <t>Newport County</t>
        </is>
      </c>
      <c r="D39" s="8" t="n">
        <v>2</v>
      </c>
      <c r="E39" s="8" t="n">
        <v>1</v>
      </c>
      <c r="F39" s="10" t="n">
        <v>2.08</v>
      </c>
      <c r="G39" s="10" t="n">
        <v>0.95</v>
      </c>
      <c r="H39" s="10" t="n">
        <v>2.28</v>
      </c>
      <c r="I39" s="10" t="n">
        <v>0.42</v>
      </c>
      <c r="J39" s="10" t="n">
        <v>0.2</v>
      </c>
      <c r="K39" s="10" t="n">
        <v>-0.53</v>
      </c>
      <c r="L39" s="10" t="n">
        <v>0.73</v>
      </c>
      <c r="M39" s="10" t="n">
        <v>-0.33</v>
      </c>
      <c r="N39" s="10" t="n">
        <v>2.54</v>
      </c>
      <c r="O39" s="10" t="n">
        <v>0.31</v>
      </c>
      <c r="P39" s="10" t="n">
        <v>2.11</v>
      </c>
      <c r="Q39" s="10" t="n">
        <v>0.6899999999999999</v>
      </c>
    </row>
    <row r="40">
      <c r="A40" s="6" t="inlineStr">
        <is>
          <t>2026-09-01</t>
        </is>
      </c>
      <c r="B40" s="6" t="inlineStr">
        <is>
          <t>Chesterfield</t>
        </is>
      </c>
      <c r="C40" s="6" t="inlineStr">
        <is>
          <t>Gillingham</t>
        </is>
      </c>
      <c r="D40" s="6" t="n">
        <v>1</v>
      </c>
      <c r="E40" s="6" t="n">
        <v>1</v>
      </c>
      <c r="F40" s="9" t="n">
        <v>1.79</v>
      </c>
      <c r="G40" s="9" t="n">
        <v>0.83</v>
      </c>
      <c r="H40" s="9" t="n">
        <v>2.05</v>
      </c>
      <c r="I40" s="9" t="n">
        <v>0.5600000000000001</v>
      </c>
      <c r="J40" s="9" t="n">
        <v>0.26</v>
      </c>
      <c r="K40" s="9" t="n">
        <v>-0.27</v>
      </c>
      <c r="L40" s="9" t="n">
        <v>0.54</v>
      </c>
      <c r="M40" s="9" t="n">
        <v>-0.01</v>
      </c>
      <c r="N40" s="9" t="n">
        <v>2.36</v>
      </c>
      <c r="O40" s="9" t="n">
        <v>0.46</v>
      </c>
      <c r="P40" s="9" t="n">
        <v>2.03</v>
      </c>
      <c r="Q40" s="9" t="n">
        <v>0.74</v>
      </c>
    </row>
    <row r="41">
      <c r="A41" s="8" t="inlineStr">
        <is>
          <t>2026-09-01</t>
        </is>
      </c>
      <c r="B41" s="8" t="inlineStr">
        <is>
          <t>Rochdale</t>
        </is>
      </c>
      <c r="C41" s="8" t="inlineStr">
        <is>
          <t>Shrewsbury Town</t>
        </is>
      </c>
      <c r="D41" s="8" t="n">
        <v>3</v>
      </c>
      <c r="E41" s="8" t="n">
        <v>0</v>
      </c>
      <c r="F41" s="10" t="n">
        <v>1.48</v>
      </c>
      <c r="G41" s="10" t="n">
        <v>1.2</v>
      </c>
      <c r="H41" s="10" t="n">
        <v>0.77</v>
      </c>
      <c r="I41" s="10" t="n">
        <v>1.46</v>
      </c>
      <c r="J41" s="10" t="n">
        <v>-0.71</v>
      </c>
      <c r="K41" s="10" t="n">
        <v>0.26</v>
      </c>
      <c r="L41" s="10" t="n">
        <v>-0.97</v>
      </c>
      <c r="M41" s="10" t="n">
        <v>-0.44</v>
      </c>
      <c r="N41" s="10" t="n">
        <v>0.86</v>
      </c>
      <c r="O41" s="10" t="n">
        <v>1.87</v>
      </c>
      <c r="P41" s="10" t="n">
        <v>1.57</v>
      </c>
      <c r="Q41" s="10" t="n">
        <v>1.18</v>
      </c>
    </row>
    <row r="42">
      <c r="A42" s="6" t="inlineStr">
        <is>
          <t>2026-09-01</t>
        </is>
      </c>
      <c r="B42" s="6" t="inlineStr">
        <is>
          <t>Accrington Stanley</t>
        </is>
      </c>
      <c r="C42" s="6" t="inlineStr">
        <is>
          <t>Grimsby Town</t>
        </is>
      </c>
      <c r="D42" s="6" t="n">
        <v>2</v>
      </c>
      <c r="E42" s="6" t="n">
        <v>2</v>
      </c>
      <c r="F42" s="9" t="n">
        <v>1.09</v>
      </c>
      <c r="G42" s="9" t="n">
        <v>1.62</v>
      </c>
      <c r="H42" s="9" t="n">
        <v>2.6</v>
      </c>
      <c r="I42" s="9" t="n">
        <v>2.19</v>
      </c>
      <c r="J42" s="9" t="n">
        <v>1.51</v>
      </c>
      <c r="K42" s="9" t="n">
        <v>0.57</v>
      </c>
      <c r="L42" s="9" t="n">
        <v>0.9399999999999999</v>
      </c>
      <c r="M42" s="9" t="n">
        <v>2.08</v>
      </c>
      <c r="N42" s="9" t="n">
        <v>1.62</v>
      </c>
      <c r="O42" s="9" t="n">
        <v>1.19</v>
      </c>
      <c r="P42" s="9" t="n">
        <v>1.02</v>
      </c>
      <c r="Q42" s="9" t="n">
        <v>1.74</v>
      </c>
    </row>
    <row r="43">
      <c r="A43" s="8" t="inlineStr">
        <is>
          <t>2026-09-01</t>
        </is>
      </c>
      <c r="B43" s="8" t="inlineStr">
        <is>
          <t>Tranmere Rovers</t>
        </is>
      </c>
      <c r="C43" s="8" t="inlineStr">
        <is>
          <t>Rotherham United</t>
        </is>
      </c>
      <c r="D43" s="8" t="n">
        <v>2</v>
      </c>
      <c r="E43" s="8" t="n">
        <v>2</v>
      </c>
      <c r="F43" s="10" t="n">
        <v>1.41</v>
      </c>
      <c r="G43" s="10" t="n">
        <v>1.12</v>
      </c>
      <c r="H43" s="10" t="n">
        <v>0.74</v>
      </c>
      <c r="I43" s="10" t="n">
        <v>2.02</v>
      </c>
      <c r="J43" s="10" t="n">
        <v>-0.67</v>
      </c>
      <c r="K43" s="10" t="n">
        <v>0.9</v>
      </c>
      <c r="L43" s="10" t="n">
        <v>-1.58</v>
      </c>
      <c r="M43" s="10" t="n">
        <v>0.23</v>
      </c>
      <c r="N43" s="10" t="n">
        <v>0.58</v>
      </c>
      <c r="O43" s="10" t="n">
        <v>2.22</v>
      </c>
      <c r="P43" s="10" t="n">
        <v>1.58</v>
      </c>
      <c r="Q43" s="10" t="n">
        <v>1.16</v>
      </c>
    </row>
    <row r="44">
      <c r="A44" s="6" t="inlineStr">
        <is>
          <t>2026-09-01</t>
        </is>
      </c>
      <c r="B44" s="6" t="inlineStr">
        <is>
          <t>Crewe Alexandra</t>
        </is>
      </c>
      <c r="C44" s="6" t="inlineStr">
        <is>
          <t>Walsall</t>
        </is>
      </c>
      <c r="D44" s="6" t="n">
        <v>2</v>
      </c>
      <c r="E44" s="6" t="n">
        <v>2</v>
      </c>
      <c r="F44" s="9" t="n">
        <v>1.52</v>
      </c>
      <c r="G44" s="9" t="n">
        <v>1.27</v>
      </c>
      <c r="H44" s="9" t="n">
        <v>1.49</v>
      </c>
      <c r="I44" s="9" t="n">
        <v>1.82</v>
      </c>
      <c r="J44" s="9" t="n">
        <v>-0.03</v>
      </c>
      <c r="K44" s="9" t="n">
        <v>0.55</v>
      </c>
      <c r="L44" s="9" t="n">
        <v>-0.58</v>
      </c>
      <c r="M44" s="9" t="n">
        <v>0.52</v>
      </c>
      <c r="N44" s="9" t="n">
        <v>1.18</v>
      </c>
      <c r="O44" s="9" t="n">
        <v>1.59</v>
      </c>
      <c r="P44" s="9" t="n">
        <v>1.54</v>
      </c>
      <c r="Q44" s="9" t="n">
        <v>1.21</v>
      </c>
    </row>
    <row r="45">
      <c r="A45" s="8" t="inlineStr">
        <is>
          <t>2026-09-01</t>
        </is>
      </c>
      <c r="B45" s="8" t="inlineStr">
        <is>
          <t>Swindon Town</t>
        </is>
      </c>
      <c r="C45" s="8" t="inlineStr">
        <is>
          <t>Port Vale</t>
        </is>
      </c>
      <c r="D45" s="8" t="n">
        <v>3</v>
      </c>
      <c r="E45" s="8" t="n">
        <v>1</v>
      </c>
      <c r="F45" s="10" t="n">
        <v>1.2</v>
      </c>
      <c r="G45" s="10" t="n">
        <v>1.56</v>
      </c>
      <c r="H45" s="10" t="n">
        <v>2.49</v>
      </c>
      <c r="I45" s="10" t="n">
        <v>1.03</v>
      </c>
      <c r="J45" s="10" t="n">
        <v>1.29</v>
      </c>
      <c r="K45" s="10" t="n">
        <v>-0.53</v>
      </c>
      <c r="L45" s="10" t="n">
        <v>1.82</v>
      </c>
      <c r="M45" s="10" t="n">
        <v>0.76</v>
      </c>
      <c r="N45" s="10" t="n">
        <v>2.25</v>
      </c>
      <c r="O45" s="10" t="n">
        <v>0.58</v>
      </c>
      <c r="P45" s="10" t="n">
        <v>1.13</v>
      </c>
      <c r="Q45" s="10" t="n">
        <v>1.62</v>
      </c>
    </row>
    <row r="46">
      <c r="A46" s="6" t="inlineStr">
        <is>
          <t>2026-09-01</t>
        </is>
      </c>
      <c r="B46" s="6" t="inlineStr">
        <is>
          <t>Cheltenham Town</t>
        </is>
      </c>
      <c r="C46" s="6" t="inlineStr">
        <is>
          <t>York</t>
        </is>
      </c>
      <c r="D46" s="6" t="n">
        <v>3</v>
      </c>
      <c r="E46" s="6" t="n">
        <v>2</v>
      </c>
      <c r="F46" s="9" t="n">
        <v>1.1</v>
      </c>
      <c r="G46" s="9" t="n">
        <v>1.7</v>
      </c>
      <c r="H46" s="9" t="n">
        <v>1.36</v>
      </c>
      <c r="I46" s="9" t="n">
        <v>2.59</v>
      </c>
      <c r="J46" s="9" t="n">
        <v>0.26</v>
      </c>
      <c r="K46" s="9" t="n">
        <v>0.89</v>
      </c>
      <c r="L46" s="9" t="n">
        <v>-0.63</v>
      </c>
      <c r="M46" s="9" t="n">
        <v>1.15</v>
      </c>
      <c r="N46" s="9" t="n">
        <v>0.73</v>
      </c>
      <c r="O46" s="9" t="n">
        <v>2.09</v>
      </c>
      <c r="P46" s="9" t="n">
        <v>0.98</v>
      </c>
      <c r="Q46" s="9" t="n">
        <v>1.78</v>
      </c>
    </row>
    <row r="47">
      <c r="A47" s="8" t="inlineStr">
        <is>
          <t>2026-09-01</t>
        </is>
      </c>
      <c r="B47" s="8" t="inlineStr">
        <is>
          <t>Northampton Town</t>
        </is>
      </c>
      <c r="C47" s="8" t="inlineStr">
        <is>
          <t>Crawley Town</t>
        </is>
      </c>
      <c r="D47" s="8" t="n">
        <v>1</v>
      </c>
      <c r="E47" s="8" t="n">
        <v>1</v>
      </c>
      <c r="F47" s="10" t="n">
        <v>1.76</v>
      </c>
      <c r="G47" s="10" t="n">
        <v>0.99</v>
      </c>
      <c r="H47" s="10" t="n">
        <v>0.55</v>
      </c>
      <c r="I47" s="10" t="n">
        <v>2.62</v>
      </c>
      <c r="J47" s="10" t="n">
        <v>-1.21</v>
      </c>
      <c r="K47" s="10" t="n">
        <v>1.63</v>
      </c>
      <c r="L47" s="10" t="n">
        <v>-2.84</v>
      </c>
      <c r="M47" s="10" t="n">
        <v>0.42</v>
      </c>
      <c r="N47" s="10" t="n">
        <v>0.3</v>
      </c>
      <c r="O47" s="10" t="n">
        <v>2.58</v>
      </c>
      <c r="P47" s="10" t="n">
        <v>1.9</v>
      </c>
      <c r="Q47" s="10" t="n">
        <v>0.87</v>
      </c>
    </row>
    <row r="48">
      <c r="A48" s="6" t="inlineStr">
        <is>
          <t>2026-09-01</t>
        </is>
      </c>
      <c r="B48" s="6" t="inlineStr">
        <is>
          <t>Exeter</t>
        </is>
      </c>
      <c r="C48" s="6" t="inlineStr">
        <is>
          <t>Barnet</t>
        </is>
      </c>
      <c r="D48" s="6" t="n">
        <v>1</v>
      </c>
      <c r="E48" s="6" t="n">
        <v>1</v>
      </c>
      <c r="F48" s="9" t="n">
        <v>1.18</v>
      </c>
      <c r="G48" s="9" t="n">
        <v>1.76</v>
      </c>
      <c r="H48" s="9" t="n">
        <v>1.05</v>
      </c>
      <c r="I48" s="9" t="n">
        <v>1.02</v>
      </c>
      <c r="J48" s="9" t="n">
        <v>-0.13</v>
      </c>
      <c r="K48" s="9" t="n">
        <v>-0.74</v>
      </c>
      <c r="L48" s="9" t="n">
        <v>0.61</v>
      </c>
      <c r="M48" s="9" t="n">
        <v>-0.86</v>
      </c>
      <c r="N48" s="9" t="n">
        <v>1.37</v>
      </c>
      <c r="O48" s="9" t="n">
        <v>1.33</v>
      </c>
      <c r="P48" s="9" t="n">
        <v>1</v>
      </c>
      <c r="Q48" s="9" t="n">
        <v>1.76</v>
      </c>
    </row>
    <row r="49">
      <c r="A49" s="8" t="inlineStr">
        <is>
          <t>2026-09-01</t>
        </is>
      </c>
      <c r="B49" s="8" t="inlineStr">
        <is>
          <t>Fleetwood Town</t>
        </is>
      </c>
      <c r="C49" s="8" t="inlineStr">
        <is>
          <t>Oldham Athletic</t>
        </is>
      </c>
      <c r="D49" s="8" t="n">
        <v>1</v>
      </c>
      <c r="E49" s="8" t="n">
        <v>1</v>
      </c>
      <c r="F49" s="10" t="n">
        <v>1.31</v>
      </c>
      <c r="G49" s="10" t="n">
        <v>1.3</v>
      </c>
      <c r="H49" s="10" t="n">
        <v>0.84</v>
      </c>
      <c r="I49" s="10" t="n">
        <v>1.42</v>
      </c>
      <c r="J49" s="10" t="n">
        <v>-0.47</v>
      </c>
      <c r="K49" s="10" t="n">
        <v>0.12</v>
      </c>
      <c r="L49" s="10" t="n">
        <v>-0.59</v>
      </c>
      <c r="M49" s="10" t="n">
        <v>-0.35</v>
      </c>
      <c r="N49" s="10" t="n">
        <v>0.9399999999999999</v>
      </c>
      <c r="O49" s="10" t="n">
        <v>1.79</v>
      </c>
      <c r="P49" s="10" t="n">
        <v>1.37</v>
      </c>
      <c r="Q49" s="10" t="n">
        <v>1.36</v>
      </c>
    </row>
    <row r="50">
      <c r="A50" s="6" t="inlineStr">
        <is>
          <t>2026-09-05</t>
        </is>
      </c>
      <c r="B50" s="6" t="inlineStr">
        <is>
          <t>Cheltenham Town</t>
        </is>
      </c>
      <c r="C50" s="6" t="inlineStr">
        <is>
          <t>Grimsby Town</t>
        </is>
      </c>
      <c r="D50" s="6" t="n">
        <v>2</v>
      </c>
      <c r="E50" s="6" t="n">
        <v>2</v>
      </c>
      <c r="F50" s="9" t="n">
        <v>1.17</v>
      </c>
      <c r="G50" s="9" t="n">
        <v>1.68</v>
      </c>
      <c r="H50" s="9" t="n">
        <v>1.29</v>
      </c>
      <c r="I50" s="9" t="n">
        <v>1.59</v>
      </c>
      <c r="J50" s="9" t="n">
        <v>0.12</v>
      </c>
      <c r="K50" s="9" t="n">
        <v>-0.08</v>
      </c>
      <c r="L50" s="9" t="n">
        <v>0.21</v>
      </c>
      <c r="M50" s="9" t="n">
        <v>0.04</v>
      </c>
      <c r="N50" s="9" t="n">
        <v>1.18</v>
      </c>
      <c r="O50" s="9" t="n">
        <v>1.58</v>
      </c>
      <c r="P50" s="9" t="n">
        <v>1.04</v>
      </c>
      <c r="Q50" s="9" t="n">
        <v>1.72</v>
      </c>
    </row>
    <row r="51">
      <c r="A51" s="8" t="inlineStr">
        <is>
          <t>2026-09-05</t>
        </is>
      </c>
      <c r="B51" s="8" t="inlineStr">
        <is>
          <t>Fleetwood Town</t>
        </is>
      </c>
      <c r="C51" s="8" t="inlineStr">
        <is>
          <t>Shrewsbury Town</t>
        </is>
      </c>
      <c r="D51" s="8" t="n">
        <v>2</v>
      </c>
      <c r="E51" s="8" t="n">
        <v>0</v>
      </c>
      <c r="F51" s="10" t="n">
        <v>1.56</v>
      </c>
      <c r="G51" s="10" t="n">
        <v>0.99</v>
      </c>
      <c r="H51" s="10" t="n">
        <v>0.8</v>
      </c>
      <c r="I51" s="10" t="n">
        <v>0.71</v>
      </c>
      <c r="J51" s="10" t="n">
        <v>-0.76</v>
      </c>
      <c r="K51" s="10" t="n">
        <v>-0.28</v>
      </c>
      <c r="L51" s="10" t="n">
        <v>-0.48</v>
      </c>
      <c r="M51" s="10" t="n">
        <v>-1.04</v>
      </c>
      <c r="N51" s="10" t="n">
        <v>1.4</v>
      </c>
      <c r="O51" s="10" t="n">
        <v>1.24</v>
      </c>
      <c r="P51" s="10" t="n">
        <v>1.77</v>
      </c>
      <c r="Q51" s="10" t="n">
        <v>0.97</v>
      </c>
    </row>
    <row r="52">
      <c r="A52" s="6" t="inlineStr">
        <is>
          <t>2026-09-05</t>
        </is>
      </c>
      <c r="B52" s="6" t="inlineStr">
        <is>
          <t>Salford City</t>
        </is>
      </c>
      <c r="C52" s="6" t="inlineStr">
        <is>
          <t>Port Vale</t>
        </is>
      </c>
      <c r="D52" s="6" t="n">
        <v>1</v>
      </c>
      <c r="E52" s="6" t="n">
        <v>0</v>
      </c>
      <c r="F52" s="9" t="n">
        <v>1.64</v>
      </c>
      <c r="G52" s="9" t="n">
        <v>1.03</v>
      </c>
      <c r="H52" s="9" t="n">
        <v>0.32</v>
      </c>
      <c r="I52" s="9" t="n">
        <v>0.68</v>
      </c>
      <c r="J52" s="9" t="n">
        <v>-1.32</v>
      </c>
      <c r="K52" s="9" t="n">
        <v>-0.35</v>
      </c>
      <c r="L52" s="9" t="n">
        <v>-0.98</v>
      </c>
      <c r="M52" s="9" t="n">
        <v>-1.67</v>
      </c>
      <c r="N52" s="9" t="n">
        <v>0.91</v>
      </c>
      <c r="O52" s="9" t="n">
        <v>1.64</v>
      </c>
      <c r="P52" s="9" t="n">
        <v>1.8</v>
      </c>
      <c r="Q52" s="9" t="n">
        <v>0.96</v>
      </c>
    </row>
    <row r="53">
      <c r="A53" s="8" t="inlineStr">
        <is>
          <t>2026-09-05</t>
        </is>
      </c>
      <c r="B53" s="8" t="inlineStr">
        <is>
          <t>Bristol Rvs</t>
        </is>
      </c>
      <c r="C53" s="8" t="inlineStr">
        <is>
          <t>Rotherham United</t>
        </is>
      </c>
      <c r="D53" s="8" t="n">
        <v>1</v>
      </c>
      <c r="E53" s="8" t="n">
        <v>0</v>
      </c>
      <c r="F53" s="10" t="n">
        <v>1.91</v>
      </c>
      <c r="G53" s="10" t="n">
        <v>1.13</v>
      </c>
      <c r="H53" s="10" t="n">
        <v>0.84</v>
      </c>
      <c r="I53" s="10" t="n">
        <v>0.63</v>
      </c>
      <c r="J53" s="10" t="n">
        <v>-1.07</v>
      </c>
      <c r="K53" s="10" t="n">
        <v>-0.5</v>
      </c>
      <c r="L53" s="10" t="n">
        <v>-0.57</v>
      </c>
      <c r="M53" s="10" t="n">
        <v>-1.57</v>
      </c>
      <c r="N53" s="10" t="n">
        <v>1.5</v>
      </c>
      <c r="O53" s="10" t="n">
        <v>1.13</v>
      </c>
      <c r="P53" s="10" t="n">
        <v>1.89</v>
      </c>
      <c r="Q53" s="10" t="n">
        <v>0.89</v>
      </c>
    </row>
    <row r="54">
      <c r="A54" s="6" t="inlineStr">
        <is>
          <t>2026-09-05</t>
        </is>
      </c>
      <c r="B54" s="6" t="inlineStr">
        <is>
          <t>Swindon Town</t>
        </is>
      </c>
      <c r="C54" s="6" t="inlineStr">
        <is>
          <t>Colchester United</t>
        </is>
      </c>
      <c r="D54" s="6" t="n">
        <v>3</v>
      </c>
      <c r="E54" s="6" t="n">
        <v>1</v>
      </c>
      <c r="F54" s="9" t="n">
        <v>1.4</v>
      </c>
      <c r="G54" s="9" t="n">
        <v>1.34</v>
      </c>
      <c r="H54" s="9" t="n">
        <v>2.06</v>
      </c>
      <c r="I54" s="9" t="n">
        <v>1.49</v>
      </c>
      <c r="J54" s="9" t="n">
        <v>0.66</v>
      </c>
      <c r="K54" s="9" t="n">
        <v>0.15</v>
      </c>
      <c r="L54" s="9" t="n">
        <v>0.51</v>
      </c>
      <c r="M54" s="9" t="n">
        <v>0.8100000000000001</v>
      </c>
      <c r="N54" s="9" t="n">
        <v>1.74</v>
      </c>
      <c r="O54" s="9" t="n">
        <v>1.05</v>
      </c>
      <c r="P54" s="9" t="n">
        <v>1.41</v>
      </c>
      <c r="Q54" s="9" t="n">
        <v>1.33</v>
      </c>
    </row>
    <row r="55">
      <c r="A55" s="8" t="inlineStr">
        <is>
          <t>2026-09-05</t>
        </is>
      </c>
      <c r="B55" s="8" t="inlineStr">
        <is>
          <t>Northampton Town</t>
        </is>
      </c>
      <c r="C55" s="8" t="inlineStr">
        <is>
          <t>Newport County</t>
        </is>
      </c>
      <c r="D55" s="8" t="n">
        <v>1</v>
      </c>
      <c r="E55" s="8" t="n">
        <v>0</v>
      </c>
      <c r="F55" s="10" t="n">
        <v>1.67</v>
      </c>
      <c r="G55" s="10" t="n">
        <v>0.91</v>
      </c>
      <c r="H55" s="10" t="n">
        <v>0.45</v>
      </c>
      <c r="I55" s="10" t="n">
        <v>0.32</v>
      </c>
      <c r="J55" s="10" t="n">
        <v>-1.22</v>
      </c>
      <c r="K55" s="10" t="n">
        <v>-0.59</v>
      </c>
      <c r="L55" s="10" t="n">
        <v>-0.62</v>
      </c>
      <c r="M55" s="10" t="n">
        <v>-1.81</v>
      </c>
      <c r="N55" s="10" t="n">
        <v>1.38</v>
      </c>
      <c r="O55" s="10" t="n">
        <v>1.09</v>
      </c>
      <c r="P55" s="10" t="n">
        <v>1.9</v>
      </c>
      <c r="Q55" s="10" t="n">
        <v>0.86</v>
      </c>
    </row>
    <row r="56">
      <c r="A56" s="6" t="inlineStr">
        <is>
          <t>2026-09-05</t>
        </is>
      </c>
      <c r="B56" s="6" t="inlineStr">
        <is>
          <t>Exeter</t>
        </is>
      </c>
      <c r="C56" s="6" t="inlineStr">
        <is>
          <t>Walsall</t>
        </is>
      </c>
      <c r="D56" s="6" t="n">
        <v>0</v>
      </c>
      <c r="E56" s="6" t="n">
        <v>0</v>
      </c>
      <c r="F56" s="9" t="n">
        <v>1.41</v>
      </c>
      <c r="G56" s="9" t="n">
        <v>1.35</v>
      </c>
      <c r="H56" s="9" t="n">
        <v>1.52</v>
      </c>
      <c r="I56" s="9" t="n">
        <v>0.4</v>
      </c>
      <c r="J56" s="9" t="n">
        <v>0.11</v>
      </c>
      <c r="K56" s="9" t="n">
        <v>-0.95</v>
      </c>
      <c r="L56" s="9" t="n">
        <v>1.06</v>
      </c>
      <c r="M56" s="9" t="n">
        <v>-0.84</v>
      </c>
      <c r="N56" s="9" t="n">
        <v>2.21</v>
      </c>
      <c r="O56" s="9" t="n">
        <v>0.53</v>
      </c>
      <c r="P56" s="9" t="n">
        <v>1.42</v>
      </c>
      <c r="Q56" s="9" t="n">
        <v>1.33</v>
      </c>
    </row>
    <row r="57">
      <c r="A57" s="8" t="inlineStr">
        <is>
          <t>2026-09-05</t>
        </is>
      </c>
      <c r="B57" s="8" t="inlineStr">
        <is>
          <t>Rochdale</t>
        </is>
      </c>
      <c r="C57" s="8" t="inlineStr">
        <is>
          <t>Gillingham</t>
        </is>
      </c>
      <c r="D57" s="8" t="n">
        <v>1</v>
      </c>
      <c r="E57" s="8" t="n">
        <v>4</v>
      </c>
      <c r="F57" s="10" t="n">
        <v>1.45</v>
      </c>
      <c r="G57" s="10" t="n">
        <v>1.07</v>
      </c>
      <c r="H57" s="10" t="n">
        <v>0.8</v>
      </c>
      <c r="I57" s="10" t="n">
        <v>1.95</v>
      </c>
      <c r="J57" s="10" t="n">
        <v>-0.65</v>
      </c>
      <c r="K57" s="10" t="n">
        <v>0.88</v>
      </c>
      <c r="L57" s="10" t="n">
        <v>-1.53</v>
      </c>
      <c r="M57" s="10" t="n">
        <v>0.22</v>
      </c>
      <c r="N57" s="10" t="n">
        <v>0.65</v>
      </c>
      <c r="O57" s="10" t="n">
        <v>2.14</v>
      </c>
      <c r="P57" s="10" t="n">
        <v>1.64</v>
      </c>
      <c r="Q57" s="10" t="n">
        <v>1.1</v>
      </c>
    </row>
    <row r="58">
      <c r="A58" s="6" t="inlineStr">
        <is>
          <t>2026-09-05</t>
        </is>
      </c>
      <c r="B58" s="6" t="inlineStr">
        <is>
          <t>Tranmere Rovers</t>
        </is>
      </c>
      <c r="C58" s="6" t="inlineStr">
        <is>
          <t>Oldham Athletic</t>
        </is>
      </c>
      <c r="D58" s="6" t="n">
        <v>2</v>
      </c>
      <c r="E58" s="6" t="n">
        <v>0</v>
      </c>
      <c r="F58" s="9" t="n">
        <v>1.15</v>
      </c>
      <c r="G58" s="9" t="n">
        <v>1.41</v>
      </c>
      <c r="H58" s="9" t="n">
        <v>1.96</v>
      </c>
      <c r="I58" s="9" t="n">
        <v>1.94</v>
      </c>
      <c r="J58" s="9" t="n">
        <v>0.8100000000000001</v>
      </c>
      <c r="K58" s="9" t="n">
        <v>0.53</v>
      </c>
      <c r="L58" s="9" t="n">
        <v>0.28</v>
      </c>
      <c r="M58" s="9" t="n">
        <v>1.33</v>
      </c>
      <c r="N58" s="9" t="n">
        <v>1.41</v>
      </c>
      <c r="O58" s="9" t="n">
        <v>1.38</v>
      </c>
      <c r="P58" s="9" t="n">
        <v>1.19</v>
      </c>
      <c r="Q58" s="9" t="n">
        <v>1.55</v>
      </c>
    </row>
    <row r="59">
      <c r="A59" s="8" t="inlineStr">
        <is>
          <t>2026-09-05</t>
        </is>
      </c>
      <c r="B59" s="8" t="inlineStr">
        <is>
          <t>Crewe Alexandra</t>
        </is>
      </c>
      <c r="C59" s="8" t="inlineStr">
        <is>
          <t>York</t>
        </is>
      </c>
      <c r="D59" s="8" t="n">
        <v>1</v>
      </c>
      <c r="E59" s="8" t="n">
        <v>1</v>
      </c>
      <c r="F59" s="10" t="n">
        <v>1.28</v>
      </c>
      <c r="G59" s="10" t="n">
        <v>1.44</v>
      </c>
      <c r="H59" s="10" t="n">
        <v>1.14</v>
      </c>
      <c r="I59" s="10" t="n">
        <v>2.51</v>
      </c>
      <c r="J59" s="10" t="n">
        <v>-0.14</v>
      </c>
      <c r="K59" s="10" t="n">
        <v>1.07</v>
      </c>
      <c r="L59" s="10" t="n">
        <v>-1.22</v>
      </c>
      <c r="M59" s="10" t="n">
        <v>0.93</v>
      </c>
      <c r="N59" s="10" t="n">
        <v>0.64</v>
      </c>
      <c r="O59" s="10" t="n">
        <v>2.19</v>
      </c>
      <c r="P59" s="10" t="n">
        <v>1.27</v>
      </c>
      <c r="Q59" s="10" t="n">
        <v>1.48</v>
      </c>
    </row>
    <row r="60">
      <c r="A60" s="6" t="inlineStr">
        <is>
          <t>2026-09-05</t>
        </is>
      </c>
      <c r="B60" s="6" t="inlineStr">
        <is>
          <t>Accrington Stanley</t>
        </is>
      </c>
      <c r="C60" s="6" t="inlineStr">
        <is>
          <t>Crawley Town</t>
        </is>
      </c>
      <c r="D60" s="6" t="n">
        <v>3</v>
      </c>
      <c r="E60" s="6" t="n">
        <v>2</v>
      </c>
      <c r="F60" s="9" t="n">
        <v>1.66</v>
      </c>
      <c r="G60" s="9" t="n">
        <v>1.17</v>
      </c>
      <c r="H60" s="9" t="n">
        <v>2.07</v>
      </c>
      <c r="I60" s="9" t="n">
        <v>1.49</v>
      </c>
      <c r="J60" s="9" t="n">
        <v>0.41</v>
      </c>
      <c r="K60" s="9" t="n">
        <v>0.32</v>
      </c>
      <c r="L60" s="9" t="n">
        <v>0.09</v>
      </c>
      <c r="M60" s="9" t="n">
        <v>0.73</v>
      </c>
      <c r="N60" s="9" t="n">
        <v>1.74</v>
      </c>
      <c r="O60" s="9" t="n">
        <v>1.04</v>
      </c>
      <c r="P60" s="9" t="n">
        <v>1.71</v>
      </c>
      <c r="Q60" s="9" t="n">
        <v>1.05</v>
      </c>
    </row>
    <row r="61">
      <c r="A61" s="8" t="inlineStr">
        <is>
          <t>2026-09-05</t>
        </is>
      </c>
      <c r="B61" s="8" t="inlineStr">
        <is>
          <t>Chesterfield</t>
        </is>
      </c>
      <c r="C61" s="8" t="inlineStr">
        <is>
          <t>Barnet</t>
        </is>
      </c>
      <c r="D61" s="8" t="n">
        <v>3</v>
      </c>
      <c r="E61" s="8" t="n">
        <v>3</v>
      </c>
      <c r="F61" s="10" t="n">
        <v>1.59</v>
      </c>
      <c r="G61" s="10" t="n">
        <v>1.24</v>
      </c>
      <c r="H61" s="10" t="n">
        <v>2.08</v>
      </c>
      <c r="I61" s="10" t="n">
        <v>2.36</v>
      </c>
      <c r="J61" s="10" t="n">
        <v>0.49</v>
      </c>
      <c r="K61" s="10" t="n">
        <v>1.12</v>
      </c>
      <c r="L61" s="10" t="n">
        <v>-0.63</v>
      </c>
      <c r="M61" s="10" t="n">
        <v>1.6</v>
      </c>
      <c r="N61" s="10" t="n">
        <v>1.25</v>
      </c>
      <c r="O61" s="10" t="n">
        <v>1.56</v>
      </c>
      <c r="P61" s="10" t="n">
        <v>1.61</v>
      </c>
      <c r="Q61" s="10" t="n">
        <v>1.14</v>
      </c>
    </row>
    <row r="62">
      <c r="A62" s="6" t="inlineStr">
        <is>
          <t>2026-09-12</t>
        </is>
      </c>
      <c r="B62" s="6" t="inlineStr">
        <is>
          <t>Walsall</t>
        </is>
      </c>
      <c r="C62" s="6" t="inlineStr">
        <is>
          <t>Rochdale</t>
        </is>
      </c>
      <c r="D62" s="6" t="n">
        <v>0</v>
      </c>
      <c r="E62" s="6" t="n">
        <v>0</v>
      </c>
      <c r="F62" s="9" t="n">
        <v>1.82</v>
      </c>
      <c r="G62" s="9" t="n">
        <v>1.02</v>
      </c>
      <c r="H62" s="9" t="n">
        <v>1.76</v>
      </c>
      <c r="I62" s="9" t="n">
        <v>0.43</v>
      </c>
      <c r="J62" s="9" t="n">
        <v>-0.06</v>
      </c>
      <c r="K62" s="9" t="n">
        <v>-0.59</v>
      </c>
      <c r="L62" s="9" t="n">
        <v>0.53</v>
      </c>
      <c r="M62" s="9" t="n">
        <v>-0.65</v>
      </c>
      <c r="N62" s="9" t="n">
        <v>2.32</v>
      </c>
      <c r="O62" s="9" t="n">
        <v>0.47</v>
      </c>
      <c r="P62" s="9" t="n">
        <v>1.92</v>
      </c>
      <c r="Q62" s="9" t="n">
        <v>0.86</v>
      </c>
    </row>
    <row r="63">
      <c r="A63" s="8" t="inlineStr">
        <is>
          <t>2026-09-12</t>
        </is>
      </c>
      <c r="B63" s="8" t="inlineStr">
        <is>
          <t>Grimsby Town</t>
        </is>
      </c>
      <c r="C63" s="8" t="inlineStr">
        <is>
          <t>Bristol Rvs</t>
        </is>
      </c>
      <c r="D63" s="8" t="n">
        <v>2</v>
      </c>
      <c r="E63" s="8" t="n">
        <v>0</v>
      </c>
      <c r="F63" s="10" t="n">
        <v>1.52</v>
      </c>
      <c r="G63" s="10" t="n">
        <v>1.34</v>
      </c>
      <c r="H63" s="10" t="n">
        <v>1.44</v>
      </c>
      <c r="I63" s="10" t="n">
        <v>0.11</v>
      </c>
      <c r="J63" s="10" t="n">
        <v>-0.08</v>
      </c>
      <c r="K63" s="10" t="n">
        <v>-1.23</v>
      </c>
      <c r="L63" s="10" t="n">
        <v>1.15</v>
      </c>
      <c r="M63" s="10" t="n">
        <v>-1.31</v>
      </c>
      <c r="N63" s="10" t="n">
        <v>2.43</v>
      </c>
      <c r="O63" s="10" t="n">
        <v>0.33</v>
      </c>
      <c r="P63" s="10" t="n">
        <v>1.5</v>
      </c>
      <c r="Q63" s="10" t="n">
        <v>1.25</v>
      </c>
    </row>
    <row r="64">
      <c r="A64" s="6" t="inlineStr">
        <is>
          <t>2026-09-12</t>
        </is>
      </c>
      <c r="B64" s="6" t="inlineStr">
        <is>
          <t>Rotherham United</t>
        </is>
      </c>
      <c r="C64" s="6" t="inlineStr">
        <is>
          <t>Salford City</t>
        </is>
      </c>
      <c r="D64" s="6" t="n">
        <v>3</v>
      </c>
      <c r="E64" s="6" t="n">
        <v>3</v>
      </c>
      <c r="F64" s="9" t="n">
        <v>1.34</v>
      </c>
      <c r="G64" s="9" t="n">
        <v>1.49</v>
      </c>
      <c r="H64" s="9" t="n">
        <v>2.46</v>
      </c>
      <c r="I64" s="9" t="n">
        <v>1.45</v>
      </c>
      <c r="J64" s="9" t="n">
        <v>1.12</v>
      </c>
      <c r="K64" s="9" t="n">
        <v>-0.04</v>
      </c>
      <c r="L64" s="9" t="n">
        <v>1.16</v>
      </c>
      <c r="M64" s="9" t="n">
        <v>1.08</v>
      </c>
      <c r="N64" s="9" t="n">
        <v>1.98</v>
      </c>
      <c r="O64" s="9" t="n">
        <v>0.83</v>
      </c>
      <c r="P64" s="9" t="n">
        <v>1.28</v>
      </c>
      <c r="Q64" s="9" t="n">
        <v>1.47</v>
      </c>
    </row>
    <row r="65">
      <c r="A65" s="8" t="inlineStr">
        <is>
          <t>2026-09-12</t>
        </is>
      </c>
      <c r="B65" s="8" t="inlineStr">
        <is>
          <t>Port Vale</t>
        </is>
      </c>
      <c r="C65" s="8" t="inlineStr">
        <is>
          <t>Exeter</t>
        </is>
      </c>
      <c r="D65" s="8" t="n">
        <v>1</v>
      </c>
      <c r="E65" s="8" t="n">
        <v>0</v>
      </c>
      <c r="F65" s="10" t="n">
        <v>1.52</v>
      </c>
      <c r="G65" s="10" t="n">
        <v>1.06</v>
      </c>
      <c r="H65" s="10" t="n">
        <v>1.95</v>
      </c>
      <c r="I65" s="10" t="n">
        <v>0.55</v>
      </c>
      <c r="J65" s="10" t="n">
        <v>0.43</v>
      </c>
      <c r="K65" s="10" t="n">
        <v>-0.51</v>
      </c>
      <c r="L65" s="10" t="n">
        <v>0.93</v>
      </c>
      <c r="M65" s="10" t="n">
        <v>-0.08</v>
      </c>
      <c r="N65" s="10" t="n">
        <v>2.32</v>
      </c>
      <c r="O65" s="10" t="n">
        <v>0.48</v>
      </c>
      <c r="P65" s="10" t="n">
        <v>1.7</v>
      </c>
      <c r="Q65" s="10" t="n">
        <v>1.05</v>
      </c>
    </row>
    <row r="66">
      <c r="A66" s="6" t="inlineStr">
        <is>
          <t>2026-09-12</t>
        </is>
      </c>
      <c r="B66" s="6" t="inlineStr">
        <is>
          <t>Oldham Athletic</t>
        </is>
      </c>
      <c r="C66" s="6" t="inlineStr">
        <is>
          <t>Chesterfield</t>
        </is>
      </c>
      <c r="D66" s="6" t="n">
        <v>1</v>
      </c>
      <c r="E66" s="6" t="n">
        <v>2</v>
      </c>
      <c r="F66" s="9" t="n">
        <v>1.49</v>
      </c>
      <c r="G66" s="9" t="n">
        <v>1.17</v>
      </c>
      <c r="H66" s="9" t="n">
        <v>1.08</v>
      </c>
      <c r="I66" s="9" t="n">
        <v>2.24</v>
      </c>
      <c r="J66" s="9" t="n">
        <v>-0.41</v>
      </c>
      <c r="K66" s="9" t="n">
        <v>1.07</v>
      </c>
      <c r="L66" s="9" t="n">
        <v>-1.49</v>
      </c>
      <c r="M66" s="9" t="n">
        <v>0.66</v>
      </c>
      <c r="N66" s="9" t="n">
        <v>0.71</v>
      </c>
      <c r="O66" s="9" t="n">
        <v>2.1</v>
      </c>
      <c r="P66" s="9" t="n">
        <v>1.6</v>
      </c>
      <c r="Q66" s="9" t="n">
        <v>1.15</v>
      </c>
    </row>
    <row r="67">
      <c r="A67" s="8" t="inlineStr">
        <is>
          <t>2026-09-12</t>
        </is>
      </c>
      <c r="B67" s="8" t="inlineStr">
        <is>
          <t>Newport County</t>
        </is>
      </c>
      <c r="C67" s="8" t="inlineStr">
        <is>
          <t>Fleetwood Town</t>
        </is>
      </c>
      <c r="D67" s="8" t="n">
        <v>1</v>
      </c>
      <c r="E67" s="8" t="n">
        <v>1</v>
      </c>
      <c r="F67" s="10" t="n">
        <v>1.16</v>
      </c>
      <c r="G67" s="10" t="n">
        <v>1.55</v>
      </c>
      <c r="H67" s="10" t="n">
        <v>2.64</v>
      </c>
      <c r="I67" s="10" t="n">
        <v>1.06</v>
      </c>
      <c r="J67" s="10" t="n">
        <v>1.48</v>
      </c>
      <c r="K67" s="10" t="n">
        <v>-0.49</v>
      </c>
      <c r="L67" s="10" t="n">
        <v>1.97</v>
      </c>
      <c r="M67" s="10" t="n">
        <v>0.99</v>
      </c>
      <c r="N67" s="10" t="n">
        <v>2.29</v>
      </c>
      <c r="O67" s="10" t="n">
        <v>0.55</v>
      </c>
      <c r="P67" s="10" t="n">
        <v>1.11</v>
      </c>
      <c r="Q67" s="10" t="n">
        <v>1.64</v>
      </c>
    </row>
    <row r="68">
      <c r="A68" s="6" t="inlineStr">
        <is>
          <t>2026-09-12</t>
        </is>
      </c>
      <c r="B68" s="6" t="inlineStr">
        <is>
          <t>Gillingham</t>
        </is>
      </c>
      <c r="C68" s="6" t="inlineStr">
        <is>
          <t>Tranmere Rovers</t>
        </is>
      </c>
      <c r="D68" s="6" t="n">
        <v>2</v>
      </c>
      <c r="E68" s="6" t="n">
        <v>0</v>
      </c>
      <c r="F68" s="9" t="n">
        <v>1.28</v>
      </c>
      <c r="G68" s="9" t="n">
        <v>1.26</v>
      </c>
      <c r="H68" s="9" t="n">
        <v>1.49</v>
      </c>
      <c r="I68" s="9" t="n">
        <v>1.25</v>
      </c>
      <c r="J68" s="9" t="n">
        <v>0.21</v>
      </c>
      <c r="K68" s="9" t="n">
        <v>-0.01</v>
      </c>
      <c r="L68" s="9" t="n">
        <v>0.22</v>
      </c>
      <c r="M68" s="9" t="n">
        <v>0.2</v>
      </c>
      <c r="N68" s="9" t="n">
        <v>1.54</v>
      </c>
      <c r="O68" s="9" t="n">
        <v>1.21</v>
      </c>
      <c r="P68" s="9" t="n">
        <v>1.38</v>
      </c>
      <c r="Q68" s="9" t="n">
        <v>1.35</v>
      </c>
    </row>
    <row r="69">
      <c r="A69" s="8" t="inlineStr">
        <is>
          <t>2026-09-12</t>
        </is>
      </c>
      <c r="B69" s="8" t="inlineStr">
        <is>
          <t>Crawley Town</t>
        </is>
      </c>
      <c r="C69" s="8" t="inlineStr">
        <is>
          <t>Cheltenham Town</t>
        </is>
      </c>
      <c r="D69" s="8" t="n">
        <v>1</v>
      </c>
      <c r="E69" s="8" t="n">
        <v>3</v>
      </c>
      <c r="F69" s="10" t="n">
        <v>1.53</v>
      </c>
      <c r="G69" s="10" t="n">
        <v>1.41</v>
      </c>
      <c r="H69" s="10" t="n">
        <v>1.44</v>
      </c>
      <c r="I69" s="10" t="n">
        <v>1.9</v>
      </c>
      <c r="J69" s="10" t="n">
        <v>-0.09</v>
      </c>
      <c r="K69" s="10" t="n">
        <v>0.49</v>
      </c>
      <c r="L69" s="10" t="n">
        <v>-0.57</v>
      </c>
      <c r="M69" s="10" t="n">
        <v>0.4</v>
      </c>
      <c r="N69" s="10" t="n">
        <v>1.1</v>
      </c>
      <c r="O69" s="10" t="n">
        <v>1.68</v>
      </c>
      <c r="P69" s="10" t="n">
        <v>1.45</v>
      </c>
      <c r="Q69" s="10" t="n">
        <v>1.3</v>
      </c>
    </row>
    <row r="70">
      <c r="A70" s="6" t="inlineStr">
        <is>
          <t>2026-09-12</t>
        </is>
      </c>
      <c r="B70" s="6" t="inlineStr">
        <is>
          <t>Colchester United</t>
        </is>
      </c>
      <c r="C70" s="6" t="inlineStr">
        <is>
          <t>Crewe Alexandra</t>
        </is>
      </c>
      <c r="D70" s="6" t="n">
        <v>1</v>
      </c>
      <c r="E70" s="6" t="n">
        <v>1</v>
      </c>
      <c r="F70" s="9" t="n">
        <v>1.58</v>
      </c>
      <c r="G70" s="9" t="n">
        <v>1.2</v>
      </c>
      <c r="H70" s="9" t="n">
        <v>1.3</v>
      </c>
      <c r="I70" s="9" t="n">
        <v>0.64</v>
      </c>
      <c r="J70" s="9" t="n">
        <v>-0.28</v>
      </c>
      <c r="K70" s="9" t="n">
        <v>-0.5600000000000001</v>
      </c>
      <c r="L70" s="9" t="n">
        <v>0.28</v>
      </c>
      <c r="M70" s="9" t="n">
        <v>-0.85</v>
      </c>
      <c r="N70" s="9" t="n">
        <v>1.87</v>
      </c>
      <c r="O70" s="9" t="n">
        <v>0.84</v>
      </c>
      <c r="P70" s="9" t="n">
        <v>1.63</v>
      </c>
      <c r="Q70" s="9" t="n">
        <v>1.12</v>
      </c>
    </row>
    <row r="71">
      <c r="A71" s="8" t="inlineStr">
        <is>
          <t>2026-09-12</t>
        </is>
      </c>
      <c r="B71" s="8" t="inlineStr">
        <is>
          <t>Barnet</t>
        </is>
      </c>
      <c r="C71" s="8" t="inlineStr">
        <is>
          <t>Accrington Stanley</t>
        </is>
      </c>
      <c r="D71" s="8" t="n">
        <v>2</v>
      </c>
      <c r="E71" s="8" t="n">
        <v>1</v>
      </c>
      <c r="F71" s="10" t="n">
        <v>2.02</v>
      </c>
      <c r="G71" s="10" t="n">
        <v>1.04</v>
      </c>
      <c r="H71" s="10" t="n">
        <v>2.41</v>
      </c>
      <c r="I71" s="10" t="n">
        <v>0.6899999999999999</v>
      </c>
      <c r="J71" s="10" t="n">
        <v>0.39</v>
      </c>
      <c r="K71" s="10" t="n">
        <v>-0.35</v>
      </c>
      <c r="L71" s="10" t="n">
        <v>0.74</v>
      </c>
      <c r="M71" s="10" t="n">
        <v>0.04</v>
      </c>
      <c r="N71" s="10" t="n">
        <v>2.42</v>
      </c>
      <c r="O71" s="10" t="n">
        <v>0.42</v>
      </c>
      <c r="P71" s="10" t="n">
        <v>2.01</v>
      </c>
      <c r="Q71" s="10" t="n">
        <v>0.78</v>
      </c>
    </row>
    <row r="72">
      <c r="A72" s="6" t="inlineStr">
        <is>
          <t>2026-09-12</t>
        </is>
      </c>
      <c r="B72" s="6" t="inlineStr">
        <is>
          <t>Shrewsbury Town</t>
        </is>
      </c>
      <c r="C72" s="6" t="inlineStr">
        <is>
          <t>Northampton Town</t>
        </is>
      </c>
      <c r="D72" s="6" t="n">
        <v>2</v>
      </c>
      <c r="E72" s="6" t="n">
        <v>0</v>
      </c>
      <c r="F72" s="9" t="n">
        <v>1.2</v>
      </c>
      <c r="G72" s="9" t="n">
        <v>1.17</v>
      </c>
      <c r="H72" s="9" t="n">
        <v>0.87</v>
      </c>
      <c r="I72" s="9" t="n">
        <v>0.5</v>
      </c>
      <c r="J72" s="9" t="n">
        <v>-0.33</v>
      </c>
      <c r="K72" s="9" t="n">
        <v>-0.67</v>
      </c>
      <c r="L72" s="9" t="n">
        <v>0.34</v>
      </c>
      <c r="M72" s="9" t="n">
        <v>-1</v>
      </c>
      <c r="N72" s="9" t="n">
        <v>1.65</v>
      </c>
      <c r="O72" s="9" t="n">
        <v>0.98</v>
      </c>
      <c r="P72" s="9" t="n">
        <v>1.38</v>
      </c>
      <c r="Q72" s="9" t="n">
        <v>1.34</v>
      </c>
    </row>
    <row r="73">
      <c r="A73" s="8" t="inlineStr">
        <is>
          <t>2026-09-12</t>
        </is>
      </c>
      <c r="B73" s="8" t="inlineStr">
        <is>
          <t>York</t>
        </is>
      </c>
      <c r="C73" s="8" t="inlineStr">
        <is>
          <t>Swindon Town</t>
        </is>
      </c>
      <c r="D73" s="8" t="n">
        <v>4</v>
      </c>
      <c r="E73" s="8" t="n">
        <v>0</v>
      </c>
      <c r="F73" s="10" t="n">
        <v>2.02</v>
      </c>
      <c r="G73" s="10" t="n">
        <v>1.07</v>
      </c>
      <c r="H73" s="10" t="n">
        <v>2.59</v>
      </c>
      <c r="I73" s="10" t="n">
        <v>0.49</v>
      </c>
      <c r="J73" s="10" t="n">
        <v>0.57</v>
      </c>
      <c r="K73" s="10" t="n">
        <v>-0.58</v>
      </c>
      <c r="L73" s="10" t="n">
        <v>1.15</v>
      </c>
      <c r="M73" s="10" t="n">
        <v>-0.01</v>
      </c>
      <c r="N73" s="10" t="n">
        <v>2.6</v>
      </c>
      <c r="O73" s="10" t="n">
        <v>0.28</v>
      </c>
      <c r="P73" s="10" t="n">
        <v>1.99</v>
      </c>
      <c r="Q73" s="10" t="n">
        <v>0.8</v>
      </c>
    </row>
  </sheetData>
  <autoFilter ref="A1:Q73"/>
  <conditionalFormatting sqref="J2:J73">
    <cfRule type="colorScale" priority="1">
      <colorScale>
        <cfvo type="min"/>
        <cfvo type="num" val="0"/>
        <cfvo type="max"/>
        <color rgb="00F8696B"/>
        <color rgb="00FFFFFF"/>
        <color rgb="0063BE7B"/>
      </colorScale>
    </cfRule>
  </conditionalFormatting>
  <conditionalFormatting sqref="K2:K73">
    <cfRule type="colorScale" priority="2">
      <colorScale>
        <cfvo type="min"/>
        <cfvo type="num" val="0"/>
        <cfvo type="max"/>
        <color rgb="00F8696B"/>
        <color rgb="00FFFFFF"/>
        <color rgb="0063BE7B"/>
      </colorScale>
    </cfRule>
  </conditionalFormatting>
  <conditionalFormatting sqref="L2:L73">
    <cfRule type="colorScale" priority="3">
      <colorScale>
        <cfvo type="min"/>
        <cfvo type="num" val="0"/>
        <cfvo type="max"/>
        <color rgb="00F8696B"/>
        <color rgb="00FFFFFF"/>
        <color rgb="0063BE7B"/>
      </colorScale>
    </cfRule>
  </conditionalFormatting>
  <conditionalFormatting sqref="M2:M73">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Rotherham United</t>
        </is>
      </c>
      <c r="B3" s="9" t="n">
        <v>0.92</v>
      </c>
      <c r="C3" s="9" t="n">
        <v>1.35</v>
      </c>
      <c r="D3" s="9" t="n">
        <v>0.61</v>
      </c>
      <c r="E3" s="9" t="n">
        <v>1.16</v>
      </c>
      <c r="F3" s="9" t="n">
        <v>1.23</v>
      </c>
      <c r="G3" s="9" t="n">
        <v>1.54</v>
      </c>
    </row>
    <row r="4">
      <c r="A4" s="8" t="inlineStr">
        <is>
          <t>Shrewsbury Town</t>
        </is>
      </c>
      <c r="B4" s="10" t="n">
        <v>0.62</v>
      </c>
      <c r="C4" s="10" t="n">
        <v>0.45</v>
      </c>
      <c r="D4" s="10" t="n">
        <v>0.63</v>
      </c>
      <c r="E4" s="10" t="n">
        <v>0.34</v>
      </c>
      <c r="F4" s="10" t="n">
        <v>0.62</v>
      </c>
      <c r="G4" s="10" t="n">
        <v>0.48</v>
      </c>
    </row>
    <row r="5">
      <c r="A5" s="6" t="inlineStr">
        <is>
          <t>York</t>
        </is>
      </c>
      <c r="B5" s="9" t="n">
        <v>0.6</v>
      </c>
      <c r="C5" s="9" t="n">
        <v>0.89</v>
      </c>
      <c r="D5" s="9" t="n">
        <v>0.12</v>
      </c>
      <c r="E5" s="9" t="n">
        <v>-0.22</v>
      </c>
      <c r="F5" s="9" t="n">
        <v>1.08</v>
      </c>
      <c r="G5" s="9" t="n">
        <v>1.22</v>
      </c>
    </row>
    <row r="6">
      <c r="A6" s="8" t="inlineStr">
        <is>
          <t>Bristol Rvs</t>
        </is>
      </c>
      <c r="B6" s="10" t="n">
        <v>0.55</v>
      </c>
      <c r="C6" s="10" t="n">
        <v>0.55</v>
      </c>
      <c r="D6" s="10" t="n">
        <v>1.12</v>
      </c>
      <c r="E6" s="10" t="n">
        <v>1.48</v>
      </c>
      <c r="F6" s="10" t="n">
        <v>-0.02</v>
      </c>
      <c r="G6" s="10" t="n">
        <v>0.22</v>
      </c>
    </row>
    <row r="7">
      <c r="A7" s="6" t="inlineStr">
        <is>
          <t>Exeter</t>
        </is>
      </c>
      <c r="B7" s="9" t="n">
        <v>0.4</v>
      </c>
      <c r="C7" s="9" t="n">
        <v>0.58</v>
      </c>
      <c r="D7" s="9" t="n">
        <v>0.93</v>
      </c>
      <c r="E7" s="9" t="n">
        <v>1.06</v>
      </c>
      <c r="F7" s="9" t="n">
        <v>-0.12</v>
      </c>
      <c r="G7" s="9" t="n">
        <v>0</v>
      </c>
    </row>
    <row r="8">
      <c r="A8" s="8" t="inlineStr">
        <is>
          <t>Crawley Town</t>
        </is>
      </c>
      <c r="B8" s="10" t="n">
        <v>0.36</v>
      </c>
      <c r="C8" s="10" t="n">
        <v>-0.33</v>
      </c>
      <c r="D8" s="10" t="n">
        <v>-0.92</v>
      </c>
      <c r="E8" s="10" t="n">
        <v>-0.88</v>
      </c>
      <c r="F8" s="10" t="n">
        <v>1.65</v>
      </c>
      <c r="G8" s="10" t="n">
        <v>2.2</v>
      </c>
    </row>
    <row r="9">
      <c r="A9" s="6" t="inlineStr">
        <is>
          <t>Chesterfield</t>
        </is>
      </c>
      <c r="B9" s="9" t="n">
        <v>0.32</v>
      </c>
      <c r="C9" s="9" t="n">
        <v>0.46</v>
      </c>
      <c r="D9" s="9" t="n">
        <v>0.1</v>
      </c>
      <c r="E9" s="9" t="n">
        <v>0.38</v>
      </c>
      <c r="F9" s="9" t="n">
        <v>0.55</v>
      </c>
      <c r="G9" s="9" t="n">
        <v>1.49</v>
      </c>
    </row>
    <row r="10">
      <c r="A10" s="8" t="inlineStr">
        <is>
          <t>Accrington Stanley</t>
        </is>
      </c>
      <c r="B10" s="10" t="n">
        <v>0.29</v>
      </c>
      <c r="C10" s="10" t="n">
        <v>0.39</v>
      </c>
      <c r="D10" s="10" t="n">
        <v>0.98</v>
      </c>
      <c r="E10" s="10" t="n">
        <v>0.9399999999999999</v>
      </c>
      <c r="F10" s="10" t="n">
        <v>-0.39</v>
      </c>
      <c r="G10" s="10" t="n">
        <v>-0.74</v>
      </c>
    </row>
    <row r="11">
      <c r="A11" s="6" t="inlineStr">
        <is>
          <t>Walsall</t>
        </is>
      </c>
      <c r="B11" s="9" t="n">
        <v>0.29</v>
      </c>
      <c r="C11" s="9" t="n">
        <v>0.47</v>
      </c>
      <c r="D11" s="9" t="n">
        <v>0.09</v>
      </c>
      <c r="E11" s="9" t="n">
        <v>0.41</v>
      </c>
      <c r="F11" s="9" t="n">
        <v>0.49</v>
      </c>
      <c r="G11" s="9" t="n">
        <v>0.58</v>
      </c>
    </row>
    <row r="12">
      <c r="A12" s="8" t="inlineStr">
        <is>
          <t>Newport County</t>
        </is>
      </c>
      <c r="B12" s="10" t="n">
        <v>0.11</v>
      </c>
      <c r="C12" s="10" t="n">
        <v>0.35</v>
      </c>
      <c r="D12" s="10" t="n">
        <v>1.08</v>
      </c>
      <c r="E12" s="10" t="n">
        <v>1.18</v>
      </c>
      <c r="F12" s="10" t="n">
        <v>-0.85</v>
      </c>
      <c r="G12" s="10" t="n">
        <v>-0.73</v>
      </c>
    </row>
    <row r="13">
      <c r="A13" s="6" t="inlineStr">
        <is>
          <t>Gillingham</t>
        </is>
      </c>
      <c r="B13" s="9" t="n">
        <v>0.07000000000000001</v>
      </c>
      <c r="C13" s="9" t="n">
        <v>0.35</v>
      </c>
      <c r="D13" s="9" t="n">
        <v>-0.41</v>
      </c>
      <c r="E13" s="9" t="n">
        <v>0.22</v>
      </c>
      <c r="F13" s="9" t="n">
        <v>0.55</v>
      </c>
      <c r="G13" s="9" t="n">
        <v>0.65</v>
      </c>
    </row>
    <row r="14">
      <c r="A14" s="8" t="inlineStr">
        <is>
          <t>Grimsby Town</t>
        </is>
      </c>
      <c r="B14" s="10" t="n">
        <v>0.05</v>
      </c>
      <c r="C14" s="10" t="n">
        <v>-0.1</v>
      </c>
      <c r="D14" s="10" t="n">
        <v>0.61</v>
      </c>
      <c r="E14" s="10" t="n">
        <v>0.68</v>
      </c>
      <c r="F14" s="10" t="n">
        <v>-0.52</v>
      </c>
      <c r="G14" s="10" t="n">
        <v>-0.41</v>
      </c>
    </row>
    <row r="15">
      <c r="A15" s="6" t="inlineStr">
        <is>
          <t>Cheltenham Town</t>
        </is>
      </c>
      <c r="B15" s="9" t="n">
        <v>-0.01</v>
      </c>
      <c r="C15" s="9" t="n">
        <v>0.39</v>
      </c>
      <c r="D15" s="9" t="n">
        <v>-0.65</v>
      </c>
      <c r="E15" s="9" t="n">
        <v>-0.63</v>
      </c>
      <c r="F15" s="9" t="n">
        <v>0.63</v>
      </c>
      <c r="G15" s="9" t="n">
        <v>0.57</v>
      </c>
    </row>
    <row r="16">
      <c r="A16" s="8" t="inlineStr">
        <is>
          <t>Oldham Athletic</t>
        </is>
      </c>
      <c r="B16" s="10" t="n">
        <v>-0.03</v>
      </c>
      <c r="C16" s="10" t="n">
        <v>0.15</v>
      </c>
      <c r="D16" s="10" t="n">
        <v>0.52</v>
      </c>
      <c r="E16" s="10" t="n">
        <v>0.88</v>
      </c>
      <c r="F16" s="10" t="n">
        <v>-0.57</v>
      </c>
      <c r="G16" s="10" t="n">
        <v>-0.28</v>
      </c>
    </row>
    <row r="17">
      <c r="A17" s="6" t="inlineStr">
        <is>
          <t>Barnet</t>
        </is>
      </c>
      <c r="B17" s="9" t="n">
        <v>-0.11</v>
      </c>
      <c r="C17" s="9" t="n">
        <v>-0.05</v>
      </c>
      <c r="D17" s="9" t="n">
        <v>0.21</v>
      </c>
      <c r="E17" s="9" t="n">
        <v>0.46</v>
      </c>
      <c r="F17" s="9" t="n">
        <v>-0.42</v>
      </c>
      <c r="G17" s="9" t="n">
        <v>-0.61</v>
      </c>
    </row>
    <row r="18">
      <c r="A18" s="8" t="inlineStr">
        <is>
          <t>Port Vale</t>
        </is>
      </c>
      <c r="B18" s="10" t="n">
        <v>-0.15</v>
      </c>
      <c r="C18" s="10" t="n">
        <v>-0.06</v>
      </c>
      <c r="D18" s="10" t="n">
        <v>0.27</v>
      </c>
      <c r="E18" s="10" t="n">
        <v>0.31</v>
      </c>
      <c r="F18" s="10" t="n">
        <v>-0.57</v>
      </c>
      <c r="G18" s="10" t="n">
        <v>-0.88</v>
      </c>
    </row>
    <row r="19">
      <c r="A19" s="6" t="inlineStr">
        <is>
          <t>Crewe Alexandra</t>
        </is>
      </c>
      <c r="B19" s="9" t="n">
        <v>-0.16</v>
      </c>
      <c r="C19" s="9" t="n">
        <v>-0.43</v>
      </c>
      <c r="D19" s="9" t="n">
        <v>-0.8100000000000001</v>
      </c>
      <c r="E19" s="9" t="n">
        <v>-0.62</v>
      </c>
      <c r="F19" s="9" t="n">
        <v>0.49</v>
      </c>
      <c r="G19" s="9" t="n">
        <v>0.43</v>
      </c>
    </row>
    <row r="20">
      <c r="A20" s="8" t="inlineStr">
        <is>
          <t>Colchester United</t>
        </is>
      </c>
      <c r="B20" s="10" t="n">
        <v>-0.25</v>
      </c>
      <c r="C20" s="10" t="n">
        <v>-0.21</v>
      </c>
      <c r="D20" s="10" t="n">
        <v>0.8</v>
      </c>
      <c r="E20" s="10" t="n">
        <v>0.28</v>
      </c>
      <c r="F20" s="10" t="n">
        <v>-1.3</v>
      </c>
      <c r="G20" s="10" t="n">
        <v>-1.48</v>
      </c>
    </row>
    <row r="21">
      <c r="A21" s="6" t="inlineStr">
        <is>
          <t>Swindon Town</t>
        </is>
      </c>
      <c r="B21" s="9" t="n">
        <v>-0.32</v>
      </c>
      <c r="C21" s="9" t="n">
        <v>-0.47</v>
      </c>
      <c r="D21" s="9" t="n">
        <v>0.52</v>
      </c>
      <c r="E21" s="9" t="n">
        <v>0.51</v>
      </c>
      <c r="F21" s="9" t="n">
        <v>-1.17</v>
      </c>
      <c r="G21" s="9" t="n">
        <v>-1.15</v>
      </c>
    </row>
    <row r="22">
      <c r="A22" s="8" t="inlineStr">
        <is>
          <t>Tranmere Rovers</t>
        </is>
      </c>
      <c r="B22" s="10" t="n">
        <v>-0.39</v>
      </c>
      <c r="C22" s="10" t="n">
        <v>-0.27</v>
      </c>
      <c r="D22" s="10" t="n">
        <v>-0.57</v>
      </c>
      <c r="E22" s="10" t="n">
        <v>-0.42</v>
      </c>
      <c r="F22" s="10" t="n">
        <v>-0.2</v>
      </c>
      <c r="G22" s="10" t="n">
        <v>-0.22</v>
      </c>
    </row>
    <row r="23">
      <c r="A23" s="6" t="inlineStr">
        <is>
          <t>Northampton Town</t>
        </is>
      </c>
      <c r="B23" s="9" t="n">
        <v>-0.58</v>
      </c>
      <c r="C23" s="9" t="n">
        <v>-0.41</v>
      </c>
      <c r="D23" s="9" t="n">
        <v>-1.09</v>
      </c>
      <c r="E23" s="9" t="n">
        <v>-0.62</v>
      </c>
      <c r="F23" s="9" t="n">
        <v>-0.07000000000000001</v>
      </c>
      <c r="G23" s="9" t="n">
        <v>-0.34</v>
      </c>
    </row>
    <row r="24">
      <c r="A24" s="8" t="inlineStr">
        <is>
          <t>Salford City</t>
        </is>
      </c>
      <c r="B24" s="10" t="n">
        <v>-0.72</v>
      </c>
      <c r="C24" s="10" t="n">
        <v>-0.72</v>
      </c>
      <c r="D24" s="10" t="n">
        <v>-0.83</v>
      </c>
      <c r="E24" s="10" t="n">
        <v>-0.98</v>
      </c>
      <c r="F24" s="10" t="n">
        <v>-0.62</v>
      </c>
      <c r="G24" s="10" t="n">
        <v>-0.46</v>
      </c>
    </row>
    <row r="25">
      <c r="A25" s="6" t="inlineStr">
        <is>
          <t>Fleetwood Town</t>
        </is>
      </c>
      <c r="B25" s="9" t="n">
        <v>-0.79</v>
      </c>
      <c r="C25" s="9" t="n">
        <v>-0.62</v>
      </c>
      <c r="D25" s="9" t="n">
        <v>-0.57</v>
      </c>
      <c r="E25" s="9" t="n">
        <v>-0.59</v>
      </c>
      <c r="F25" s="9" t="n">
        <v>-1.01</v>
      </c>
      <c r="G25" s="9" t="n">
        <v>-0.68</v>
      </c>
    </row>
    <row r="26">
      <c r="A26" s="8" t="inlineStr">
        <is>
          <t>Rochdale</t>
        </is>
      </c>
      <c r="B26" s="10" t="n">
        <v>-1.09</v>
      </c>
      <c r="C26" s="10" t="n">
        <v>-1.07</v>
      </c>
      <c r="D26" s="10" t="n">
        <v>-1.57</v>
      </c>
      <c r="E26" s="10" t="n">
        <v>-1.53</v>
      </c>
      <c r="F26" s="10" t="n">
        <v>-0.6</v>
      </c>
      <c r="G26" s="10" t="n">
        <v>-0.53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Rotherham United</t>
        </is>
      </c>
      <c r="B30" s="6" t="n">
        <v>9</v>
      </c>
      <c r="C30" s="6" t="n">
        <v>10</v>
      </c>
      <c r="D30" s="6" t="n">
        <v>6</v>
      </c>
      <c r="E30" s="6" t="n">
        <v>5</v>
      </c>
      <c r="F30" s="6" t="n">
        <v>3</v>
      </c>
      <c r="G30" s="6" t="n">
        <v>5</v>
      </c>
    </row>
    <row r="31">
      <c r="A31" s="8" t="inlineStr">
        <is>
          <t>Shrewsbury Town</t>
        </is>
      </c>
      <c r="B31" s="8" t="n">
        <v>4</v>
      </c>
      <c r="C31" s="8" t="n">
        <v>10</v>
      </c>
      <c r="D31" s="8" t="n">
        <v>4</v>
      </c>
      <c r="E31" s="8" t="n">
        <v>3</v>
      </c>
      <c r="F31" s="8" t="n">
        <v>0</v>
      </c>
      <c r="G31" s="8" t="n">
        <v>7</v>
      </c>
    </row>
    <row r="32">
      <c r="A32" s="6" t="inlineStr">
        <is>
          <t>York</t>
        </is>
      </c>
      <c r="B32" s="6" t="n">
        <v>13</v>
      </c>
      <c r="C32" s="6" t="n">
        <v>8</v>
      </c>
      <c r="D32" s="6" t="n">
        <v>9</v>
      </c>
      <c r="E32" s="6" t="n">
        <v>3</v>
      </c>
      <c r="F32" s="6" t="n">
        <v>4</v>
      </c>
      <c r="G32" s="6" t="n">
        <v>5</v>
      </c>
    </row>
    <row r="33">
      <c r="A33" s="8" t="inlineStr">
        <is>
          <t>Bristol Rvs</t>
        </is>
      </c>
      <c r="B33" s="8" t="n">
        <v>12</v>
      </c>
      <c r="C33" s="8" t="n">
        <v>8</v>
      </c>
      <c r="D33" s="8" t="n">
        <v>8</v>
      </c>
      <c r="E33" s="8" t="n">
        <v>3</v>
      </c>
      <c r="F33" s="8" t="n">
        <v>4</v>
      </c>
      <c r="G33" s="8" t="n">
        <v>5</v>
      </c>
    </row>
    <row r="34">
      <c r="A34" s="6" t="inlineStr">
        <is>
          <t>Exeter</t>
        </is>
      </c>
      <c r="B34" s="6" t="n">
        <v>4</v>
      </c>
      <c r="C34" s="6" t="n">
        <v>5</v>
      </c>
      <c r="D34" s="6" t="n">
        <v>3</v>
      </c>
      <c r="E34" s="6" t="n">
        <v>1</v>
      </c>
      <c r="F34" s="6" t="n">
        <v>1</v>
      </c>
      <c r="G34" s="6" t="n">
        <v>4</v>
      </c>
    </row>
    <row r="35">
      <c r="A35" s="8" t="inlineStr">
        <is>
          <t>Crawley Town</t>
        </is>
      </c>
      <c r="B35" s="8" t="n">
        <v>6</v>
      </c>
      <c r="C35" s="8" t="n">
        <v>11</v>
      </c>
      <c r="D35" s="8" t="n">
        <v>1</v>
      </c>
      <c r="E35" s="8" t="n">
        <v>6</v>
      </c>
      <c r="F35" s="8" t="n">
        <v>5</v>
      </c>
      <c r="G35" s="8" t="n">
        <v>5</v>
      </c>
    </row>
    <row r="36">
      <c r="A36" s="6" t="inlineStr">
        <is>
          <t>Chesterfield</t>
        </is>
      </c>
      <c r="B36" s="6" t="n">
        <v>8</v>
      </c>
      <c r="C36" s="6" t="n">
        <v>8</v>
      </c>
      <c r="D36" s="6" t="n">
        <v>4</v>
      </c>
      <c r="E36" s="6" t="n">
        <v>5</v>
      </c>
      <c r="F36" s="6" t="n">
        <v>4</v>
      </c>
      <c r="G36" s="6" t="n">
        <v>3</v>
      </c>
    </row>
    <row r="37">
      <c r="A37" s="8" t="inlineStr">
        <is>
          <t>Accrington Stanley</t>
        </is>
      </c>
      <c r="B37" s="8" t="n">
        <v>10</v>
      </c>
      <c r="C37" s="8" t="n">
        <v>13</v>
      </c>
      <c r="D37" s="8" t="n">
        <v>7</v>
      </c>
      <c r="E37" s="8" t="n">
        <v>6</v>
      </c>
      <c r="F37" s="8" t="n">
        <v>3</v>
      </c>
      <c r="G37" s="8" t="n">
        <v>7</v>
      </c>
    </row>
    <row r="38">
      <c r="A38" s="6" t="inlineStr">
        <is>
          <t>Walsall</t>
        </is>
      </c>
      <c r="B38" s="6" t="n">
        <v>8</v>
      </c>
      <c r="C38" s="6" t="n">
        <v>4</v>
      </c>
      <c r="D38" s="6" t="n">
        <v>3</v>
      </c>
      <c r="E38" s="6" t="n">
        <v>2</v>
      </c>
      <c r="F38" s="6" t="n">
        <v>5</v>
      </c>
      <c r="G38" s="6" t="n">
        <v>2</v>
      </c>
    </row>
    <row r="39">
      <c r="A39" s="8" t="inlineStr">
        <is>
          <t>Newport County</t>
        </is>
      </c>
      <c r="B39" s="8" t="n">
        <v>10</v>
      </c>
      <c r="C39" s="8" t="n">
        <v>11</v>
      </c>
      <c r="D39" s="8" t="n">
        <v>6</v>
      </c>
      <c r="E39" s="8" t="n">
        <v>3</v>
      </c>
      <c r="F39" s="8" t="n">
        <v>4</v>
      </c>
      <c r="G39" s="8" t="n">
        <v>8</v>
      </c>
    </row>
    <row r="40">
      <c r="A40" s="6" t="inlineStr">
        <is>
          <t>Gillingham</t>
        </is>
      </c>
      <c r="B40" s="6" t="n">
        <v>8</v>
      </c>
      <c r="C40" s="6" t="n">
        <v>6</v>
      </c>
      <c r="D40" s="6" t="n">
        <v>3</v>
      </c>
      <c r="E40" s="6" t="n">
        <v>4</v>
      </c>
      <c r="F40" s="6" t="n">
        <v>5</v>
      </c>
      <c r="G40" s="6" t="n">
        <v>2</v>
      </c>
    </row>
    <row r="41">
      <c r="A41" s="8" t="inlineStr">
        <is>
          <t>Grimsby Town</t>
        </is>
      </c>
      <c r="B41" s="8" t="n">
        <v>9</v>
      </c>
      <c r="C41" s="8" t="n">
        <v>6</v>
      </c>
      <c r="D41" s="8" t="n">
        <v>5</v>
      </c>
      <c r="E41" s="8" t="n">
        <v>2</v>
      </c>
      <c r="F41" s="8" t="n">
        <v>4</v>
      </c>
      <c r="G41" s="8" t="n">
        <v>4</v>
      </c>
    </row>
    <row r="42">
      <c r="A42" s="6" t="inlineStr">
        <is>
          <t>Cheltenham Town</t>
        </is>
      </c>
      <c r="B42" s="6" t="n">
        <v>13</v>
      </c>
      <c r="C42" s="6" t="n">
        <v>10</v>
      </c>
      <c r="D42" s="6" t="n">
        <v>7</v>
      </c>
      <c r="E42" s="6" t="n">
        <v>5</v>
      </c>
      <c r="F42" s="6" t="n">
        <v>6</v>
      </c>
      <c r="G42" s="6" t="n">
        <v>5</v>
      </c>
    </row>
    <row r="43">
      <c r="A43" s="8" t="inlineStr">
        <is>
          <t>Oldham Athletic</t>
        </is>
      </c>
      <c r="B43" s="8" t="n">
        <v>8</v>
      </c>
      <c r="C43" s="8" t="n">
        <v>7</v>
      </c>
      <c r="D43" s="8" t="n">
        <v>6</v>
      </c>
      <c r="E43" s="8" t="n">
        <v>2</v>
      </c>
      <c r="F43" s="8" t="n">
        <v>2</v>
      </c>
      <c r="G43" s="8" t="n">
        <v>5</v>
      </c>
    </row>
    <row r="44">
      <c r="A44" s="6" t="inlineStr">
        <is>
          <t>Barnet</t>
        </is>
      </c>
      <c r="B44" s="6" t="n">
        <v>14</v>
      </c>
      <c r="C44" s="6" t="n">
        <v>9</v>
      </c>
      <c r="D44" s="6" t="n">
        <v>7</v>
      </c>
      <c r="E44" s="6" t="n">
        <v>4</v>
      </c>
      <c r="F44" s="6" t="n">
        <v>7</v>
      </c>
      <c r="G44" s="6" t="n">
        <v>5</v>
      </c>
    </row>
    <row r="45">
      <c r="A45" s="8" t="inlineStr">
        <is>
          <t>Port Vale</t>
        </is>
      </c>
      <c r="B45" s="8" t="n">
        <v>3</v>
      </c>
      <c r="C45" s="8" t="n">
        <v>7</v>
      </c>
      <c r="D45" s="8" t="n">
        <v>2</v>
      </c>
      <c r="E45" s="8" t="n">
        <v>1</v>
      </c>
      <c r="F45" s="8" t="n">
        <v>1</v>
      </c>
      <c r="G45" s="8" t="n">
        <v>6</v>
      </c>
    </row>
    <row r="46">
      <c r="A46" s="6" t="inlineStr">
        <is>
          <t>Crewe Alexandra</t>
        </is>
      </c>
      <c r="B46" s="6" t="n">
        <v>6</v>
      </c>
      <c r="C46" s="6" t="n">
        <v>4</v>
      </c>
      <c r="D46" s="6" t="n">
        <v>4</v>
      </c>
      <c r="E46" s="6" t="n">
        <v>3</v>
      </c>
      <c r="F46" s="6" t="n">
        <v>2</v>
      </c>
      <c r="G46" s="6" t="n">
        <v>1</v>
      </c>
    </row>
    <row r="47">
      <c r="A47" s="8" t="inlineStr">
        <is>
          <t>Colchester United</t>
        </is>
      </c>
      <c r="B47" s="8" t="n">
        <v>7</v>
      </c>
      <c r="C47" s="8" t="n">
        <v>9</v>
      </c>
      <c r="D47" s="8" t="n">
        <v>4</v>
      </c>
      <c r="E47" s="8" t="n">
        <v>2</v>
      </c>
      <c r="F47" s="8" t="n">
        <v>3</v>
      </c>
      <c r="G47" s="8" t="n">
        <v>7</v>
      </c>
    </row>
    <row r="48">
      <c r="A48" s="6" t="inlineStr">
        <is>
          <t>Swindon Town</t>
        </is>
      </c>
      <c r="B48" s="6" t="n">
        <v>8</v>
      </c>
      <c r="C48" s="6" t="n">
        <v>10</v>
      </c>
      <c r="D48" s="6" t="n">
        <v>8</v>
      </c>
      <c r="E48" s="6" t="n">
        <v>3</v>
      </c>
      <c r="F48" s="6" t="n">
        <v>0</v>
      </c>
      <c r="G48" s="6" t="n">
        <v>7</v>
      </c>
    </row>
    <row r="49">
      <c r="A49" s="8" t="inlineStr">
        <is>
          <t>Tranmere Rovers</t>
        </is>
      </c>
      <c r="B49" s="8" t="n">
        <v>9</v>
      </c>
      <c r="C49" s="8" t="n">
        <v>7</v>
      </c>
      <c r="D49" s="8" t="n">
        <v>6</v>
      </c>
      <c r="E49" s="8" t="n">
        <v>2</v>
      </c>
      <c r="F49" s="8" t="n">
        <v>3</v>
      </c>
      <c r="G49" s="8" t="n">
        <v>5</v>
      </c>
    </row>
    <row r="50">
      <c r="A50" s="6" t="inlineStr">
        <is>
          <t>Northampton Town</t>
        </is>
      </c>
      <c r="B50" s="6" t="n">
        <v>3</v>
      </c>
      <c r="C50" s="6" t="n">
        <v>5</v>
      </c>
      <c r="D50" s="6" t="n">
        <v>2</v>
      </c>
      <c r="E50" s="6" t="n">
        <v>1</v>
      </c>
      <c r="F50" s="6" t="n">
        <v>1</v>
      </c>
      <c r="G50" s="6" t="n">
        <v>4</v>
      </c>
    </row>
    <row r="51">
      <c r="A51" s="8" t="inlineStr">
        <is>
          <t>Salford City</t>
        </is>
      </c>
      <c r="B51" s="8" t="n">
        <v>7</v>
      </c>
      <c r="C51" s="8" t="n">
        <v>9</v>
      </c>
      <c r="D51" s="8" t="n">
        <v>3</v>
      </c>
      <c r="E51" s="8" t="n">
        <v>2</v>
      </c>
      <c r="F51" s="8" t="n">
        <v>4</v>
      </c>
      <c r="G51" s="8" t="n">
        <v>7</v>
      </c>
    </row>
    <row r="52">
      <c r="A52" s="6" t="inlineStr">
        <is>
          <t>Fleetwood Town</t>
        </is>
      </c>
      <c r="B52" s="6" t="n">
        <v>7</v>
      </c>
      <c r="C52" s="6" t="n">
        <v>4</v>
      </c>
      <c r="D52" s="6" t="n">
        <v>3</v>
      </c>
      <c r="E52" s="6" t="n">
        <v>1</v>
      </c>
      <c r="F52" s="6" t="n">
        <v>4</v>
      </c>
      <c r="G52" s="6" t="n">
        <v>3</v>
      </c>
    </row>
    <row r="53">
      <c r="A53" s="8" t="inlineStr">
        <is>
          <t>Rochdale</t>
        </is>
      </c>
      <c r="B53" s="8" t="n">
        <v>5</v>
      </c>
      <c r="C53" s="8" t="n">
        <v>10</v>
      </c>
      <c r="D53" s="8" t="n">
        <v>5</v>
      </c>
      <c r="E53" s="8" t="n">
        <v>6</v>
      </c>
      <c r="F53" s="8" t="n">
        <v>0</v>
      </c>
      <c r="G53" s="8" t="n">
        <v>4</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Rotherham United</t>
        </is>
      </c>
      <c r="B2" s="14">
        <f>'Rotherham United'!$E$21</f>
        <v/>
      </c>
      <c r="C2" s="9">
        <f>'Rotherham United'!$R$2</f>
        <v/>
      </c>
      <c r="D2" s="9">
        <f>'Rotherham United'!$R$3</f>
        <v/>
      </c>
      <c r="E2" s="9">
        <f>'Rotherham United'!$R$4</f>
        <v/>
      </c>
      <c r="F2" s="9">
        <f>'Rotherham United'!$R$5</f>
        <v/>
      </c>
      <c r="G2" s="9">
        <f>'Rotherham United'!$R$6</f>
        <v/>
      </c>
      <c r="H2" s="9">
        <f>'Rotherham United'!$R$7</f>
        <v/>
      </c>
    </row>
    <row r="3">
      <c r="A3" s="6" t="inlineStr">
        <is>
          <t>Shrewsbury Town</t>
        </is>
      </c>
      <c r="B3" s="14">
        <f>'Shrewsbury Town'!$E$21</f>
        <v/>
      </c>
      <c r="C3" s="9">
        <f>'Shrewsbury Town'!$R$2</f>
        <v/>
      </c>
      <c r="D3" s="9">
        <f>'Shrewsbury Town'!$R$3</f>
        <v/>
      </c>
      <c r="E3" s="9">
        <f>'Shrewsbury Town'!$R$4</f>
        <v/>
      </c>
      <c r="F3" s="9">
        <f>'Shrewsbury Town'!$R$5</f>
        <v/>
      </c>
      <c r="G3" s="9">
        <f>'Shrewsbury Town'!$R$6</f>
        <v/>
      </c>
      <c r="H3" s="9">
        <f>'Shrewsbury Town'!$R$7</f>
        <v/>
      </c>
    </row>
    <row r="4">
      <c r="A4" s="6" t="inlineStr">
        <is>
          <t>York</t>
        </is>
      </c>
      <c r="B4" s="14">
        <f>'York'!$E$21</f>
        <v/>
      </c>
      <c r="C4" s="9">
        <f>'York'!$R$2</f>
        <v/>
      </c>
      <c r="D4" s="9">
        <f>'York'!$R$3</f>
        <v/>
      </c>
      <c r="E4" s="9">
        <f>'York'!$R$4</f>
        <v/>
      </c>
      <c r="F4" s="9">
        <f>'York'!$R$5</f>
        <v/>
      </c>
      <c r="G4" s="9">
        <f>'York'!$R$6</f>
        <v/>
      </c>
      <c r="H4" s="9">
        <f>'York'!$R$7</f>
        <v/>
      </c>
    </row>
    <row r="5">
      <c r="A5" s="6" t="inlineStr">
        <is>
          <t>Bristol Rvs</t>
        </is>
      </c>
      <c r="B5" s="14">
        <f>'Bristol Rvs'!$E$21</f>
        <v/>
      </c>
      <c r="C5" s="9">
        <f>'Bristol Rvs'!$R$2</f>
        <v/>
      </c>
      <c r="D5" s="9">
        <f>'Bristol Rvs'!$R$3</f>
        <v/>
      </c>
      <c r="E5" s="9">
        <f>'Bristol Rvs'!$R$4</f>
        <v/>
      </c>
      <c r="F5" s="9">
        <f>'Bristol Rvs'!$R$5</f>
        <v/>
      </c>
      <c r="G5" s="9">
        <f>'Bristol Rvs'!$R$6</f>
        <v/>
      </c>
      <c r="H5" s="9">
        <f>'Bristol Rvs'!$R$7</f>
        <v/>
      </c>
    </row>
    <row r="6">
      <c r="A6" s="6" t="inlineStr">
        <is>
          <t>Exeter</t>
        </is>
      </c>
      <c r="B6" s="14">
        <f>'Exeter'!$E$21</f>
        <v/>
      </c>
      <c r="C6" s="9">
        <f>'Exeter'!$R$2</f>
        <v/>
      </c>
      <c r="D6" s="9">
        <f>'Exeter'!$R$3</f>
        <v/>
      </c>
      <c r="E6" s="9">
        <f>'Exeter'!$R$4</f>
        <v/>
      </c>
      <c r="F6" s="9">
        <f>'Exeter'!$R$5</f>
        <v/>
      </c>
      <c r="G6" s="9">
        <f>'Exeter'!$R$6</f>
        <v/>
      </c>
      <c r="H6" s="9">
        <f>'Exeter'!$R$7</f>
        <v/>
      </c>
    </row>
    <row r="7">
      <c r="A7" s="6" t="inlineStr">
        <is>
          <t>Crawley Town</t>
        </is>
      </c>
      <c r="B7" s="14">
        <f>'Crawley Town'!$E$21</f>
        <v/>
      </c>
      <c r="C7" s="9">
        <f>'Crawley Town'!$R$2</f>
        <v/>
      </c>
      <c r="D7" s="9">
        <f>'Crawley Town'!$R$3</f>
        <v/>
      </c>
      <c r="E7" s="9">
        <f>'Crawley Town'!$R$4</f>
        <v/>
      </c>
      <c r="F7" s="9">
        <f>'Crawley Town'!$R$5</f>
        <v/>
      </c>
      <c r="G7" s="9">
        <f>'Crawley Town'!$R$6</f>
        <v/>
      </c>
      <c r="H7" s="9">
        <f>'Crawley Town'!$R$7</f>
        <v/>
      </c>
    </row>
    <row r="8">
      <c r="A8" s="6" t="inlineStr">
        <is>
          <t>Chesterfield</t>
        </is>
      </c>
      <c r="B8" s="14">
        <f>'Chesterfield'!$E$21</f>
        <v/>
      </c>
      <c r="C8" s="9">
        <f>'Chesterfield'!$R$2</f>
        <v/>
      </c>
      <c r="D8" s="9">
        <f>'Chesterfield'!$R$3</f>
        <v/>
      </c>
      <c r="E8" s="9">
        <f>'Chesterfield'!$R$4</f>
        <v/>
      </c>
      <c r="F8" s="9">
        <f>'Chesterfield'!$R$5</f>
        <v/>
      </c>
      <c r="G8" s="9">
        <f>'Chesterfield'!$R$6</f>
        <v/>
      </c>
      <c r="H8" s="9">
        <f>'Chesterfield'!$R$7</f>
        <v/>
      </c>
    </row>
    <row r="9">
      <c r="A9" s="6" t="inlineStr">
        <is>
          <t>Accrington Stanley</t>
        </is>
      </c>
      <c r="B9" s="14">
        <f>'Accrington Stanley'!$E$21</f>
        <v/>
      </c>
      <c r="C9" s="9">
        <f>'Accrington Stanley'!$R$2</f>
        <v/>
      </c>
      <c r="D9" s="9">
        <f>'Accrington Stanley'!$R$3</f>
        <v/>
      </c>
      <c r="E9" s="9">
        <f>'Accrington Stanley'!$R$4</f>
        <v/>
      </c>
      <c r="F9" s="9">
        <f>'Accrington Stanley'!$R$5</f>
        <v/>
      </c>
      <c r="G9" s="9">
        <f>'Accrington Stanley'!$R$6</f>
        <v/>
      </c>
      <c r="H9" s="9">
        <f>'Accrington Stanley'!$R$7</f>
        <v/>
      </c>
    </row>
    <row r="10">
      <c r="A10" s="6" t="inlineStr">
        <is>
          <t>Walsall</t>
        </is>
      </c>
      <c r="B10" s="14">
        <f>'Walsall'!$E$21</f>
        <v/>
      </c>
      <c r="C10" s="9">
        <f>'Walsall'!$R$2</f>
        <v/>
      </c>
      <c r="D10" s="9">
        <f>'Walsall'!$R$3</f>
        <v/>
      </c>
      <c r="E10" s="9">
        <f>'Walsall'!$R$4</f>
        <v/>
      </c>
      <c r="F10" s="9">
        <f>'Walsall'!$R$5</f>
        <v/>
      </c>
      <c r="G10" s="9">
        <f>'Walsall'!$R$6</f>
        <v/>
      </c>
      <c r="H10" s="9">
        <f>'Walsall'!$R$7</f>
        <v/>
      </c>
    </row>
    <row r="11">
      <c r="A11" s="6" t="inlineStr">
        <is>
          <t>Newport County</t>
        </is>
      </c>
      <c r="B11" s="14">
        <f>'Newport County'!$E$21</f>
        <v/>
      </c>
      <c r="C11" s="9">
        <f>'Newport County'!$R$2</f>
        <v/>
      </c>
      <c r="D11" s="9">
        <f>'Newport County'!$R$3</f>
        <v/>
      </c>
      <c r="E11" s="9">
        <f>'Newport County'!$R$4</f>
        <v/>
      </c>
      <c r="F11" s="9">
        <f>'Newport County'!$R$5</f>
        <v/>
      </c>
      <c r="G11" s="9">
        <f>'Newport County'!$R$6</f>
        <v/>
      </c>
      <c r="H11" s="9">
        <f>'Newport County'!$R$7</f>
        <v/>
      </c>
    </row>
    <row r="12">
      <c r="A12" s="6" t="inlineStr">
        <is>
          <t>Gillingham</t>
        </is>
      </c>
      <c r="B12" s="14">
        <f>'Gillingham'!$E$21</f>
        <v/>
      </c>
      <c r="C12" s="9">
        <f>'Gillingham'!$R$2</f>
        <v/>
      </c>
      <c r="D12" s="9">
        <f>'Gillingham'!$R$3</f>
        <v/>
      </c>
      <c r="E12" s="9">
        <f>'Gillingham'!$R$4</f>
        <v/>
      </c>
      <c r="F12" s="9">
        <f>'Gillingham'!$R$5</f>
        <v/>
      </c>
      <c r="G12" s="9">
        <f>'Gillingham'!$R$6</f>
        <v/>
      </c>
      <c r="H12" s="9">
        <f>'Gillingham'!$R$7</f>
        <v/>
      </c>
    </row>
    <row r="13">
      <c r="A13" s="6" t="inlineStr">
        <is>
          <t>Grimsby Town</t>
        </is>
      </c>
      <c r="B13" s="14">
        <f>'Grimsby Town'!$E$21</f>
        <v/>
      </c>
      <c r="C13" s="9">
        <f>'Grimsby Town'!$R$2</f>
        <v/>
      </c>
      <c r="D13" s="9">
        <f>'Grimsby Town'!$R$3</f>
        <v/>
      </c>
      <c r="E13" s="9">
        <f>'Grimsby Town'!$R$4</f>
        <v/>
      </c>
      <c r="F13" s="9">
        <f>'Grimsby Town'!$R$5</f>
        <v/>
      </c>
      <c r="G13" s="9">
        <f>'Grimsby Town'!$R$6</f>
        <v/>
      </c>
      <c r="H13" s="9">
        <f>'Grimsby Town'!$R$7</f>
        <v/>
      </c>
    </row>
    <row r="14">
      <c r="A14" s="6" t="inlineStr">
        <is>
          <t>Cheltenham Town</t>
        </is>
      </c>
      <c r="B14" s="14">
        <f>'Cheltenham Town'!$E$21</f>
        <v/>
      </c>
      <c r="C14" s="9">
        <f>'Cheltenham Town'!$R$2</f>
        <v/>
      </c>
      <c r="D14" s="9">
        <f>'Cheltenham Town'!$R$3</f>
        <v/>
      </c>
      <c r="E14" s="9">
        <f>'Cheltenham Town'!$R$4</f>
        <v/>
      </c>
      <c r="F14" s="9">
        <f>'Cheltenham Town'!$R$5</f>
        <v/>
      </c>
      <c r="G14" s="9">
        <f>'Cheltenham Town'!$R$6</f>
        <v/>
      </c>
      <c r="H14" s="9">
        <f>'Cheltenham Town'!$R$7</f>
        <v/>
      </c>
    </row>
    <row r="15">
      <c r="A15" s="6" t="inlineStr">
        <is>
          <t>Oldham Athletic</t>
        </is>
      </c>
      <c r="B15" s="14">
        <f>'Oldham Athletic'!$E$21</f>
        <v/>
      </c>
      <c r="C15" s="9">
        <f>'Oldham Athletic'!$R$2</f>
        <v/>
      </c>
      <c r="D15" s="9">
        <f>'Oldham Athletic'!$R$3</f>
        <v/>
      </c>
      <c r="E15" s="9">
        <f>'Oldham Athletic'!$R$4</f>
        <v/>
      </c>
      <c r="F15" s="9">
        <f>'Oldham Athletic'!$R$5</f>
        <v/>
      </c>
      <c r="G15" s="9">
        <f>'Oldham Athletic'!$R$6</f>
        <v/>
      </c>
      <c r="H15" s="9">
        <f>'Oldham Athletic'!$R$7</f>
        <v/>
      </c>
    </row>
    <row r="16">
      <c r="A16" s="6" t="inlineStr">
        <is>
          <t>Barnet</t>
        </is>
      </c>
      <c r="B16" s="14">
        <f>'Barnet'!$E$21</f>
        <v/>
      </c>
      <c r="C16" s="9">
        <f>'Barnet'!$R$2</f>
        <v/>
      </c>
      <c r="D16" s="9">
        <f>'Barnet'!$R$3</f>
        <v/>
      </c>
      <c r="E16" s="9">
        <f>'Barnet'!$R$4</f>
        <v/>
      </c>
      <c r="F16" s="9">
        <f>'Barnet'!$R$5</f>
        <v/>
      </c>
      <c r="G16" s="9">
        <f>'Barnet'!$R$6</f>
        <v/>
      </c>
      <c r="H16" s="9">
        <f>'Barnet'!$R$7</f>
        <v/>
      </c>
    </row>
    <row r="17">
      <c r="A17" s="6" t="inlineStr">
        <is>
          <t>Port Vale</t>
        </is>
      </c>
      <c r="B17" s="14">
        <f>'Port Vale'!$E$21</f>
        <v/>
      </c>
      <c r="C17" s="9">
        <f>'Port Vale'!$R$2</f>
        <v/>
      </c>
      <c r="D17" s="9">
        <f>'Port Vale'!$R$3</f>
        <v/>
      </c>
      <c r="E17" s="9">
        <f>'Port Vale'!$R$4</f>
        <v/>
      </c>
      <c r="F17" s="9">
        <f>'Port Vale'!$R$5</f>
        <v/>
      </c>
      <c r="G17" s="9">
        <f>'Port Vale'!$R$6</f>
        <v/>
      </c>
      <c r="H17" s="9">
        <f>'Port Vale'!$R$7</f>
        <v/>
      </c>
    </row>
    <row r="18">
      <c r="A18" s="6" t="inlineStr">
        <is>
          <t>Crewe Alexandra</t>
        </is>
      </c>
      <c r="B18" s="14">
        <f>'Crewe Alexandra'!$E$21</f>
        <v/>
      </c>
      <c r="C18" s="9">
        <f>'Crewe Alexandra'!$R$2</f>
        <v/>
      </c>
      <c r="D18" s="9">
        <f>'Crewe Alexandra'!$R$3</f>
        <v/>
      </c>
      <c r="E18" s="9">
        <f>'Crewe Alexandra'!$R$4</f>
        <v/>
      </c>
      <c r="F18" s="9">
        <f>'Crewe Alexandra'!$R$5</f>
        <v/>
      </c>
      <c r="G18" s="9">
        <f>'Crewe Alexandra'!$R$6</f>
        <v/>
      </c>
      <c r="H18" s="9">
        <f>'Crewe Alexandra'!$R$7</f>
        <v/>
      </c>
    </row>
    <row r="19">
      <c r="A19" s="6" t="inlineStr">
        <is>
          <t>Colchester United</t>
        </is>
      </c>
      <c r="B19" s="14">
        <f>'Colchester United'!$E$21</f>
        <v/>
      </c>
      <c r="C19" s="9">
        <f>'Colchester United'!$R$2</f>
        <v/>
      </c>
      <c r="D19" s="9">
        <f>'Colchester United'!$R$3</f>
        <v/>
      </c>
      <c r="E19" s="9">
        <f>'Colchester United'!$R$4</f>
        <v/>
      </c>
      <c r="F19" s="9">
        <f>'Colchester United'!$R$5</f>
        <v/>
      </c>
      <c r="G19" s="9">
        <f>'Colchester United'!$R$6</f>
        <v/>
      </c>
      <c r="H19" s="9">
        <f>'Colchester United'!$R$7</f>
        <v/>
      </c>
    </row>
    <row r="20">
      <c r="A20" s="6" t="inlineStr">
        <is>
          <t>Swindon Town</t>
        </is>
      </c>
      <c r="B20" s="14">
        <f>'Swindon Town'!$E$21</f>
        <v/>
      </c>
      <c r="C20" s="9">
        <f>'Swindon Town'!$R$2</f>
        <v/>
      </c>
      <c r="D20" s="9">
        <f>'Swindon Town'!$R$3</f>
        <v/>
      </c>
      <c r="E20" s="9">
        <f>'Swindon Town'!$R$4</f>
        <v/>
      </c>
      <c r="F20" s="9">
        <f>'Swindon Town'!$R$5</f>
        <v/>
      </c>
      <c r="G20" s="9">
        <f>'Swindon Town'!$R$6</f>
        <v/>
      </c>
      <c r="H20" s="9">
        <f>'Swindon Town'!$R$7</f>
        <v/>
      </c>
    </row>
    <row r="21">
      <c r="A21" s="6" t="inlineStr">
        <is>
          <t>Tranmere Rovers</t>
        </is>
      </c>
      <c r="B21" s="14">
        <f>'Tranmere Rovers'!$E$21</f>
        <v/>
      </c>
      <c r="C21" s="9">
        <f>'Tranmere Rovers'!$R$2</f>
        <v/>
      </c>
      <c r="D21" s="9">
        <f>'Tranmere Rovers'!$R$3</f>
        <v/>
      </c>
      <c r="E21" s="9">
        <f>'Tranmere Rovers'!$R$4</f>
        <v/>
      </c>
      <c r="F21" s="9">
        <f>'Tranmere Rovers'!$R$5</f>
        <v/>
      </c>
      <c r="G21" s="9">
        <f>'Tranmere Rovers'!$R$6</f>
        <v/>
      </c>
      <c r="H21" s="9">
        <f>'Tranmere Rovers'!$R$7</f>
        <v/>
      </c>
    </row>
    <row r="22">
      <c r="A22" s="6" t="inlineStr">
        <is>
          <t>Northampton Town</t>
        </is>
      </c>
      <c r="B22" s="14">
        <f>'Northampton Town'!$E$21</f>
        <v/>
      </c>
      <c r="C22" s="9">
        <f>'Northampton Town'!$R$2</f>
        <v/>
      </c>
      <c r="D22" s="9">
        <f>'Northampton Town'!$R$3</f>
        <v/>
      </c>
      <c r="E22" s="9">
        <f>'Northampton Town'!$R$4</f>
        <v/>
      </c>
      <c r="F22" s="9">
        <f>'Northampton Town'!$R$5</f>
        <v/>
      </c>
      <c r="G22" s="9">
        <f>'Northampton Town'!$R$6</f>
        <v/>
      </c>
      <c r="H22" s="9">
        <f>'Northampton Town'!$R$7</f>
        <v/>
      </c>
    </row>
    <row r="23">
      <c r="A23" s="6" t="inlineStr">
        <is>
          <t>Salford City</t>
        </is>
      </c>
      <c r="B23" s="14">
        <f>'Salford City'!$E$21</f>
        <v/>
      </c>
      <c r="C23" s="9">
        <f>'Salford City'!$R$2</f>
        <v/>
      </c>
      <c r="D23" s="9">
        <f>'Salford City'!$R$3</f>
        <v/>
      </c>
      <c r="E23" s="9">
        <f>'Salford City'!$R$4</f>
        <v/>
      </c>
      <c r="F23" s="9">
        <f>'Salford City'!$R$5</f>
        <v/>
      </c>
      <c r="G23" s="9">
        <f>'Salford City'!$R$6</f>
        <v/>
      </c>
      <c r="H23" s="9">
        <f>'Salford City'!$R$7</f>
        <v/>
      </c>
    </row>
    <row r="24">
      <c r="A24" s="6" t="inlineStr">
        <is>
          <t>Fleetwood Town</t>
        </is>
      </c>
      <c r="B24" s="14">
        <f>'Fleetwood Town'!$E$21</f>
        <v/>
      </c>
      <c r="C24" s="9">
        <f>'Fleetwood Town'!$R$2</f>
        <v/>
      </c>
      <c r="D24" s="9">
        <f>'Fleetwood Town'!$R$3</f>
        <v/>
      </c>
      <c r="E24" s="9">
        <f>'Fleetwood Town'!$R$4</f>
        <v/>
      </c>
      <c r="F24" s="9">
        <f>'Fleetwood Town'!$R$5</f>
        <v/>
      </c>
      <c r="G24" s="9">
        <f>'Fleetwood Town'!$R$6</f>
        <v/>
      </c>
      <c r="H24" s="9">
        <f>'Fleetwood Town'!$R$7</f>
        <v/>
      </c>
    </row>
    <row r="25">
      <c r="A25" s="6" t="inlineStr">
        <is>
          <t>Rochdale</t>
        </is>
      </c>
      <c r="B25" s="14">
        <f>'Rochdale'!$E$21</f>
        <v/>
      </c>
      <c r="C25" s="9">
        <f>'Rochdale'!$R$2</f>
        <v/>
      </c>
      <c r="D25" s="9">
        <f>'Rochdale'!$R$3</f>
        <v/>
      </c>
      <c r="E25" s="9">
        <f>'Rochdale'!$R$4</f>
        <v/>
      </c>
      <c r="F25" s="9">
        <f>'Rochdale'!$R$5</f>
        <v/>
      </c>
      <c r="G25" s="9">
        <f>'Rochdale'!$R$6</f>
        <v/>
      </c>
      <c r="H25" s="9">
        <f>'Rochdale'!$R$7</f>
        <v/>
      </c>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H1</t>
        </is>
      </c>
      <c r="D1" s="4" t="inlineStr">
        <is>
          <t>H2</t>
        </is>
      </c>
      <c r="E1" s="4" t="inlineStr">
        <is>
          <t>H3</t>
        </is>
      </c>
    </row>
    <row r="2">
      <c r="A2" s="6" t="inlineStr">
        <is>
          <t>Bristol Rvs</t>
        </is>
      </c>
      <c r="B2" s="14" t="n">
        <v>1.12</v>
      </c>
      <c r="C2" s="9" t="n">
        <v>2.44</v>
      </c>
      <c r="D2" s="9" t="n">
        <v>1.48</v>
      </c>
      <c r="E2" s="9" t="n">
        <v>-0.57</v>
      </c>
    </row>
    <row r="3">
      <c r="A3" s="6" t="inlineStr">
        <is>
          <t>Newport County</t>
        </is>
      </c>
      <c r="B3" s="14" t="n">
        <v>1.08</v>
      </c>
      <c r="C3" s="9" t="n">
        <v>1.18</v>
      </c>
      <c r="D3" s="9" t="n">
        <v>0.08</v>
      </c>
      <c r="E3" s="9" t="n">
        <v>1.97</v>
      </c>
    </row>
    <row r="4">
      <c r="A4" s="6" t="inlineStr">
        <is>
          <t>Accrington Stanley</t>
        </is>
      </c>
      <c r="B4" s="14" t="n">
        <v>0.98</v>
      </c>
      <c r="C4" s="9" t="n">
        <v>1.9</v>
      </c>
      <c r="D4" s="9" t="n">
        <v>0.9399999999999999</v>
      </c>
      <c r="E4" s="9" t="n">
        <v>0.09</v>
      </c>
    </row>
    <row r="5">
      <c r="A5" s="6" t="inlineStr">
        <is>
          <t>Exeter</t>
        </is>
      </c>
      <c r="B5" s="14" t="n">
        <v>0.93</v>
      </c>
      <c r="C5" s="9" t="n">
        <v>1.11</v>
      </c>
      <c r="D5" s="9" t="n">
        <v>0.61</v>
      </c>
      <c r="E5" s="9" t="n">
        <v>1.06</v>
      </c>
    </row>
    <row r="6">
      <c r="A6" s="6" t="inlineStr">
        <is>
          <t>Colchester United</t>
        </is>
      </c>
      <c r="B6" s="14" t="n">
        <v>0.8</v>
      </c>
      <c r="C6" s="9" t="n">
        <v>2.02</v>
      </c>
      <c r="D6" s="9" t="n">
        <v>0.1</v>
      </c>
      <c r="E6" s="9" t="n">
        <v>0.28</v>
      </c>
    </row>
    <row r="7">
      <c r="A7" s="6" t="inlineStr">
        <is>
          <t>Shrewsbury Town</t>
        </is>
      </c>
      <c r="B7" s="14" t="n">
        <v>0.63</v>
      </c>
      <c r="C7" s="9" t="n">
        <v>1.29</v>
      </c>
      <c r="D7" s="9" t="n">
        <v>0.25</v>
      </c>
      <c r="E7" s="9" t="n">
        <v>0.34</v>
      </c>
    </row>
    <row r="8">
      <c r="A8" s="6" t="inlineStr">
        <is>
          <t>Grimsby Town</t>
        </is>
      </c>
      <c r="B8" s="14" t="n">
        <v>0.61</v>
      </c>
      <c r="C8" s="9" t="n">
        <v>-0</v>
      </c>
      <c r="D8" s="9" t="n">
        <v>0.68</v>
      </c>
      <c r="E8" s="9" t="n">
        <v>1.15</v>
      </c>
    </row>
    <row r="9">
      <c r="A9" s="6" t="inlineStr">
        <is>
          <t>Rotherham United</t>
        </is>
      </c>
      <c r="B9" s="14" t="n">
        <v>0.61</v>
      </c>
      <c r="C9" s="9" t="n">
        <v>-1.39</v>
      </c>
      <c r="D9" s="9" t="n">
        <v>2.07</v>
      </c>
      <c r="E9" s="9" t="n">
        <v>1.16</v>
      </c>
    </row>
    <row r="10">
      <c r="A10" s="6" t="inlineStr">
        <is>
          <t>Oldham Athletic</t>
        </is>
      </c>
      <c r="B10" s="14" t="n">
        <v>0.52</v>
      </c>
      <c r="C10" s="9" t="n">
        <v>0.88</v>
      </c>
      <c r="D10" s="9" t="n">
        <v>2.16</v>
      </c>
      <c r="E10" s="9" t="n">
        <v>-1.49</v>
      </c>
    </row>
    <row r="11">
      <c r="A11" s="6" t="inlineStr">
        <is>
          <t>Swindon Town</t>
        </is>
      </c>
      <c r="B11" s="14" t="n">
        <v>0.52</v>
      </c>
      <c r="C11" s="9" t="n">
        <v>-0.76</v>
      </c>
      <c r="D11" s="9" t="n">
        <v>1.82</v>
      </c>
      <c r="E11" s="9" t="n">
        <v>0.51</v>
      </c>
    </row>
    <row r="12">
      <c r="A12" s="6" t="inlineStr">
        <is>
          <t>Port Vale</t>
        </is>
      </c>
      <c r="B12" s="14" t="n">
        <v>0.27</v>
      </c>
      <c r="C12" s="9" t="n">
        <v>0.31</v>
      </c>
      <c r="D12" s="9" t="n">
        <v>-0.43</v>
      </c>
      <c r="E12" s="9" t="n">
        <v>0.93</v>
      </c>
    </row>
    <row r="13">
      <c r="A13" s="6" t="inlineStr">
        <is>
          <t>Barnet</t>
        </is>
      </c>
      <c r="B13" s="14" t="n">
        <v>0.21</v>
      </c>
      <c r="C13" s="9" t="n">
        <v>0.46</v>
      </c>
      <c r="D13" s="9" t="n">
        <v>-0.57</v>
      </c>
      <c r="E13" s="9" t="n">
        <v>0.74</v>
      </c>
    </row>
    <row r="14">
      <c r="A14" s="6" t="inlineStr">
        <is>
          <t>York</t>
        </is>
      </c>
      <c r="B14" s="14" t="n">
        <v>0.12</v>
      </c>
      <c r="C14" s="9" t="n">
        <v>-0.22</v>
      </c>
      <c r="D14" s="9" t="n">
        <v>-0.5600000000000001</v>
      </c>
      <c r="E14" s="9" t="n">
        <v>1.15</v>
      </c>
    </row>
    <row r="15">
      <c r="A15" s="6" t="inlineStr">
        <is>
          <t>Chesterfield</t>
        </is>
      </c>
      <c r="B15" s="14" t="n">
        <v>0.1</v>
      </c>
      <c r="C15" s="9" t="n">
        <v>0.38</v>
      </c>
      <c r="D15" s="9" t="n">
        <v>0.54</v>
      </c>
      <c r="E15" s="9" t="n">
        <v>-0.63</v>
      </c>
    </row>
    <row r="16">
      <c r="A16" s="6" t="inlineStr">
        <is>
          <t>Walsall</t>
        </is>
      </c>
      <c r="B16" s="14" t="n">
        <v>0.09</v>
      </c>
      <c r="C16" s="9" t="n">
        <v>0.41</v>
      </c>
      <c r="D16" s="9" t="n">
        <v>-0.68</v>
      </c>
      <c r="E16" s="9" t="n">
        <v>0.53</v>
      </c>
    </row>
    <row r="17">
      <c r="A17" s="6" t="inlineStr">
        <is>
          <t>Gillingham</t>
        </is>
      </c>
      <c r="B17" s="14" t="n">
        <v>-0.41</v>
      </c>
      <c r="C17" s="9" t="n">
        <v>-1.94</v>
      </c>
      <c r="D17" s="9" t="n">
        <v>0.48</v>
      </c>
      <c r="E17" s="9" t="n">
        <v>0.22</v>
      </c>
    </row>
    <row r="18">
      <c r="A18" s="6" t="inlineStr">
        <is>
          <t>Fleetwood Town</t>
        </is>
      </c>
      <c r="B18" s="14" t="n">
        <v>-0.57</v>
      </c>
      <c r="C18" s="9" t="n">
        <v>-0.65</v>
      </c>
      <c r="D18" s="9" t="n">
        <v>-0.59</v>
      </c>
      <c r="E18" s="9" t="n">
        <v>-0.48</v>
      </c>
    </row>
    <row r="19">
      <c r="A19" s="6" t="inlineStr">
        <is>
          <t>Tranmere Rovers</t>
        </is>
      </c>
      <c r="B19" s="14" t="n">
        <v>-0.57</v>
      </c>
      <c r="C19" s="9" t="n">
        <v>-0.42</v>
      </c>
      <c r="D19" s="9" t="n">
        <v>-1.58</v>
      </c>
      <c r="E19" s="9" t="n">
        <v>0.28</v>
      </c>
    </row>
    <row r="20">
      <c r="A20" s="6" t="inlineStr">
        <is>
          <t>Cheltenham Town</t>
        </is>
      </c>
      <c r="B20" s="14" t="n">
        <v>-0.65</v>
      </c>
      <c r="C20" s="9" t="n">
        <v>-1.54</v>
      </c>
      <c r="D20" s="9" t="n">
        <v>-0.63</v>
      </c>
      <c r="E20" s="9" t="n">
        <v>0.21</v>
      </c>
    </row>
    <row r="21">
      <c r="A21" s="6" t="inlineStr">
        <is>
          <t>Crewe Alexandra</t>
        </is>
      </c>
      <c r="B21" s="14" t="n">
        <v>-0.8100000000000001</v>
      </c>
      <c r="C21" s="9" t="n">
        <v>-0.62</v>
      </c>
      <c r="D21" s="9" t="n">
        <v>-0.58</v>
      </c>
      <c r="E21" s="9" t="n">
        <v>-1.22</v>
      </c>
    </row>
    <row r="22">
      <c r="A22" s="6" t="inlineStr">
        <is>
          <t>Salford City</t>
        </is>
      </c>
      <c r="B22" s="14" t="n">
        <v>-0.83</v>
      </c>
      <c r="C22" s="9" t="n">
        <v>-2.23</v>
      </c>
      <c r="D22" s="9" t="n">
        <v>0.73</v>
      </c>
      <c r="E22" s="9" t="n">
        <v>-0.98</v>
      </c>
    </row>
    <row r="23">
      <c r="A23" s="6" t="inlineStr">
        <is>
          <t>Crawley Town</t>
        </is>
      </c>
      <c r="B23" s="14" t="n">
        <v>-0.92</v>
      </c>
      <c r="C23" s="9" t="n">
        <v>-1.32</v>
      </c>
      <c r="D23" s="9" t="n">
        <v>-0.88</v>
      </c>
      <c r="E23" s="9" t="n">
        <v>-0.57</v>
      </c>
    </row>
    <row r="24">
      <c r="A24" s="6" t="inlineStr">
        <is>
          <t>Northampton Town</t>
        </is>
      </c>
      <c r="B24" s="14" t="n">
        <v>-1.09</v>
      </c>
      <c r="C24" s="9" t="n">
        <v>0.19</v>
      </c>
      <c r="D24" s="9" t="n">
        <v>-2.84</v>
      </c>
      <c r="E24" s="9" t="n">
        <v>-0.62</v>
      </c>
    </row>
    <row r="25">
      <c r="A25" s="6" t="inlineStr">
        <is>
          <t>Rochdale</t>
        </is>
      </c>
      <c r="B25" s="14" t="n">
        <v>-1.57</v>
      </c>
      <c r="C25" s="9" t="n">
        <v>-2.2</v>
      </c>
      <c r="D25" s="9" t="n">
        <v>-0.97</v>
      </c>
      <c r="E25" s="9" t="n">
        <v>-1.53</v>
      </c>
    </row>
  </sheetData>
  <conditionalFormatting sqref="B2:E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E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s>
  <sheetData>
    <row r="1" ht="30" customHeight="1">
      <c r="A1" s="4" t="inlineStr">
        <is>
          <t>Team</t>
        </is>
      </c>
      <c r="B1" s="4" t="inlineStr">
        <is>
          <t>Average</t>
        </is>
      </c>
      <c r="C1" s="4" t="inlineStr">
        <is>
          <t>A1</t>
        </is>
      </c>
      <c r="D1" s="4" t="inlineStr">
        <is>
          <t>A2</t>
        </is>
      </c>
      <c r="E1" s="4" t="inlineStr">
        <is>
          <t>A3</t>
        </is>
      </c>
    </row>
    <row r="2">
      <c r="A2" s="6" t="inlineStr">
        <is>
          <t>Crawley Town</t>
        </is>
      </c>
      <c r="B2" s="14" t="n">
        <v>1.65</v>
      </c>
      <c r="C2" s="9" t="n">
        <v>2.2</v>
      </c>
      <c r="D2" s="9" t="n">
        <v>2.84</v>
      </c>
      <c r="E2" s="9" t="n">
        <v>-0.09</v>
      </c>
    </row>
    <row r="3">
      <c r="A3" s="6" t="inlineStr">
        <is>
          <t>Rotherham United</t>
        </is>
      </c>
      <c r="B3" s="14" t="n">
        <v>1.23</v>
      </c>
      <c r="C3" s="9" t="n">
        <v>1.54</v>
      </c>
      <c r="D3" s="9" t="n">
        <v>1.58</v>
      </c>
      <c r="E3" s="9" t="n">
        <v>0.57</v>
      </c>
    </row>
    <row r="4">
      <c r="A4" s="6" t="inlineStr">
        <is>
          <t>York</t>
        </is>
      </c>
      <c r="B4" s="14" t="n">
        <v>1.08</v>
      </c>
      <c r="C4" s="9" t="n">
        <v>1.39</v>
      </c>
      <c r="D4" s="9" t="n">
        <v>0.63</v>
      </c>
      <c r="E4" s="9" t="n">
        <v>1.22</v>
      </c>
    </row>
    <row r="5">
      <c r="A5" s="6" t="inlineStr">
        <is>
          <t>Cheltenham Town</t>
        </is>
      </c>
      <c r="B5" s="14" t="n">
        <v>0.63</v>
      </c>
      <c r="C5" s="9" t="n">
        <v>0.76</v>
      </c>
      <c r="D5" s="9" t="n">
        <v>0.57</v>
      </c>
      <c r="E5" s="9" t="n">
        <v>0.57</v>
      </c>
    </row>
    <row r="6">
      <c r="A6" s="6" t="inlineStr">
        <is>
          <t>Shrewsbury Town</t>
        </is>
      </c>
      <c r="B6" s="14" t="n">
        <v>0.62</v>
      </c>
      <c r="C6" s="9" t="n">
        <v>0.42</v>
      </c>
      <c r="D6" s="9" t="n">
        <v>0.97</v>
      </c>
      <c r="E6" s="9" t="n">
        <v>0.48</v>
      </c>
    </row>
    <row r="7">
      <c r="A7" s="6" t="inlineStr">
        <is>
          <t>Chesterfield</t>
        </is>
      </c>
      <c r="B7" s="14" t="n">
        <v>0.55</v>
      </c>
      <c r="C7" s="9" t="n">
        <v>2.23</v>
      </c>
      <c r="D7" s="9" t="n">
        <v>-2.07</v>
      </c>
      <c r="E7" s="9" t="n">
        <v>1.49</v>
      </c>
    </row>
    <row r="8">
      <c r="A8" s="6" t="inlineStr">
        <is>
          <t>Gillingham</t>
        </is>
      </c>
      <c r="B8" s="14" t="n">
        <v>0.55</v>
      </c>
      <c r="C8" s="9" t="n">
        <v>0.65</v>
      </c>
      <c r="D8" s="9" t="n">
        <v>-0.54</v>
      </c>
      <c r="E8" s="9" t="n">
        <v>1.53</v>
      </c>
    </row>
    <row r="9">
      <c r="A9" s="6" t="inlineStr">
        <is>
          <t>Crewe Alexandra</t>
        </is>
      </c>
      <c r="B9" s="14" t="n">
        <v>0.49</v>
      </c>
      <c r="C9" s="9" t="n">
        <v>1.32</v>
      </c>
      <c r="D9" s="9" t="n">
        <v>0.43</v>
      </c>
      <c r="E9" s="9" t="n">
        <v>-0.28</v>
      </c>
    </row>
    <row r="10">
      <c r="A10" s="6" t="inlineStr">
        <is>
          <t>Walsall</t>
        </is>
      </c>
      <c r="B10" s="14" t="n">
        <v>0.49</v>
      </c>
      <c r="C10" s="9" t="n">
        <v>1.94</v>
      </c>
      <c r="D10" s="9" t="n">
        <v>0.58</v>
      </c>
      <c r="E10" s="9" t="n">
        <v>-1.06</v>
      </c>
    </row>
    <row r="11">
      <c r="A11" s="6" t="inlineStr">
        <is>
          <t>Bristol Rvs</t>
        </is>
      </c>
      <c r="B11" s="14" t="n">
        <v>-0.02</v>
      </c>
      <c r="C11" s="9" t="n">
        <v>0.22</v>
      </c>
      <c r="D11" s="9" t="n">
        <v>0.88</v>
      </c>
      <c r="E11" s="9" t="n">
        <v>-1.15</v>
      </c>
    </row>
    <row r="12">
      <c r="A12" s="6" t="inlineStr">
        <is>
          <t>Northampton Town</t>
        </is>
      </c>
      <c r="B12" s="14" t="n">
        <v>-0.07000000000000001</v>
      </c>
      <c r="C12" s="9" t="n">
        <v>0.62</v>
      </c>
      <c r="D12" s="9" t="n">
        <v>-0.48</v>
      </c>
      <c r="E12" s="9" t="n">
        <v>-0.34</v>
      </c>
    </row>
    <row r="13">
      <c r="A13" s="6" t="inlineStr">
        <is>
          <t>Exeter</t>
        </is>
      </c>
      <c r="B13" s="14" t="n">
        <v>-0.12</v>
      </c>
      <c r="C13" s="9" t="n">
        <v>0</v>
      </c>
      <c r="D13" s="9" t="n">
        <v>0.5600000000000001</v>
      </c>
      <c r="E13" s="9" t="n">
        <v>-0.93</v>
      </c>
    </row>
    <row r="14">
      <c r="A14" s="6" t="inlineStr">
        <is>
          <t>Tranmere Rovers</t>
        </is>
      </c>
      <c r="B14" s="14" t="n">
        <v>-0.2</v>
      </c>
      <c r="C14" s="9" t="n">
        <v>-0.31</v>
      </c>
      <c r="D14" s="9" t="n">
        <v>-0.08</v>
      </c>
      <c r="E14" s="9" t="n">
        <v>-0.22</v>
      </c>
    </row>
    <row r="15">
      <c r="A15" s="6" t="inlineStr">
        <is>
          <t>Accrington Stanley</t>
        </is>
      </c>
      <c r="B15" s="14" t="n">
        <v>-0.39</v>
      </c>
      <c r="C15" s="9" t="n">
        <v>-1.11</v>
      </c>
      <c r="D15" s="9" t="n">
        <v>0.68</v>
      </c>
      <c r="E15" s="9" t="n">
        <v>-0.74</v>
      </c>
    </row>
    <row r="16">
      <c r="A16" s="6" t="inlineStr">
        <is>
          <t>Barnet</t>
        </is>
      </c>
      <c r="B16" s="14" t="n">
        <v>-0.42</v>
      </c>
      <c r="C16" s="9" t="n">
        <v>-1.29</v>
      </c>
      <c r="D16" s="9" t="n">
        <v>-0.61</v>
      </c>
      <c r="E16" s="9" t="n">
        <v>0.63</v>
      </c>
    </row>
    <row r="17">
      <c r="A17" s="6" t="inlineStr">
        <is>
          <t>Grimsby Town</t>
        </is>
      </c>
      <c r="B17" s="14" t="n">
        <v>-0.52</v>
      </c>
      <c r="C17" s="9" t="n">
        <v>-0.41</v>
      </c>
      <c r="D17" s="9" t="n">
        <v>-0.9399999999999999</v>
      </c>
      <c r="E17" s="9" t="n">
        <v>-0.21</v>
      </c>
    </row>
    <row r="18">
      <c r="A18" s="6" t="inlineStr">
        <is>
          <t>Oldham Athletic</t>
        </is>
      </c>
      <c r="B18" s="14" t="n">
        <v>-0.57</v>
      </c>
      <c r="C18" s="9" t="n">
        <v>-2.02</v>
      </c>
      <c r="D18" s="9" t="n">
        <v>0.59</v>
      </c>
      <c r="E18" s="9" t="n">
        <v>-0.28</v>
      </c>
    </row>
    <row r="19">
      <c r="A19" s="6" t="inlineStr">
        <is>
          <t>Port Vale</t>
        </is>
      </c>
      <c r="B19" s="14" t="n">
        <v>-0.57</v>
      </c>
      <c r="C19" s="9" t="n">
        <v>-0.88</v>
      </c>
      <c r="D19" s="9" t="n">
        <v>-1.82</v>
      </c>
      <c r="E19" s="9" t="n">
        <v>0.98</v>
      </c>
    </row>
    <row r="20">
      <c r="A20" s="6" t="inlineStr">
        <is>
          <t>Rochdale</t>
        </is>
      </c>
      <c r="B20" s="14" t="n">
        <v>-0.6</v>
      </c>
      <c r="C20" s="9" t="n">
        <v>-1.18</v>
      </c>
      <c r="D20" s="9" t="n">
        <v>-0.1</v>
      </c>
      <c r="E20" s="9" t="n">
        <v>-0.53</v>
      </c>
    </row>
    <row r="21">
      <c r="A21" s="6" t="inlineStr">
        <is>
          <t>Salford City</t>
        </is>
      </c>
      <c r="B21" s="14" t="n">
        <v>-0.62</v>
      </c>
      <c r="C21" s="9" t="n">
        <v>-0.46</v>
      </c>
      <c r="D21" s="9" t="n">
        <v>-0.25</v>
      </c>
      <c r="E21" s="9" t="n">
        <v>-1.16</v>
      </c>
    </row>
    <row r="22">
      <c r="A22" s="6" t="inlineStr">
        <is>
          <t>Newport County</t>
        </is>
      </c>
      <c r="B22" s="14" t="n">
        <v>-0.85</v>
      </c>
      <c r="C22" s="9" t="n">
        <v>-2.44</v>
      </c>
      <c r="D22" s="9" t="n">
        <v>-0.73</v>
      </c>
      <c r="E22" s="9" t="n">
        <v>0.62</v>
      </c>
    </row>
    <row r="23">
      <c r="A23" s="6" t="inlineStr">
        <is>
          <t>Fleetwood Town</t>
        </is>
      </c>
      <c r="B23" s="14" t="n">
        <v>-1.01</v>
      </c>
      <c r="C23" s="9" t="n">
        <v>-0.38</v>
      </c>
      <c r="D23" s="9" t="n">
        <v>-0.68</v>
      </c>
      <c r="E23" s="9" t="n">
        <v>-1.97</v>
      </c>
    </row>
    <row r="24">
      <c r="A24" s="6" t="inlineStr">
        <is>
          <t>Swindon Town</t>
        </is>
      </c>
      <c r="B24" s="14" t="n">
        <v>-1.17</v>
      </c>
      <c r="C24" s="9" t="n">
        <v>-0.19</v>
      </c>
      <c r="D24" s="9" t="n">
        <v>-2.16</v>
      </c>
      <c r="E24" s="9" t="n">
        <v>-1.15</v>
      </c>
    </row>
    <row r="25">
      <c r="A25" s="6" t="inlineStr">
        <is>
          <t>Colchester United</t>
        </is>
      </c>
      <c r="B25" s="14" t="n">
        <v>-1.3</v>
      </c>
      <c r="C25" s="9" t="n">
        <v>-1.9</v>
      </c>
      <c r="D25" s="9" t="n">
        <v>-1.48</v>
      </c>
      <c r="E25" s="9" t="n">
        <v>-0.51</v>
      </c>
    </row>
  </sheetData>
  <conditionalFormatting sqref="B2:E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7" customWidth="1" min="9" max="9"/>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Median</t>
        </is>
      </c>
    </row>
    <row r="2">
      <c r="A2" s="6" t="inlineStr">
        <is>
          <t>Accrington Stanley</t>
        </is>
      </c>
      <c r="B2" s="14">
        <f>'Accrington Stanley'!$E$23</f>
        <v/>
      </c>
      <c r="C2" s="9">
        <f>'Accrington Stanley'!$S$2</f>
        <v/>
      </c>
      <c r="D2" s="9">
        <f>'Accrington Stanley'!$S$3</f>
        <v/>
      </c>
      <c r="E2" s="9">
        <f>'Accrington Stanley'!$S$4</f>
        <v/>
      </c>
      <c r="F2" s="9">
        <f>'Accrington Stanley'!$S$5</f>
        <v/>
      </c>
      <c r="G2" s="9">
        <f>'Accrington Stanley'!$S$6</f>
        <v/>
      </c>
      <c r="H2" s="9">
        <f>'Accrington Stanley'!$S$7</f>
        <v/>
      </c>
      <c r="I2" s="14">
        <f>'Accrington Stanley'!$E$24</f>
        <v/>
      </c>
    </row>
    <row r="3">
      <c r="A3" s="6" t="inlineStr">
        <is>
          <t>Chesterfield</t>
        </is>
      </c>
      <c r="B3" s="14">
        <f>'Chesterfield'!$E$23</f>
        <v/>
      </c>
      <c r="C3" s="9">
        <f>'Chesterfield'!$S$2</f>
        <v/>
      </c>
      <c r="D3" s="9">
        <f>'Chesterfield'!$S$3</f>
        <v/>
      </c>
      <c r="E3" s="9">
        <f>'Chesterfield'!$S$4</f>
        <v/>
      </c>
      <c r="F3" s="9">
        <f>'Chesterfield'!$S$5</f>
        <v/>
      </c>
      <c r="G3" s="9">
        <f>'Chesterfield'!$S$6</f>
        <v/>
      </c>
      <c r="H3" s="9">
        <f>'Chesterfield'!$S$7</f>
        <v/>
      </c>
      <c r="I3" s="14">
        <f>'Chesterfield'!$E$24</f>
        <v/>
      </c>
    </row>
    <row r="4">
      <c r="A4" s="6" t="inlineStr">
        <is>
          <t>York</t>
        </is>
      </c>
      <c r="B4" s="14">
        <f>'York'!$E$23</f>
        <v/>
      </c>
      <c r="C4" s="9">
        <f>'York'!$S$2</f>
        <v/>
      </c>
      <c r="D4" s="9">
        <f>'York'!$S$3</f>
        <v/>
      </c>
      <c r="E4" s="9">
        <f>'York'!$S$4</f>
        <v/>
      </c>
      <c r="F4" s="9">
        <f>'York'!$S$5</f>
        <v/>
      </c>
      <c r="G4" s="9">
        <f>'York'!$S$6</f>
        <v/>
      </c>
      <c r="H4" s="9">
        <f>'York'!$S$7</f>
        <v/>
      </c>
      <c r="I4" s="14">
        <f>'York'!$E$24</f>
        <v/>
      </c>
    </row>
    <row r="5">
      <c r="A5" s="6" t="inlineStr">
        <is>
          <t>Walsall</t>
        </is>
      </c>
      <c r="B5" s="14">
        <f>'Walsall'!$E$23</f>
        <v/>
      </c>
      <c r="C5" s="9">
        <f>'Walsall'!$S$2</f>
        <v/>
      </c>
      <c r="D5" s="9">
        <f>'Walsall'!$S$3</f>
        <v/>
      </c>
      <c r="E5" s="9">
        <f>'Walsall'!$S$4</f>
        <v/>
      </c>
      <c r="F5" s="9">
        <f>'Walsall'!$S$5</f>
        <v/>
      </c>
      <c r="G5" s="9">
        <f>'Walsall'!$S$6</f>
        <v/>
      </c>
      <c r="H5" s="9">
        <f>'Walsall'!$S$7</f>
        <v/>
      </c>
      <c r="I5" s="14">
        <f>'Walsall'!$E$24</f>
        <v/>
      </c>
    </row>
    <row r="6">
      <c r="A6" s="6" t="inlineStr">
        <is>
          <t>Cheltenham Town</t>
        </is>
      </c>
      <c r="B6" s="14">
        <f>'Cheltenham Town'!$E$23</f>
        <v/>
      </c>
      <c r="C6" s="9">
        <f>'Cheltenham Town'!$S$2</f>
        <v/>
      </c>
      <c r="D6" s="9">
        <f>'Cheltenham Town'!$S$3</f>
        <v/>
      </c>
      <c r="E6" s="9">
        <f>'Cheltenham Town'!$S$4</f>
        <v/>
      </c>
      <c r="F6" s="9">
        <f>'Cheltenham Town'!$S$5</f>
        <v/>
      </c>
      <c r="G6" s="9">
        <f>'Cheltenham Town'!$S$6</f>
        <v/>
      </c>
      <c r="H6" s="9">
        <f>'Cheltenham Town'!$S$7</f>
        <v/>
      </c>
      <c r="I6" s="14">
        <f>'Cheltenham Town'!$E$24</f>
        <v/>
      </c>
    </row>
    <row r="7">
      <c r="A7" s="6" t="inlineStr">
        <is>
          <t>Barnet</t>
        </is>
      </c>
      <c r="B7" s="14">
        <f>'Barnet'!$E$23</f>
        <v/>
      </c>
      <c r="C7" s="9">
        <f>'Barnet'!$S$2</f>
        <v/>
      </c>
      <c r="D7" s="9">
        <f>'Barnet'!$S$3</f>
        <v/>
      </c>
      <c r="E7" s="9">
        <f>'Barnet'!$S$4</f>
        <v/>
      </c>
      <c r="F7" s="9">
        <f>'Barnet'!$S$5</f>
        <v/>
      </c>
      <c r="G7" s="9">
        <f>'Barnet'!$S$6</f>
        <v/>
      </c>
      <c r="H7" s="9">
        <f>'Barnet'!$S$7</f>
        <v/>
      </c>
      <c r="I7" s="14">
        <f>'Barnet'!$E$24</f>
        <v/>
      </c>
    </row>
    <row r="8">
      <c r="A8" s="6" t="inlineStr">
        <is>
          <t>Crawley Town</t>
        </is>
      </c>
      <c r="B8" s="14">
        <f>'Crawley Town'!$E$23</f>
        <v/>
      </c>
      <c r="C8" s="9">
        <f>'Crawley Town'!$S$2</f>
        <v/>
      </c>
      <c r="D8" s="9">
        <f>'Crawley Town'!$S$3</f>
        <v/>
      </c>
      <c r="E8" s="9">
        <f>'Crawley Town'!$S$4</f>
        <v/>
      </c>
      <c r="F8" s="9">
        <f>'Crawley Town'!$S$5</f>
        <v/>
      </c>
      <c r="G8" s="9">
        <f>'Crawley Town'!$S$6</f>
        <v/>
      </c>
      <c r="H8" s="9">
        <f>'Crawley Town'!$S$7</f>
        <v/>
      </c>
      <c r="I8" s="14">
        <f>'Crawley Town'!$E$24</f>
        <v/>
      </c>
    </row>
    <row r="9">
      <c r="A9" s="6" t="inlineStr">
        <is>
          <t>Rotherham United</t>
        </is>
      </c>
      <c r="B9" s="14">
        <f>'Rotherham United'!$E$23</f>
        <v/>
      </c>
      <c r="C9" s="9">
        <f>'Rotherham United'!$S$2</f>
        <v/>
      </c>
      <c r="D9" s="9">
        <f>'Rotherham United'!$S$3</f>
        <v/>
      </c>
      <c r="E9" s="9">
        <f>'Rotherham United'!$S$4</f>
        <v/>
      </c>
      <c r="F9" s="9">
        <f>'Rotherham United'!$S$5</f>
        <v/>
      </c>
      <c r="G9" s="9">
        <f>'Rotherham United'!$S$6</f>
        <v/>
      </c>
      <c r="H9" s="9">
        <f>'Rotherham United'!$S$7</f>
        <v/>
      </c>
      <c r="I9" s="14">
        <f>'Rotherham United'!$E$24</f>
        <v/>
      </c>
    </row>
    <row r="10">
      <c r="A10" s="6" t="inlineStr">
        <is>
          <t>Fleetwood Town</t>
        </is>
      </c>
      <c r="B10" s="14">
        <f>'Fleetwood Town'!$E$23</f>
        <v/>
      </c>
      <c r="C10" s="9">
        <f>'Fleetwood Town'!$S$2</f>
        <v/>
      </c>
      <c r="D10" s="9">
        <f>'Fleetwood Town'!$S$3</f>
        <v/>
      </c>
      <c r="E10" s="9">
        <f>'Fleetwood Town'!$S$4</f>
        <v/>
      </c>
      <c r="F10" s="9">
        <f>'Fleetwood Town'!$S$5</f>
        <v/>
      </c>
      <c r="G10" s="9">
        <f>'Fleetwood Town'!$S$6</f>
        <v/>
      </c>
      <c r="H10" s="9">
        <f>'Fleetwood Town'!$S$7</f>
        <v/>
      </c>
      <c r="I10" s="14">
        <f>'Fleetwood Town'!$E$24</f>
        <v/>
      </c>
    </row>
    <row r="11">
      <c r="A11" s="6" t="inlineStr">
        <is>
          <t>Grimsby Town</t>
        </is>
      </c>
      <c r="B11" s="14">
        <f>'Grimsby Town'!$E$23</f>
        <v/>
      </c>
      <c r="C11" s="9">
        <f>'Grimsby Town'!$S$2</f>
        <v/>
      </c>
      <c r="D11" s="9">
        <f>'Grimsby Town'!$S$3</f>
        <v/>
      </c>
      <c r="E11" s="9">
        <f>'Grimsby Town'!$S$4</f>
        <v/>
      </c>
      <c r="F11" s="9">
        <f>'Grimsby Town'!$S$5</f>
        <v/>
      </c>
      <c r="G11" s="9">
        <f>'Grimsby Town'!$S$6</f>
        <v/>
      </c>
      <c r="H11" s="9">
        <f>'Grimsby Town'!$S$7</f>
        <v/>
      </c>
      <c r="I11" s="14">
        <f>'Grimsby Town'!$E$24</f>
        <v/>
      </c>
    </row>
    <row r="12">
      <c r="A12" s="6" t="inlineStr">
        <is>
          <t>Bristol Rvs</t>
        </is>
      </c>
      <c r="B12" s="14">
        <f>'Bristol Rvs'!$E$23</f>
        <v/>
      </c>
      <c r="C12" s="9">
        <f>'Bristol Rvs'!$S$2</f>
        <v/>
      </c>
      <c r="D12" s="9">
        <f>'Bristol Rvs'!$S$3</f>
        <v/>
      </c>
      <c r="E12" s="9">
        <f>'Bristol Rvs'!$S$4</f>
        <v/>
      </c>
      <c r="F12" s="9">
        <f>'Bristol Rvs'!$S$5</f>
        <v/>
      </c>
      <c r="G12" s="9">
        <f>'Bristol Rvs'!$S$6</f>
        <v/>
      </c>
      <c r="H12" s="9">
        <f>'Bristol Rvs'!$S$7</f>
        <v/>
      </c>
      <c r="I12" s="14">
        <f>'Bristol Rvs'!$E$24</f>
        <v/>
      </c>
    </row>
    <row r="13">
      <c r="A13" s="6" t="inlineStr">
        <is>
          <t>Colchester United</t>
        </is>
      </c>
      <c r="B13" s="14">
        <f>'Colchester United'!$E$23</f>
        <v/>
      </c>
      <c r="C13" s="9">
        <f>'Colchester United'!$S$2</f>
        <v/>
      </c>
      <c r="D13" s="9">
        <f>'Colchester United'!$S$3</f>
        <v/>
      </c>
      <c r="E13" s="9">
        <f>'Colchester United'!$S$4</f>
        <v/>
      </c>
      <c r="F13" s="9">
        <f>'Colchester United'!$S$5</f>
        <v/>
      </c>
      <c r="G13" s="9">
        <f>'Colchester United'!$S$6</f>
        <v/>
      </c>
      <c r="H13" s="9">
        <f>'Colchester United'!$S$7</f>
        <v/>
      </c>
      <c r="I13" s="14">
        <f>'Colchester United'!$E$24</f>
        <v/>
      </c>
    </row>
    <row r="14">
      <c r="A14" s="6" t="inlineStr">
        <is>
          <t>Tranmere Rovers</t>
        </is>
      </c>
      <c r="B14" s="14">
        <f>'Tranmere Rovers'!$E$23</f>
        <v/>
      </c>
      <c r="C14" s="9">
        <f>'Tranmere Rovers'!$S$2</f>
        <v/>
      </c>
      <c r="D14" s="9">
        <f>'Tranmere Rovers'!$S$3</f>
        <v/>
      </c>
      <c r="E14" s="9">
        <f>'Tranmere Rovers'!$S$4</f>
        <v/>
      </c>
      <c r="F14" s="9">
        <f>'Tranmere Rovers'!$S$5</f>
        <v/>
      </c>
      <c r="G14" s="9">
        <f>'Tranmere Rovers'!$S$6</f>
        <v/>
      </c>
      <c r="H14" s="9">
        <f>'Tranmere Rovers'!$S$7</f>
        <v/>
      </c>
      <c r="I14" s="14">
        <f>'Tranmere Rovers'!$E$24</f>
        <v/>
      </c>
    </row>
    <row r="15">
      <c r="A15" s="6" t="inlineStr">
        <is>
          <t>Oldham Athletic</t>
        </is>
      </c>
      <c r="B15" s="14">
        <f>'Oldham Athletic'!$E$23</f>
        <v/>
      </c>
      <c r="C15" s="9">
        <f>'Oldham Athletic'!$S$2</f>
        <v/>
      </c>
      <c r="D15" s="9">
        <f>'Oldham Athletic'!$S$3</f>
        <v/>
      </c>
      <c r="E15" s="9">
        <f>'Oldham Athletic'!$S$4</f>
        <v/>
      </c>
      <c r="F15" s="9">
        <f>'Oldham Athletic'!$S$5</f>
        <v/>
      </c>
      <c r="G15" s="9">
        <f>'Oldham Athletic'!$S$6</f>
        <v/>
      </c>
      <c r="H15" s="9">
        <f>'Oldham Athletic'!$S$7</f>
        <v/>
      </c>
      <c r="I15" s="14">
        <f>'Oldham Athletic'!$E$24</f>
        <v/>
      </c>
    </row>
    <row r="16">
      <c r="A16" s="6" t="inlineStr">
        <is>
          <t>Gillingham</t>
        </is>
      </c>
      <c r="B16" s="14">
        <f>'Gillingham'!$E$23</f>
        <v/>
      </c>
      <c r="C16" s="9">
        <f>'Gillingham'!$S$2</f>
        <v/>
      </c>
      <c r="D16" s="9">
        <f>'Gillingham'!$S$3</f>
        <v/>
      </c>
      <c r="E16" s="9">
        <f>'Gillingham'!$S$4</f>
        <v/>
      </c>
      <c r="F16" s="9">
        <f>'Gillingham'!$S$5</f>
        <v/>
      </c>
      <c r="G16" s="9">
        <f>'Gillingham'!$S$6</f>
        <v/>
      </c>
      <c r="H16" s="9">
        <f>'Gillingham'!$S$7</f>
        <v/>
      </c>
      <c r="I16" s="14">
        <f>'Gillingham'!$E$24</f>
        <v/>
      </c>
    </row>
    <row r="17">
      <c r="A17" s="6" t="inlineStr">
        <is>
          <t>Crewe Alexandra</t>
        </is>
      </c>
      <c r="B17" s="14">
        <f>'Crewe Alexandra'!$E$23</f>
        <v/>
      </c>
      <c r="C17" s="9">
        <f>'Crewe Alexandra'!$S$2</f>
        <v/>
      </c>
      <c r="D17" s="9">
        <f>'Crewe Alexandra'!$S$3</f>
        <v/>
      </c>
      <c r="E17" s="9">
        <f>'Crewe Alexandra'!$S$4</f>
        <v/>
      </c>
      <c r="F17" s="9">
        <f>'Crewe Alexandra'!$S$5</f>
        <v/>
      </c>
      <c r="G17" s="9">
        <f>'Crewe Alexandra'!$S$6</f>
        <v/>
      </c>
      <c r="H17" s="9">
        <f>'Crewe Alexandra'!$S$7</f>
        <v/>
      </c>
      <c r="I17" s="14">
        <f>'Crewe Alexandra'!$E$24</f>
        <v/>
      </c>
    </row>
    <row r="18">
      <c r="A18" s="6" t="inlineStr">
        <is>
          <t>Swindon Town</t>
        </is>
      </c>
      <c r="B18" s="14">
        <f>'Swindon Town'!$E$23</f>
        <v/>
      </c>
      <c r="C18" s="9">
        <f>'Swindon Town'!$S$2</f>
        <v/>
      </c>
      <c r="D18" s="9">
        <f>'Swindon Town'!$S$3</f>
        <v/>
      </c>
      <c r="E18" s="9">
        <f>'Swindon Town'!$S$4</f>
        <v/>
      </c>
      <c r="F18" s="9">
        <f>'Swindon Town'!$S$5</f>
        <v/>
      </c>
      <c r="G18" s="9">
        <f>'Swindon Town'!$S$6</f>
        <v/>
      </c>
      <c r="H18" s="9">
        <f>'Swindon Town'!$S$7</f>
        <v/>
      </c>
      <c r="I18" s="14">
        <f>'Swindon Town'!$E$24</f>
        <v/>
      </c>
    </row>
    <row r="19">
      <c r="A19" s="6" t="inlineStr">
        <is>
          <t>Newport County</t>
        </is>
      </c>
      <c r="B19" s="14">
        <f>'Newport County'!$E$23</f>
        <v/>
      </c>
      <c r="C19" s="9">
        <f>'Newport County'!$S$2</f>
        <v/>
      </c>
      <c r="D19" s="9">
        <f>'Newport County'!$S$3</f>
        <v/>
      </c>
      <c r="E19" s="9">
        <f>'Newport County'!$S$4</f>
        <v/>
      </c>
      <c r="F19" s="9">
        <f>'Newport County'!$S$5</f>
        <v/>
      </c>
      <c r="G19" s="9">
        <f>'Newport County'!$S$6</f>
        <v/>
      </c>
      <c r="H19" s="9">
        <f>'Newport County'!$S$7</f>
        <v/>
      </c>
      <c r="I19" s="14">
        <f>'Newport County'!$E$24</f>
        <v/>
      </c>
    </row>
    <row r="20">
      <c r="A20" s="6" t="inlineStr">
        <is>
          <t>Salford City</t>
        </is>
      </c>
      <c r="B20" s="14">
        <f>'Salford City'!$E$23</f>
        <v/>
      </c>
      <c r="C20" s="9">
        <f>'Salford City'!$S$2</f>
        <v/>
      </c>
      <c r="D20" s="9">
        <f>'Salford City'!$S$3</f>
        <v/>
      </c>
      <c r="E20" s="9">
        <f>'Salford City'!$S$4</f>
        <v/>
      </c>
      <c r="F20" s="9">
        <f>'Salford City'!$S$5</f>
        <v/>
      </c>
      <c r="G20" s="9">
        <f>'Salford City'!$S$6</f>
        <v/>
      </c>
      <c r="H20" s="9">
        <f>'Salford City'!$S$7</f>
        <v/>
      </c>
      <c r="I20" s="14">
        <f>'Salford City'!$E$24</f>
        <v/>
      </c>
    </row>
    <row r="21">
      <c r="A21" s="6" t="inlineStr">
        <is>
          <t>Port Vale</t>
        </is>
      </c>
      <c r="B21" s="14">
        <f>'Port Vale'!$E$23</f>
        <v/>
      </c>
      <c r="C21" s="9">
        <f>'Port Vale'!$S$2</f>
        <v/>
      </c>
      <c r="D21" s="9">
        <f>'Port Vale'!$S$3</f>
        <v/>
      </c>
      <c r="E21" s="9">
        <f>'Port Vale'!$S$4</f>
        <v/>
      </c>
      <c r="F21" s="9">
        <f>'Port Vale'!$S$5</f>
        <v/>
      </c>
      <c r="G21" s="9">
        <f>'Port Vale'!$S$6</f>
        <v/>
      </c>
      <c r="H21" s="9">
        <f>'Port Vale'!$S$7</f>
        <v/>
      </c>
      <c r="I21" s="14">
        <f>'Port Vale'!$E$24</f>
        <v/>
      </c>
    </row>
    <row r="22">
      <c r="A22" s="6" t="inlineStr">
        <is>
          <t>Exeter</t>
        </is>
      </c>
      <c r="B22" s="14">
        <f>'Exeter'!$E$23</f>
        <v/>
      </c>
      <c r="C22" s="9">
        <f>'Exeter'!$S$2</f>
        <v/>
      </c>
      <c r="D22" s="9">
        <f>'Exeter'!$S$3</f>
        <v/>
      </c>
      <c r="E22" s="9">
        <f>'Exeter'!$S$4</f>
        <v/>
      </c>
      <c r="F22" s="9">
        <f>'Exeter'!$S$5</f>
        <v/>
      </c>
      <c r="G22" s="9">
        <f>'Exeter'!$S$6</f>
        <v/>
      </c>
      <c r="H22" s="9">
        <f>'Exeter'!$S$7</f>
        <v/>
      </c>
      <c r="I22" s="14">
        <f>'Exeter'!$E$24</f>
        <v/>
      </c>
    </row>
    <row r="23">
      <c r="A23" s="6" t="inlineStr">
        <is>
          <t>Rochdale</t>
        </is>
      </c>
      <c r="B23" s="14">
        <f>'Rochdale'!$E$23</f>
        <v/>
      </c>
      <c r="C23" s="9">
        <f>'Rochdale'!$S$2</f>
        <v/>
      </c>
      <c r="D23" s="9">
        <f>'Rochdale'!$S$3</f>
        <v/>
      </c>
      <c r="E23" s="9">
        <f>'Rochdale'!$S$4</f>
        <v/>
      </c>
      <c r="F23" s="9">
        <f>'Rochdale'!$S$5</f>
        <v/>
      </c>
      <c r="G23" s="9">
        <f>'Rochdale'!$S$6</f>
        <v/>
      </c>
      <c r="H23" s="9">
        <f>'Rochdale'!$S$7</f>
        <v/>
      </c>
      <c r="I23" s="14">
        <f>'Rochdale'!$E$24</f>
        <v/>
      </c>
    </row>
    <row r="24">
      <c r="A24" s="6" t="inlineStr">
        <is>
          <t>Shrewsbury Town</t>
        </is>
      </c>
      <c r="B24" s="14">
        <f>'Shrewsbury Town'!$E$23</f>
        <v/>
      </c>
      <c r="C24" s="9">
        <f>'Shrewsbury Town'!$S$2</f>
        <v/>
      </c>
      <c r="D24" s="9">
        <f>'Shrewsbury Town'!$S$3</f>
        <v/>
      </c>
      <c r="E24" s="9">
        <f>'Shrewsbury Town'!$S$4</f>
        <v/>
      </c>
      <c r="F24" s="9">
        <f>'Shrewsbury Town'!$S$5</f>
        <v/>
      </c>
      <c r="G24" s="9">
        <f>'Shrewsbury Town'!$S$6</f>
        <v/>
      </c>
      <c r="H24" s="9">
        <f>'Shrewsbury Town'!$S$7</f>
        <v/>
      </c>
      <c r="I24" s="14">
        <f>'Shrewsbury Town'!$E$24</f>
        <v/>
      </c>
    </row>
    <row r="25">
      <c r="A25" s="6" t="inlineStr">
        <is>
          <t>Northampton Town</t>
        </is>
      </c>
      <c r="B25" s="14">
        <f>'Northampton Town'!$E$23</f>
        <v/>
      </c>
      <c r="C25" s="9">
        <f>'Northampton Town'!$S$2</f>
        <v/>
      </c>
      <c r="D25" s="9">
        <f>'Northampton Town'!$S$3</f>
        <v/>
      </c>
      <c r="E25" s="9">
        <f>'Northampton Town'!$S$4</f>
        <v/>
      </c>
      <c r="F25" s="9">
        <f>'Northampton Town'!$S$5</f>
        <v/>
      </c>
      <c r="G25" s="9">
        <f>'Northampton Town'!$S$6</f>
        <v/>
      </c>
      <c r="H25" s="9">
        <f>'Northampton Town'!$S$7</f>
        <v/>
      </c>
      <c r="I25" s="14">
        <f>'Northampton Town'!$E$24</f>
        <v/>
      </c>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row>
    <row r="2">
      <c r="A2" s="6" t="inlineStr">
        <is>
          <t>Rotherham United</t>
        </is>
      </c>
      <c r="B2" s="14">
        <f>'Rotherham United'!$E$31</f>
        <v/>
      </c>
      <c r="C2" s="9">
        <f>'Rotherham United'!$V$2</f>
        <v/>
      </c>
      <c r="D2" s="9">
        <f>'Rotherham United'!$V$3</f>
        <v/>
      </c>
      <c r="E2" s="9">
        <f>'Rotherham United'!$V$4</f>
        <v/>
      </c>
      <c r="F2" s="9">
        <f>'Rotherham United'!$V$5</f>
        <v/>
      </c>
      <c r="G2" s="9">
        <f>'Rotherham United'!$V$6</f>
        <v/>
      </c>
      <c r="H2" s="9">
        <f>'Rotherham United'!$V$7</f>
        <v/>
      </c>
    </row>
    <row r="3">
      <c r="A3" s="6" t="inlineStr">
        <is>
          <t>Shrewsbury Town</t>
        </is>
      </c>
      <c r="B3" s="14">
        <f>'Shrewsbury Town'!$E$31</f>
        <v/>
      </c>
      <c r="C3" s="9">
        <f>'Shrewsbury Town'!$V$2</f>
        <v/>
      </c>
      <c r="D3" s="9">
        <f>'Shrewsbury Town'!$V$3</f>
        <v/>
      </c>
      <c r="E3" s="9">
        <f>'Shrewsbury Town'!$V$4</f>
        <v/>
      </c>
      <c r="F3" s="9">
        <f>'Shrewsbury Town'!$V$5</f>
        <v/>
      </c>
      <c r="G3" s="9">
        <f>'Shrewsbury Town'!$V$6</f>
        <v/>
      </c>
      <c r="H3" s="9">
        <f>'Shrewsbury Town'!$V$7</f>
        <v/>
      </c>
    </row>
    <row r="4">
      <c r="A4" s="6" t="inlineStr">
        <is>
          <t>York</t>
        </is>
      </c>
      <c r="B4" s="14">
        <f>'York'!$E$31</f>
        <v/>
      </c>
      <c r="C4" s="9">
        <f>'York'!$V$2</f>
        <v/>
      </c>
      <c r="D4" s="9">
        <f>'York'!$V$3</f>
        <v/>
      </c>
      <c r="E4" s="9">
        <f>'York'!$V$4</f>
        <v/>
      </c>
      <c r="F4" s="9">
        <f>'York'!$V$5</f>
        <v/>
      </c>
      <c r="G4" s="9">
        <f>'York'!$V$6</f>
        <v/>
      </c>
      <c r="H4" s="9">
        <f>'York'!$V$7</f>
        <v/>
      </c>
    </row>
    <row r="5">
      <c r="A5" s="6" t="inlineStr">
        <is>
          <t>Chesterfield</t>
        </is>
      </c>
      <c r="B5" s="14">
        <f>'Chesterfield'!$E$31</f>
        <v/>
      </c>
      <c r="C5" s="9">
        <f>'Chesterfield'!$V$2</f>
        <v/>
      </c>
      <c r="D5" s="9">
        <f>'Chesterfield'!$V$3</f>
        <v/>
      </c>
      <c r="E5" s="9">
        <f>'Chesterfield'!$V$4</f>
        <v/>
      </c>
      <c r="F5" s="9">
        <f>'Chesterfield'!$V$5</f>
        <v/>
      </c>
      <c r="G5" s="9">
        <f>'Chesterfield'!$V$6</f>
        <v/>
      </c>
      <c r="H5" s="9">
        <f>'Chesterfield'!$V$7</f>
        <v/>
      </c>
    </row>
    <row r="6">
      <c r="A6" s="6" t="inlineStr">
        <is>
          <t>Crawley Town</t>
        </is>
      </c>
      <c r="B6" s="14">
        <f>'Crawley Town'!$E$31</f>
        <v/>
      </c>
      <c r="C6" s="9">
        <f>'Crawley Town'!$V$2</f>
        <v/>
      </c>
      <c r="D6" s="9">
        <f>'Crawley Town'!$V$3</f>
        <v/>
      </c>
      <c r="E6" s="9">
        <f>'Crawley Town'!$V$4</f>
        <v/>
      </c>
      <c r="F6" s="9">
        <f>'Crawley Town'!$V$5</f>
        <v/>
      </c>
      <c r="G6" s="9">
        <f>'Crawley Town'!$V$6</f>
        <v/>
      </c>
      <c r="H6" s="9">
        <f>'Crawley Town'!$V$7</f>
        <v/>
      </c>
    </row>
    <row r="7">
      <c r="A7" s="6" t="inlineStr">
        <is>
          <t>Exeter</t>
        </is>
      </c>
      <c r="B7" s="14">
        <f>'Exeter'!$E$31</f>
        <v/>
      </c>
      <c r="C7" s="9">
        <f>'Exeter'!$V$2</f>
        <v/>
      </c>
      <c r="D7" s="9">
        <f>'Exeter'!$V$3</f>
        <v/>
      </c>
      <c r="E7" s="9">
        <f>'Exeter'!$V$4</f>
        <v/>
      </c>
      <c r="F7" s="9">
        <f>'Exeter'!$V$5</f>
        <v/>
      </c>
      <c r="G7" s="9">
        <f>'Exeter'!$V$6</f>
        <v/>
      </c>
      <c r="H7" s="9">
        <f>'Exeter'!$V$7</f>
        <v/>
      </c>
    </row>
    <row r="8">
      <c r="A8" s="6" t="inlineStr">
        <is>
          <t>Newport County</t>
        </is>
      </c>
      <c r="B8" s="14">
        <f>'Newport County'!$E$31</f>
        <v/>
      </c>
      <c r="C8" s="9">
        <f>'Newport County'!$V$2</f>
        <v/>
      </c>
      <c r="D8" s="9">
        <f>'Newport County'!$V$3</f>
        <v/>
      </c>
      <c r="E8" s="9">
        <f>'Newport County'!$V$4</f>
        <v/>
      </c>
      <c r="F8" s="9">
        <f>'Newport County'!$V$5</f>
        <v/>
      </c>
      <c r="G8" s="9">
        <f>'Newport County'!$V$6</f>
        <v/>
      </c>
      <c r="H8" s="9">
        <f>'Newport County'!$V$7</f>
        <v/>
      </c>
    </row>
    <row r="9">
      <c r="A9" s="6" t="inlineStr">
        <is>
          <t>Accrington Stanley</t>
        </is>
      </c>
      <c r="B9" s="14">
        <f>'Accrington Stanley'!$E$31</f>
        <v/>
      </c>
      <c r="C9" s="9">
        <f>'Accrington Stanley'!$V$2</f>
        <v/>
      </c>
      <c r="D9" s="9">
        <f>'Accrington Stanley'!$V$3</f>
        <v/>
      </c>
      <c r="E9" s="9">
        <f>'Accrington Stanley'!$V$4</f>
        <v/>
      </c>
      <c r="F9" s="9">
        <f>'Accrington Stanley'!$V$5</f>
        <v/>
      </c>
      <c r="G9" s="9">
        <f>'Accrington Stanley'!$V$6</f>
        <v/>
      </c>
      <c r="H9" s="9">
        <f>'Accrington Stanley'!$V$7</f>
        <v/>
      </c>
    </row>
    <row r="10">
      <c r="A10" s="6" t="inlineStr">
        <is>
          <t>Bristol Rvs</t>
        </is>
      </c>
      <c r="B10" s="14">
        <f>'Bristol Rvs'!$E$31</f>
        <v/>
      </c>
      <c r="C10" s="9">
        <f>'Bristol Rvs'!$V$2</f>
        <v/>
      </c>
      <c r="D10" s="9">
        <f>'Bristol Rvs'!$V$3</f>
        <v/>
      </c>
      <c r="E10" s="9">
        <f>'Bristol Rvs'!$V$4</f>
        <v/>
      </c>
      <c r="F10" s="9">
        <f>'Bristol Rvs'!$V$5</f>
        <v/>
      </c>
      <c r="G10" s="9">
        <f>'Bristol Rvs'!$V$6</f>
        <v/>
      </c>
      <c r="H10" s="9">
        <f>'Bristol Rvs'!$V$7</f>
        <v/>
      </c>
    </row>
    <row r="11">
      <c r="A11" s="6" t="inlineStr">
        <is>
          <t>Walsall</t>
        </is>
      </c>
      <c r="B11" s="14">
        <f>'Walsall'!$E$31</f>
        <v/>
      </c>
      <c r="C11" s="9">
        <f>'Walsall'!$V$2</f>
        <v/>
      </c>
      <c r="D11" s="9">
        <f>'Walsall'!$V$3</f>
        <v/>
      </c>
      <c r="E11" s="9">
        <f>'Walsall'!$V$4</f>
        <v/>
      </c>
      <c r="F11" s="9">
        <f>'Walsall'!$V$5</f>
        <v/>
      </c>
      <c r="G11" s="9">
        <f>'Walsall'!$V$6</f>
        <v/>
      </c>
      <c r="H11" s="9">
        <f>'Walsall'!$V$7</f>
        <v/>
      </c>
    </row>
    <row r="12">
      <c r="A12" s="6" t="inlineStr">
        <is>
          <t>Gillingham</t>
        </is>
      </c>
      <c r="B12" s="14">
        <f>'Gillingham'!$E$31</f>
        <v/>
      </c>
      <c r="C12" s="9">
        <f>'Gillingham'!$V$2</f>
        <v/>
      </c>
      <c r="D12" s="9">
        <f>'Gillingham'!$V$3</f>
        <v/>
      </c>
      <c r="E12" s="9">
        <f>'Gillingham'!$V$4</f>
        <v/>
      </c>
      <c r="F12" s="9">
        <f>'Gillingham'!$V$5</f>
        <v/>
      </c>
      <c r="G12" s="9">
        <f>'Gillingham'!$V$6</f>
        <v/>
      </c>
      <c r="H12" s="9">
        <f>'Gillingham'!$V$7</f>
        <v/>
      </c>
    </row>
    <row r="13">
      <c r="A13" s="6" t="inlineStr">
        <is>
          <t>Cheltenham Town</t>
        </is>
      </c>
      <c r="B13" s="14">
        <f>'Cheltenham Town'!$E$31</f>
        <v/>
      </c>
      <c r="C13" s="9">
        <f>'Cheltenham Town'!$V$2</f>
        <v/>
      </c>
      <c r="D13" s="9">
        <f>'Cheltenham Town'!$V$3</f>
        <v/>
      </c>
      <c r="E13" s="9">
        <f>'Cheltenham Town'!$V$4</f>
        <v/>
      </c>
      <c r="F13" s="9">
        <f>'Cheltenham Town'!$V$5</f>
        <v/>
      </c>
      <c r="G13" s="9">
        <f>'Cheltenham Town'!$V$6</f>
        <v/>
      </c>
      <c r="H13" s="9">
        <f>'Cheltenham Town'!$V$7</f>
        <v/>
      </c>
    </row>
    <row r="14">
      <c r="A14" s="6" t="inlineStr">
        <is>
          <t>Grimsby Town</t>
        </is>
      </c>
      <c r="B14" s="14">
        <f>'Grimsby Town'!$E$31</f>
        <v/>
      </c>
      <c r="C14" s="9">
        <f>'Grimsby Town'!$V$2</f>
        <v/>
      </c>
      <c r="D14" s="9">
        <f>'Grimsby Town'!$V$3</f>
        <v/>
      </c>
      <c r="E14" s="9">
        <f>'Grimsby Town'!$V$4</f>
        <v/>
      </c>
      <c r="F14" s="9">
        <f>'Grimsby Town'!$V$5</f>
        <v/>
      </c>
      <c r="G14" s="9">
        <f>'Grimsby Town'!$V$6</f>
        <v/>
      </c>
      <c r="H14" s="9">
        <f>'Grimsby Town'!$V$7</f>
        <v/>
      </c>
    </row>
    <row r="15">
      <c r="A15" s="6" t="inlineStr">
        <is>
          <t>Oldham Athletic</t>
        </is>
      </c>
      <c r="B15" s="14">
        <f>'Oldham Athletic'!$E$31</f>
        <v/>
      </c>
      <c r="C15" s="9">
        <f>'Oldham Athletic'!$V$2</f>
        <v/>
      </c>
      <c r="D15" s="9">
        <f>'Oldham Athletic'!$V$3</f>
        <v/>
      </c>
      <c r="E15" s="9">
        <f>'Oldham Athletic'!$V$4</f>
        <v/>
      </c>
      <c r="F15" s="9">
        <f>'Oldham Athletic'!$V$5</f>
        <v/>
      </c>
      <c r="G15" s="9">
        <f>'Oldham Athletic'!$V$6</f>
        <v/>
      </c>
      <c r="H15" s="9">
        <f>'Oldham Athletic'!$V$7</f>
        <v/>
      </c>
    </row>
    <row r="16">
      <c r="A16" s="6" t="inlineStr">
        <is>
          <t>Colchester United</t>
        </is>
      </c>
      <c r="B16" s="14">
        <f>'Colchester United'!$E$31</f>
        <v/>
      </c>
      <c r="C16" s="9">
        <f>'Colchester United'!$V$2</f>
        <v/>
      </c>
      <c r="D16" s="9">
        <f>'Colchester United'!$V$3</f>
        <v/>
      </c>
      <c r="E16" s="9">
        <f>'Colchester United'!$V$4</f>
        <v/>
      </c>
      <c r="F16" s="9">
        <f>'Colchester United'!$V$5</f>
        <v/>
      </c>
      <c r="G16" s="9">
        <f>'Colchester United'!$V$6</f>
        <v/>
      </c>
      <c r="H16" s="9">
        <f>'Colchester United'!$V$7</f>
        <v/>
      </c>
    </row>
    <row r="17">
      <c r="A17" s="6" t="inlineStr">
        <is>
          <t>Barnet</t>
        </is>
      </c>
      <c r="B17" s="14">
        <f>'Barnet'!$E$31</f>
        <v/>
      </c>
      <c r="C17" s="9">
        <f>'Barnet'!$V$2</f>
        <v/>
      </c>
      <c r="D17" s="9">
        <f>'Barnet'!$V$3</f>
        <v/>
      </c>
      <c r="E17" s="9">
        <f>'Barnet'!$V$4</f>
        <v/>
      </c>
      <c r="F17" s="9">
        <f>'Barnet'!$V$5</f>
        <v/>
      </c>
      <c r="G17" s="9">
        <f>'Barnet'!$V$6</f>
        <v/>
      </c>
      <c r="H17" s="9">
        <f>'Barnet'!$V$7</f>
        <v/>
      </c>
    </row>
    <row r="18">
      <c r="A18" s="6" t="inlineStr">
        <is>
          <t>Port Vale</t>
        </is>
      </c>
      <c r="B18" s="14">
        <f>'Port Vale'!$E$31</f>
        <v/>
      </c>
      <c r="C18" s="9">
        <f>'Port Vale'!$V$2</f>
        <v/>
      </c>
      <c r="D18" s="9">
        <f>'Port Vale'!$V$3</f>
        <v/>
      </c>
      <c r="E18" s="9">
        <f>'Port Vale'!$V$4</f>
        <v/>
      </c>
      <c r="F18" s="9">
        <f>'Port Vale'!$V$5</f>
        <v/>
      </c>
      <c r="G18" s="9">
        <f>'Port Vale'!$V$6</f>
        <v/>
      </c>
      <c r="H18" s="9">
        <f>'Port Vale'!$V$7</f>
        <v/>
      </c>
    </row>
    <row r="19">
      <c r="A19" s="6" t="inlineStr">
        <is>
          <t>Crewe Alexandra</t>
        </is>
      </c>
      <c r="B19" s="14">
        <f>'Crewe Alexandra'!$E$31</f>
        <v/>
      </c>
      <c r="C19" s="9">
        <f>'Crewe Alexandra'!$V$2</f>
        <v/>
      </c>
      <c r="D19" s="9">
        <f>'Crewe Alexandra'!$V$3</f>
        <v/>
      </c>
      <c r="E19" s="9">
        <f>'Crewe Alexandra'!$V$4</f>
        <v/>
      </c>
      <c r="F19" s="9">
        <f>'Crewe Alexandra'!$V$5</f>
        <v/>
      </c>
      <c r="G19" s="9">
        <f>'Crewe Alexandra'!$V$6</f>
        <v/>
      </c>
      <c r="H19" s="9">
        <f>'Crewe Alexandra'!$V$7</f>
        <v/>
      </c>
    </row>
    <row r="20">
      <c r="A20" s="6" t="inlineStr">
        <is>
          <t>Swindon Town</t>
        </is>
      </c>
      <c r="B20" s="14">
        <f>'Swindon Town'!$E$31</f>
        <v/>
      </c>
      <c r="C20" s="9">
        <f>'Swindon Town'!$V$2</f>
        <v/>
      </c>
      <c r="D20" s="9">
        <f>'Swindon Town'!$V$3</f>
        <v/>
      </c>
      <c r="E20" s="9">
        <f>'Swindon Town'!$V$4</f>
        <v/>
      </c>
      <c r="F20" s="9">
        <f>'Swindon Town'!$V$5</f>
        <v/>
      </c>
      <c r="G20" s="9">
        <f>'Swindon Town'!$V$6</f>
        <v/>
      </c>
      <c r="H20" s="9">
        <f>'Swindon Town'!$V$7</f>
        <v/>
      </c>
    </row>
    <row r="21">
      <c r="A21" s="6" t="inlineStr">
        <is>
          <t>Tranmere Rovers</t>
        </is>
      </c>
      <c r="B21" s="14">
        <f>'Tranmere Rovers'!$E$31</f>
        <v/>
      </c>
      <c r="C21" s="9">
        <f>'Tranmere Rovers'!$V$2</f>
        <v/>
      </c>
      <c r="D21" s="9">
        <f>'Tranmere Rovers'!$V$3</f>
        <v/>
      </c>
      <c r="E21" s="9">
        <f>'Tranmere Rovers'!$V$4</f>
        <v/>
      </c>
      <c r="F21" s="9">
        <f>'Tranmere Rovers'!$V$5</f>
        <v/>
      </c>
      <c r="G21" s="9">
        <f>'Tranmere Rovers'!$V$6</f>
        <v/>
      </c>
      <c r="H21" s="9">
        <f>'Tranmere Rovers'!$V$7</f>
        <v/>
      </c>
    </row>
    <row r="22">
      <c r="A22" s="6" t="inlineStr">
        <is>
          <t>Northampton Town</t>
        </is>
      </c>
      <c r="B22" s="14">
        <f>'Northampton Town'!$E$31</f>
        <v/>
      </c>
      <c r="C22" s="9">
        <f>'Northampton Town'!$V$2</f>
        <v/>
      </c>
      <c r="D22" s="9">
        <f>'Northampton Town'!$V$3</f>
        <v/>
      </c>
      <c r="E22" s="9">
        <f>'Northampton Town'!$V$4</f>
        <v/>
      </c>
      <c r="F22" s="9">
        <f>'Northampton Town'!$V$5</f>
        <v/>
      </c>
      <c r="G22" s="9">
        <f>'Northampton Town'!$V$6</f>
        <v/>
      </c>
      <c r="H22" s="9">
        <f>'Northampton Town'!$V$7</f>
        <v/>
      </c>
    </row>
    <row r="23">
      <c r="A23" s="6" t="inlineStr">
        <is>
          <t>Fleetwood Town</t>
        </is>
      </c>
      <c r="B23" s="14">
        <f>'Fleetwood Town'!$E$31</f>
        <v/>
      </c>
      <c r="C23" s="9">
        <f>'Fleetwood Town'!$V$2</f>
        <v/>
      </c>
      <c r="D23" s="9">
        <f>'Fleetwood Town'!$V$3</f>
        <v/>
      </c>
      <c r="E23" s="9">
        <f>'Fleetwood Town'!$V$4</f>
        <v/>
      </c>
      <c r="F23" s="9">
        <f>'Fleetwood Town'!$V$5</f>
        <v/>
      </c>
      <c r="G23" s="9">
        <f>'Fleetwood Town'!$V$6</f>
        <v/>
      </c>
      <c r="H23" s="9">
        <f>'Fleetwood Town'!$V$7</f>
        <v/>
      </c>
    </row>
    <row r="24">
      <c r="A24" s="6" t="inlineStr">
        <is>
          <t>Salford City</t>
        </is>
      </c>
      <c r="B24" s="14">
        <f>'Salford City'!$E$31</f>
        <v/>
      </c>
      <c r="C24" s="9">
        <f>'Salford City'!$V$2</f>
        <v/>
      </c>
      <c r="D24" s="9">
        <f>'Salford City'!$V$3</f>
        <v/>
      </c>
      <c r="E24" s="9">
        <f>'Salford City'!$V$4</f>
        <v/>
      </c>
      <c r="F24" s="9">
        <f>'Salford City'!$V$5</f>
        <v/>
      </c>
      <c r="G24" s="9">
        <f>'Salford City'!$V$6</f>
        <v/>
      </c>
      <c r="H24" s="9">
        <f>'Salford City'!$V$7</f>
        <v/>
      </c>
    </row>
    <row r="25">
      <c r="A25" s="6" t="inlineStr">
        <is>
          <t>Rochdale</t>
        </is>
      </c>
      <c r="B25" s="14">
        <f>'Rochdale'!$E$31</f>
        <v/>
      </c>
      <c r="C25" s="9">
        <f>'Rochdale'!$V$2</f>
        <v/>
      </c>
      <c r="D25" s="9">
        <f>'Rochdale'!$V$3</f>
        <v/>
      </c>
      <c r="E25" s="9">
        <f>'Rochdale'!$V$4</f>
        <v/>
      </c>
      <c r="F25" s="9">
        <f>'Rochdale'!$V$5</f>
        <v/>
      </c>
      <c r="G25" s="9">
        <f>'Rochdale'!$V$6</f>
        <v/>
      </c>
      <c r="H25" s="9">
        <f>'Rochdale'!$V$7</f>
        <v/>
      </c>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1.47</v>
      </c>
      <c r="O2" s="9" t="n">
        <v>-0.51</v>
      </c>
      <c r="P2" s="9" t="n">
        <v>1.47</v>
      </c>
      <c r="Q2" s="9" t="n">
        <v>-0.51</v>
      </c>
      <c r="R2" s="9">
        <f>(H2-I2)-(F2-G2)</f>
        <v/>
      </c>
      <c r="S2" s="9">
        <f>(H2+I2)-(F2+G2)</f>
        <v/>
      </c>
      <c r="T2" s="9" t="n">
        <v>2.52</v>
      </c>
      <c r="U2" s="9" t="n">
        <v>1.47</v>
      </c>
      <c r="V2" s="9" t="n">
        <v>1.05</v>
      </c>
      <c r="W2" s="9" t="n">
        <v>2.52</v>
      </c>
      <c r="X2" s="9" t="n">
        <v>1.47</v>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0.05</v>
      </c>
      <c r="O3" s="10" t="n">
        <v>0.9</v>
      </c>
      <c r="P3" s="10" t="n">
        <v>0.76</v>
      </c>
      <c r="Q3" s="10" t="n">
        <v>0.2</v>
      </c>
      <c r="R3" s="10">
        <f>(H3-I3)-(F3-G3)</f>
        <v/>
      </c>
      <c r="S3" s="10">
        <f>(H3+I3)-(F3+G3)</f>
        <v/>
      </c>
      <c r="T3" s="10" t="n">
        <v>0.44</v>
      </c>
      <c r="U3" s="10" t="n">
        <v>1.02</v>
      </c>
      <c r="V3" s="10" t="n">
        <v>-0.57</v>
      </c>
      <c r="W3" s="10" t="n">
        <v>2.96</v>
      </c>
      <c r="X3" s="10" t="n">
        <v>2.49</v>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1.5</v>
      </c>
      <c r="O4" s="9" t="n">
        <v>0.34</v>
      </c>
      <c r="P4" s="9" t="n">
        <v>1.01</v>
      </c>
      <c r="Q4" s="9" t="n">
        <v>0.24</v>
      </c>
      <c r="R4" s="9">
        <f>(H4-I4)-(F4-G4)</f>
        <v/>
      </c>
      <c r="S4" s="9">
        <f>(H4+I4)-(F4+G4)</f>
        <v/>
      </c>
      <c r="T4" s="9" t="n">
        <v>1.44</v>
      </c>
      <c r="U4" s="9" t="n">
        <v>0.95</v>
      </c>
      <c r="V4" s="9" t="n">
        <v>0.49</v>
      </c>
      <c r="W4" s="9" t="n">
        <v>4.41</v>
      </c>
      <c r="X4" s="9" t="n">
        <v>3.43</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1.66</v>
      </c>
      <c r="O5" s="10" t="n">
        <v>0.48</v>
      </c>
      <c r="P5" s="10" t="n">
        <v>1.17</v>
      </c>
      <c r="Q5" s="10" t="n">
        <v>0.3</v>
      </c>
      <c r="R5" s="10">
        <f>(H5-I5)-(F5-G5)</f>
        <v/>
      </c>
      <c r="S5" s="10">
        <f>(H5+I5)-(F5+G5)</f>
        <v/>
      </c>
      <c r="T5" s="10" t="n">
        <v>1.62</v>
      </c>
      <c r="U5" s="10" t="n">
        <v>1.02</v>
      </c>
      <c r="V5" s="10" t="n">
        <v>0.61</v>
      </c>
      <c r="W5" s="10" t="n">
        <v>6.03</v>
      </c>
      <c r="X5" s="10" t="n">
        <v>4.45</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0.5</v>
      </c>
      <c r="O6" s="9" t="n">
        <v>-0.04</v>
      </c>
      <c r="P6" s="9" t="n">
        <v>1.04</v>
      </c>
      <c r="Q6" s="9" t="n">
        <v>0.23</v>
      </c>
      <c r="R6" s="9">
        <f>(H6-I6)-(F6-G6)</f>
        <v/>
      </c>
      <c r="S6" s="9">
        <f>(H6+I6)-(F6+G6)</f>
        <v/>
      </c>
      <c r="T6" s="9" t="n">
        <v>1.74</v>
      </c>
      <c r="U6" s="9" t="n">
        <v>1.71</v>
      </c>
      <c r="V6" s="9" t="n">
        <v>0.04</v>
      </c>
      <c r="W6" s="9" t="n">
        <v>7.77</v>
      </c>
      <c r="X6" s="9" t="n">
        <v>6.16</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-0.6899999999999999</v>
      </c>
      <c r="O7" s="10" t="n">
        <v>0.32</v>
      </c>
      <c r="P7" s="10" t="n">
        <v>0.75</v>
      </c>
      <c r="Q7" s="10" t="n">
        <v>0.25</v>
      </c>
      <c r="R7" s="10">
        <f>(H7-I7)-(F7-G7)</f>
        <v/>
      </c>
      <c r="S7" s="10">
        <f>(H7+I7)-(F7+G7)</f>
        <v/>
      </c>
      <c r="T7" s="10" t="n">
        <v>0.42</v>
      </c>
      <c r="U7" s="10" t="n">
        <v>0.78</v>
      </c>
      <c r="V7" s="10" t="n">
        <v>-0.36</v>
      </c>
      <c r="W7" s="10" t="n">
        <v>8.19</v>
      </c>
      <c r="X7" s="10" t="n">
        <v>6.93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6</v>
      </c>
      <c r="E35" s="19" t="n">
        <v>0.98</v>
      </c>
      <c r="F35" s="19" t="n">
        <v>0.9399999999999999</v>
      </c>
      <c r="G35" s="19" t="n">
        <v>1.27</v>
      </c>
      <c r="H35" s="19" t="n">
        <v>1</v>
      </c>
    </row>
    <row r="36">
      <c r="A36" s="15" t="inlineStr">
        <is>
          <t>Away</t>
        </is>
      </c>
      <c r="B36" s="15" t="n">
        <v>3</v>
      </c>
      <c r="C36" s="15" t="n">
        <v>3</v>
      </c>
      <c r="D36" s="15" t="n">
        <v>7</v>
      </c>
      <c r="E36" s="19" t="n">
        <v>-0.39</v>
      </c>
      <c r="F36" s="19" t="n">
        <v>-0.74</v>
      </c>
      <c r="G36" s="19" t="n">
        <v>0.78</v>
      </c>
      <c r="H36" s="19" t="n">
        <v>0.35</v>
      </c>
    </row>
    <row r="37">
      <c r="A37" s="20" t="inlineStr">
        <is>
          <t>Total</t>
        </is>
      </c>
      <c r="B37" s="20" t="n">
        <v>6</v>
      </c>
      <c r="C37" s="20" t="n">
        <v>10</v>
      </c>
      <c r="D37" s="20" t="n">
        <v>13</v>
      </c>
      <c r="E37" s="21" t="n">
        <v>0.29</v>
      </c>
      <c r="F37" s="21" t="n">
        <v>0.39</v>
      </c>
      <c r="G37" s="21" t="n">
        <v>1.03</v>
      </c>
      <c r="H37" s="21" t="n">
        <v>0.86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-0.03</v>
      </c>
      <c r="O2" s="9" t="n">
        <v>0.29</v>
      </c>
      <c r="P2" s="9" t="n">
        <v>-0.03</v>
      </c>
      <c r="Q2" s="9" t="n">
        <v>0.29</v>
      </c>
      <c r="R2" s="9">
        <f>(H2-I2)-(F2-G2)</f>
        <v/>
      </c>
      <c r="S2" s="9">
        <f>(H2+I2)-(F2+G2)</f>
        <v/>
      </c>
      <c r="T2" s="9" t="n">
        <v>1.86</v>
      </c>
      <c r="U2" s="9" t="n">
        <v>1.54</v>
      </c>
      <c r="V2" s="9" t="n">
        <v>0.33</v>
      </c>
      <c r="W2" s="9" t="n">
        <v>1.86</v>
      </c>
      <c r="X2" s="9" t="n">
        <v>1.54</v>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0.06</v>
      </c>
      <c r="O3" s="10" t="n">
        <v>0.86</v>
      </c>
      <c r="P3" s="10" t="n">
        <v>0.02</v>
      </c>
      <c r="Q3" s="10" t="n">
        <v>0.57</v>
      </c>
      <c r="R3" s="10">
        <f>(H3-I3)-(F3-G3)</f>
        <v/>
      </c>
      <c r="S3" s="10">
        <f>(H3+I3)-(F3+G3)</f>
        <v/>
      </c>
      <c r="T3" s="10" t="n">
        <v>0.91</v>
      </c>
      <c r="U3" s="10" t="n">
        <v>1.77</v>
      </c>
      <c r="V3" s="10" t="n">
        <v>-0.86</v>
      </c>
      <c r="W3" s="10" t="n">
        <v>2.78</v>
      </c>
      <c r="X3" s="10" t="n">
        <v>3.31</v>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0.12</v>
      </c>
      <c r="O4" s="9" t="n">
        <v>0.8100000000000001</v>
      </c>
      <c r="P4" s="9" t="n">
        <v>0.05</v>
      </c>
      <c r="Q4" s="9" t="n">
        <v>0.65</v>
      </c>
      <c r="R4" s="9">
        <f>(H4-I4)-(F4-G4)</f>
        <v/>
      </c>
      <c r="S4" s="9">
        <f>(H4+I4)-(F4+G4)</f>
        <v/>
      </c>
      <c r="T4" s="9" t="n">
        <v>1.61</v>
      </c>
      <c r="U4" s="9" t="n">
        <v>2</v>
      </c>
      <c r="V4" s="9" t="n">
        <v>-0.39</v>
      </c>
      <c r="W4" s="9" t="n">
        <v>4.39</v>
      </c>
      <c r="X4" s="9" t="n">
        <v>5.32</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-0.38</v>
      </c>
      <c r="O5" s="10" t="n">
        <v>-0.13</v>
      </c>
      <c r="P5" s="10" t="n">
        <v>-0.05</v>
      </c>
      <c r="Q5" s="10" t="n">
        <v>0.46</v>
      </c>
      <c r="R5" s="10">
        <f>(H5-I5)-(F5-G5)</f>
        <v/>
      </c>
      <c r="S5" s="10">
        <f>(H5+I5)-(F5+G5)</f>
        <v/>
      </c>
      <c r="T5" s="10" t="n">
        <v>1.33</v>
      </c>
      <c r="U5" s="10" t="n">
        <v>1.76</v>
      </c>
      <c r="V5" s="10" t="n">
        <v>-0.44</v>
      </c>
      <c r="W5" s="10" t="n">
        <v>5.71</v>
      </c>
      <c r="X5" s="10" t="n">
        <v>7.08</v>
      </c>
    </row>
    <row r="6">
      <c r="A6" s="6" t="inlineStr">
        <is>
          <t>2026-09-05</t>
        </is>
      </c>
      <c r="B6" s="6" t="inlineStr">
        <is>
          <t>Chesterfield</t>
        </is>
      </c>
      <c r="C6" s="6" t="inlineStr">
        <is>
          <t>Away</t>
        </is>
      </c>
      <c r="D6" s="6" t="n">
        <v>3</v>
      </c>
      <c r="E6" s="6" t="n">
        <v>3</v>
      </c>
      <c r="F6" s="9" t="n">
        <v>1.24</v>
      </c>
      <c r="G6" s="9" t="n">
        <v>1.59</v>
      </c>
      <c r="H6" s="9" t="n">
        <v>2.36</v>
      </c>
      <c r="I6" s="9" t="n">
        <v>2.08</v>
      </c>
      <c r="J6" s="9" t="n">
        <v>1.12</v>
      </c>
      <c r="K6" s="9" t="n">
        <v>0.49</v>
      </c>
      <c r="L6" s="9" t="n">
        <v>0.07000000000000001</v>
      </c>
      <c r="M6" s="9" t="n">
        <v>0.34</v>
      </c>
      <c r="N6" s="9" t="n">
        <v>1.07</v>
      </c>
      <c r="O6" s="9" t="n">
        <v>-0.07000000000000001</v>
      </c>
      <c r="P6" s="9" t="n">
        <v>0.17</v>
      </c>
      <c r="Q6" s="9" t="n">
        <v>0.35</v>
      </c>
      <c r="R6" s="9">
        <f>(H6-I6)-(F6-G6)</f>
        <v/>
      </c>
      <c r="S6" s="9">
        <f>(H6+I6)-(F6+G6)</f>
        <v/>
      </c>
      <c r="T6" s="9" t="n">
        <v>1.56</v>
      </c>
      <c r="U6" s="9" t="n">
        <v>1.14</v>
      </c>
      <c r="V6" s="9" t="n">
        <v>0.41</v>
      </c>
      <c r="W6" s="9" t="n">
        <v>7.27</v>
      </c>
      <c r="X6" s="9" t="n">
        <v>8.220000000000001</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0.12</v>
      </c>
      <c r="M7" s="10" t="n">
        <v>0.23</v>
      </c>
      <c r="N7" s="10" t="n">
        <v>0.03</v>
      </c>
      <c r="O7" s="10" t="n">
        <v>-1.21</v>
      </c>
      <c r="P7" s="10" t="n">
        <v>0.15</v>
      </c>
      <c r="Q7" s="10" t="n">
        <v>0.09</v>
      </c>
      <c r="R7" s="10">
        <f>(H7-I7)-(F7-G7)</f>
        <v/>
      </c>
      <c r="S7" s="10">
        <f>(H7+I7)-(F7+G7)</f>
        <v/>
      </c>
      <c r="T7" s="10" t="n">
        <v>2.42</v>
      </c>
      <c r="U7" s="10" t="n">
        <v>2.01</v>
      </c>
      <c r="V7" s="10" t="n">
        <v>0.41</v>
      </c>
      <c r="W7" s="10" t="n">
        <v>9.69</v>
      </c>
      <c r="X7" s="10" t="n">
        <v>10.24</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4</v>
      </c>
      <c r="E35" s="19" t="n">
        <v>0.21</v>
      </c>
      <c r="F35" s="19" t="n">
        <v>0.46</v>
      </c>
      <c r="G35" s="19" t="n">
        <v>0.38</v>
      </c>
      <c r="H35" s="19" t="n">
        <v>0.04</v>
      </c>
    </row>
    <row r="36">
      <c r="A36" s="15" t="inlineStr">
        <is>
          <t>Away</t>
        </is>
      </c>
      <c r="B36" s="15" t="n">
        <v>3</v>
      </c>
      <c r="C36" s="15" t="n">
        <v>7</v>
      </c>
      <c r="D36" s="15" t="n">
        <v>5</v>
      </c>
      <c r="E36" s="19" t="n">
        <v>-0.42</v>
      </c>
      <c r="F36" s="19" t="n">
        <v>-0.61</v>
      </c>
      <c r="G36" s="19" t="n">
        <v>0.32</v>
      </c>
      <c r="H36" s="19" t="n">
        <v>0.22</v>
      </c>
    </row>
    <row r="37">
      <c r="A37" s="20" t="inlineStr">
        <is>
          <t>Total</t>
        </is>
      </c>
      <c r="B37" s="20" t="n">
        <v>6</v>
      </c>
      <c r="C37" s="20" t="n">
        <v>14</v>
      </c>
      <c r="D37" s="20" t="n">
        <v>9</v>
      </c>
      <c r="E37" s="21" t="n">
        <v>-0.11</v>
      </c>
      <c r="F37" s="21" t="n">
        <v>-0.05</v>
      </c>
      <c r="G37" s="21" t="n">
        <v>0.35</v>
      </c>
      <c r="H37" s="21" t="n">
        <v>0.13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0.92</v>
      </c>
      <c r="O2" s="9" t="n">
        <v>-0.07000000000000001</v>
      </c>
      <c r="P2" s="9" t="n">
        <v>0.92</v>
      </c>
      <c r="Q2" s="9" t="n">
        <v>-0.07000000000000001</v>
      </c>
      <c r="R2" s="9">
        <f>(H2-I2)-(F2-G2)</f>
        <v/>
      </c>
      <c r="S2" s="9">
        <f>(H2+I2)-(F2+G2)</f>
        <v/>
      </c>
      <c r="T2" s="9" t="n">
        <v>1.33</v>
      </c>
      <c r="U2" s="9" t="n">
        <v>1.14</v>
      </c>
      <c r="V2" s="9" t="n">
        <v>0.19</v>
      </c>
      <c r="W2" s="9" t="n">
        <v>1.33</v>
      </c>
      <c r="X2" s="9" t="n">
        <v>1.14</v>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2.77</v>
      </c>
      <c r="O3" s="10" t="n">
        <v>-0.3</v>
      </c>
      <c r="P3" s="10" t="n">
        <v>1.84</v>
      </c>
      <c r="Q3" s="10" t="n">
        <v>-0.18</v>
      </c>
      <c r="R3" s="10">
        <f>(H3-I3)-(F3-G3)</f>
        <v/>
      </c>
      <c r="S3" s="10">
        <f>(H3+I3)-(F3+G3)</f>
        <v/>
      </c>
      <c r="T3" s="10" t="n">
        <v>2.8</v>
      </c>
      <c r="U3" s="10" t="n">
        <v>1.98</v>
      </c>
      <c r="V3" s="10" t="n">
        <v>0.83</v>
      </c>
      <c r="W3" s="10" t="n">
        <v>4.14</v>
      </c>
      <c r="X3" s="10" t="n">
        <v>3.12</v>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-0.41</v>
      </c>
      <c r="L4" s="9" t="n">
        <v>1.12</v>
      </c>
      <c r="M4" s="9" t="n">
        <v>-0.06</v>
      </c>
      <c r="N4" s="9" t="n">
        <v>0.5600000000000001</v>
      </c>
      <c r="O4" s="9" t="n">
        <v>-0.92</v>
      </c>
      <c r="P4" s="9" t="n">
        <v>1.41</v>
      </c>
      <c r="Q4" s="9" t="n">
        <v>-0.43</v>
      </c>
      <c r="R4" s="9">
        <f>(H4-I4)-(F4-G4)</f>
        <v/>
      </c>
      <c r="S4" s="9">
        <f>(H4+I4)-(F4+G4)</f>
        <v/>
      </c>
      <c r="T4" s="9" t="n">
        <v>2.21</v>
      </c>
      <c r="U4" s="9" t="n">
        <v>1.64</v>
      </c>
      <c r="V4" s="9" t="n">
        <v>0.58</v>
      </c>
      <c r="W4" s="9" t="n">
        <v>6.35</v>
      </c>
      <c r="X4" s="9" t="n">
        <v>4.75</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1.23</v>
      </c>
      <c r="O5" s="10" t="n">
        <v>-0.25</v>
      </c>
      <c r="P5" s="10" t="n">
        <v>1.37</v>
      </c>
      <c r="Q5" s="10" t="n">
        <v>-0.39</v>
      </c>
      <c r="R5" s="10">
        <f>(H5-I5)-(F5-G5)</f>
        <v/>
      </c>
      <c r="S5" s="10">
        <f>(H5+I5)-(F5+G5)</f>
        <v/>
      </c>
      <c r="T5" s="10" t="n">
        <v>2.52</v>
      </c>
      <c r="U5" s="10" t="n">
        <v>1.82</v>
      </c>
      <c r="V5" s="10" t="n">
        <v>0.7</v>
      </c>
      <c r="W5" s="10" t="n">
        <v>8.869999999999999</v>
      </c>
      <c r="X5" s="10" t="n">
        <v>6.57</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-0.93</v>
      </c>
      <c r="O6" s="9" t="n">
        <v>-1.35</v>
      </c>
      <c r="P6" s="9" t="n">
        <v>0.91</v>
      </c>
      <c r="Q6" s="9" t="n">
        <v>-0.58</v>
      </c>
      <c r="R6" s="9">
        <f>(H6-I6)-(F6-G6)</f>
        <v/>
      </c>
      <c r="S6" s="9">
        <f>(H6+I6)-(F6+G6)</f>
        <v/>
      </c>
      <c r="T6" s="9" t="n">
        <v>1.5</v>
      </c>
      <c r="U6" s="9" t="n">
        <v>1.89</v>
      </c>
      <c r="V6" s="9" t="n">
        <v>-0.39</v>
      </c>
      <c r="W6" s="9" t="n">
        <v>10.38</v>
      </c>
      <c r="X6" s="9" t="n">
        <v>8.460000000000001</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-1.63</v>
      </c>
      <c r="O7" s="10" t="n">
        <v>-0.31</v>
      </c>
      <c r="P7" s="10" t="n">
        <v>0.49</v>
      </c>
      <c r="Q7" s="10" t="n">
        <v>-0.53</v>
      </c>
      <c r="R7" s="10">
        <f>(H7-I7)-(F7-G7)</f>
        <v/>
      </c>
      <c r="S7" s="10">
        <f>(H7+I7)-(F7+G7)</f>
        <v/>
      </c>
      <c r="T7" s="10" t="n">
        <v>0.33</v>
      </c>
      <c r="U7" s="10" t="n">
        <v>1.25</v>
      </c>
      <c r="V7" s="10" t="n">
        <v>-0.93</v>
      </c>
      <c r="W7" s="10" t="n">
        <v>10.7</v>
      </c>
      <c r="X7" s="10" t="n">
        <v>9.710000000000001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8</v>
      </c>
      <c r="D35" s="15" t="n">
        <v>3</v>
      </c>
      <c r="E35" s="19" t="n">
        <v>1.12</v>
      </c>
      <c r="F35" s="19" t="n">
        <v>1.48</v>
      </c>
      <c r="G35" s="19" t="n">
        <v>0.44</v>
      </c>
      <c r="H35" s="19" t="n">
        <v>1.02</v>
      </c>
    </row>
    <row r="36">
      <c r="A36" s="15" t="inlineStr">
        <is>
          <t>Away</t>
        </is>
      </c>
      <c r="B36" s="15" t="n">
        <v>3</v>
      </c>
      <c r="C36" s="15" t="n">
        <v>4</v>
      </c>
      <c r="D36" s="15" t="n">
        <v>5</v>
      </c>
      <c r="E36" s="19" t="n">
        <v>-0.02</v>
      </c>
      <c r="F36" s="19" t="n">
        <v>0.22</v>
      </c>
      <c r="G36" s="19" t="n">
        <v>-0</v>
      </c>
      <c r="H36" s="19" t="n">
        <v>0.05</v>
      </c>
    </row>
    <row r="37">
      <c r="A37" s="20" t="inlineStr">
        <is>
          <t>Total</t>
        </is>
      </c>
      <c r="B37" s="20" t="n">
        <v>6</v>
      </c>
      <c r="C37" s="20" t="n">
        <v>12</v>
      </c>
      <c r="D37" s="20" t="n">
        <v>8</v>
      </c>
      <c r="E37" s="21" t="n">
        <v>0.55</v>
      </c>
      <c r="F37" s="21" t="n">
        <v>0.55</v>
      </c>
      <c r="G37" s="21" t="n">
        <v>0.22</v>
      </c>
      <c r="H37" s="21" t="n">
        <v>0.54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-0.48</v>
      </c>
      <c r="O2" s="9" t="n">
        <v>0.26</v>
      </c>
      <c r="P2" s="9" t="n">
        <v>-0.48</v>
      </c>
      <c r="Q2" s="9" t="n">
        <v>0.26</v>
      </c>
      <c r="R2" s="9">
        <f>(H2-I2)-(F2-G2)</f>
        <v/>
      </c>
      <c r="S2" s="9">
        <f>(H2+I2)-(F2+G2)</f>
        <v/>
      </c>
      <c r="T2" s="9" t="n">
        <v>0.43</v>
      </c>
      <c r="U2" s="9" t="n">
        <v>1.33</v>
      </c>
      <c r="V2" s="9" t="n">
        <v>-0.9</v>
      </c>
      <c r="W2" s="9" t="n">
        <v>0.43</v>
      </c>
      <c r="X2" s="9" t="n">
        <v>1.33</v>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-0.06</v>
      </c>
      <c r="O3" s="10" t="n">
        <v>-0.58</v>
      </c>
      <c r="P3" s="10" t="n">
        <v>-0.27</v>
      </c>
      <c r="Q3" s="10" t="n">
        <v>-0.16</v>
      </c>
      <c r="R3" s="10">
        <f>(H3-I3)-(F3-G3)</f>
        <v/>
      </c>
      <c r="S3" s="10">
        <f>(H3+I3)-(F3+G3)</f>
        <v/>
      </c>
      <c r="T3" s="10" t="n">
        <v>1.4</v>
      </c>
      <c r="U3" s="10" t="n">
        <v>0.92</v>
      </c>
      <c r="V3" s="10" t="n">
        <v>0.48</v>
      </c>
      <c r="W3" s="10" t="n">
        <v>1.83</v>
      </c>
      <c r="X3" s="10" t="n">
        <v>2.24</v>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0.76</v>
      </c>
      <c r="O4" s="9" t="n">
        <v>0.21</v>
      </c>
      <c r="P4" s="9" t="n">
        <v>0.07000000000000001</v>
      </c>
      <c r="Q4" s="9" t="n">
        <v>-0.04</v>
      </c>
      <c r="R4" s="9">
        <f>(H4-I4)-(F4-G4)</f>
        <v/>
      </c>
      <c r="S4" s="9">
        <f>(H4+I4)-(F4+G4)</f>
        <v/>
      </c>
      <c r="T4" s="9" t="n">
        <v>1.18</v>
      </c>
      <c r="U4" s="9" t="n">
        <v>0.77</v>
      </c>
      <c r="V4" s="9" t="n">
        <v>0.41</v>
      </c>
      <c r="W4" s="9" t="n">
        <v>3.01</v>
      </c>
      <c r="X4" s="9" t="n">
        <v>3.02</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0.34</v>
      </c>
      <c r="O5" s="10" t="n">
        <v>0.38</v>
      </c>
      <c r="P5" s="10" t="n">
        <v>0.14</v>
      </c>
      <c r="Q5" s="10" t="n">
        <v>0.06</v>
      </c>
      <c r="R5" s="10">
        <f>(H5-I5)-(F5-G5)</f>
        <v/>
      </c>
      <c r="S5" s="10">
        <f>(H5+I5)-(F5+G5)</f>
        <v/>
      </c>
      <c r="T5" s="10" t="n">
        <v>0.73</v>
      </c>
      <c r="U5" s="10" t="n">
        <v>0.98</v>
      </c>
      <c r="V5" s="10" t="n">
        <v>-0.25</v>
      </c>
      <c r="W5" s="10" t="n">
        <v>3.74</v>
      </c>
      <c r="X5" s="10" t="n">
        <v>4</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-0.01</v>
      </c>
      <c r="O6" s="9" t="n">
        <v>-0.31</v>
      </c>
      <c r="P6" s="9" t="n">
        <v>0.11</v>
      </c>
      <c r="Q6" s="9" t="n">
        <v>-0.01</v>
      </c>
      <c r="R6" s="9">
        <f>(H6-I6)-(F6-G6)</f>
        <v/>
      </c>
      <c r="S6" s="9">
        <f>(H6+I6)-(F6+G6)</f>
        <v/>
      </c>
      <c r="T6" s="9" t="n">
        <v>1.18</v>
      </c>
      <c r="U6" s="9" t="n">
        <v>1.04</v>
      </c>
      <c r="V6" s="9" t="n">
        <v>0.14</v>
      </c>
      <c r="W6" s="9" t="n">
        <v>4.92</v>
      </c>
      <c r="X6" s="9" t="n">
        <v>5.03</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0.6</v>
      </c>
      <c r="O7" s="10" t="n">
        <v>-0.53</v>
      </c>
      <c r="P7" s="10" t="n">
        <v>0.19</v>
      </c>
      <c r="Q7" s="10" t="n">
        <v>-0.1</v>
      </c>
      <c r="R7" s="10">
        <f>(H7-I7)-(F7-G7)</f>
        <v/>
      </c>
      <c r="S7" s="10">
        <f>(H7+I7)-(F7+G7)</f>
        <v/>
      </c>
      <c r="T7" s="10" t="n">
        <v>1.68</v>
      </c>
      <c r="U7" s="10" t="n">
        <v>1.3</v>
      </c>
      <c r="V7" s="10" t="n">
        <v>0.38</v>
      </c>
      <c r="W7" s="10" t="n">
        <v>6.59</v>
      </c>
      <c r="X7" s="10" t="n">
        <v>6.33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7</v>
      </c>
      <c r="D35" s="15" t="n">
        <v>5</v>
      </c>
      <c r="E35" s="19" t="n">
        <v>-0.65</v>
      </c>
      <c r="F35" s="19" t="n">
        <v>-0.63</v>
      </c>
      <c r="G35" s="19" t="n">
        <v>0.44</v>
      </c>
      <c r="H35" s="19" t="n">
        <v>0.14</v>
      </c>
    </row>
    <row r="36">
      <c r="A36" s="15" t="inlineStr">
        <is>
          <t>Away</t>
        </is>
      </c>
      <c r="B36" s="15" t="n">
        <v>3</v>
      </c>
      <c r="C36" s="15" t="n">
        <v>6</v>
      </c>
      <c r="D36" s="15" t="n">
        <v>5</v>
      </c>
      <c r="E36" s="19" t="n">
        <v>0.63</v>
      </c>
      <c r="F36" s="19" t="n">
        <v>0.57</v>
      </c>
      <c r="G36" s="19" t="n">
        <v>0.3</v>
      </c>
      <c r="H36" s="19" t="n">
        <v>0.4</v>
      </c>
    </row>
    <row r="37">
      <c r="A37" s="20" t="inlineStr">
        <is>
          <t>Total</t>
        </is>
      </c>
      <c r="B37" s="20" t="n">
        <v>6</v>
      </c>
      <c r="C37" s="20" t="n">
        <v>13</v>
      </c>
      <c r="D37" s="20" t="n">
        <v>10</v>
      </c>
      <c r="E37" s="21" t="n">
        <v>-0.01</v>
      </c>
      <c r="F37" s="21" t="n">
        <v>0.39</v>
      </c>
      <c r="G37" s="21" t="n">
        <v>0.37</v>
      </c>
      <c r="H37" s="21" t="n">
        <v>0.27</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-0.02</v>
      </c>
      <c r="O2" s="9" t="n">
        <v>0.47</v>
      </c>
      <c r="P2" s="9" t="n">
        <v>-0.02</v>
      </c>
      <c r="Q2" s="9" t="n">
        <v>0.47</v>
      </c>
      <c r="R2" s="9">
        <f>(H2-I2)-(F2-G2)</f>
        <v/>
      </c>
      <c r="S2" s="9">
        <f>(H2+I2)-(F2+G2)</f>
        <v/>
      </c>
      <c r="T2" s="9" t="n">
        <v>2.04</v>
      </c>
      <c r="U2" s="9" t="n">
        <v>1.85</v>
      </c>
      <c r="V2" s="9" t="n">
        <v>0.2</v>
      </c>
      <c r="W2" s="9" t="n">
        <v>2.04</v>
      </c>
      <c r="X2" s="9" t="n">
        <v>1.85</v>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1.23</v>
      </c>
      <c r="O3" s="10" t="n">
        <v>-0.58</v>
      </c>
      <c r="P3" s="10" t="n">
        <v>0.6</v>
      </c>
      <c r="Q3" s="10" t="n">
        <v>-0.05</v>
      </c>
      <c r="R3" s="10">
        <f>(H3-I3)-(F3-G3)</f>
        <v/>
      </c>
      <c r="S3" s="10">
        <f>(H3+I3)-(F3+G3)</f>
        <v/>
      </c>
      <c r="T3" s="10" t="n">
        <v>2.48</v>
      </c>
      <c r="U3" s="10" t="n">
        <v>1.04</v>
      </c>
      <c r="V3" s="10" t="n">
        <v>1.45</v>
      </c>
      <c r="W3" s="10" t="n">
        <v>4.53</v>
      </c>
      <c r="X3" s="10" t="n">
        <v>2.88</v>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-0.03</v>
      </c>
      <c r="O4" s="9" t="n">
        <v>1.35</v>
      </c>
      <c r="P4" s="9" t="n">
        <v>0.39</v>
      </c>
      <c r="Q4" s="9" t="n">
        <v>0.41</v>
      </c>
      <c r="R4" s="9">
        <f>(H4-I4)-(F4-G4)</f>
        <v/>
      </c>
      <c r="S4" s="9">
        <f>(H4+I4)-(F4+G4)</f>
        <v/>
      </c>
      <c r="T4" s="9" t="n">
        <v>0.47</v>
      </c>
      <c r="U4" s="9" t="n">
        <v>1.52</v>
      </c>
      <c r="V4" s="9" t="n">
        <v>-1.05</v>
      </c>
      <c r="W4" s="9" t="n">
        <v>5</v>
      </c>
      <c r="X4" s="9" t="n">
        <v>4.41</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0.28</v>
      </c>
      <c r="O5" s="10" t="n">
        <v>-0.45</v>
      </c>
      <c r="P5" s="10" t="n">
        <v>0.36</v>
      </c>
      <c r="Q5" s="10" t="n">
        <v>0.2</v>
      </c>
      <c r="R5" s="10">
        <f>(H5-I5)-(F5-G5)</f>
        <v/>
      </c>
      <c r="S5" s="10">
        <f>(H5+I5)-(F5+G5)</f>
        <v/>
      </c>
      <c r="T5" s="10" t="n">
        <v>2.36</v>
      </c>
      <c r="U5" s="10" t="n">
        <v>2.03</v>
      </c>
      <c r="V5" s="10" t="n">
        <v>0.33</v>
      </c>
      <c r="W5" s="10" t="n">
        <v>7.36</v>
      </c>
      <c r="X5" s="10" t="n">
        <v>6.43</v>
      </c>
    </row>
    <row r="6">
      <c r="A6" s="6" t="inlineStr">
        <is>
          <t>2026-09-05</t>
        </is>
      </c>
      <c r="B6" s="6" t="inlineStr">
        <is>
          <t>Barnet</t>
        </is>
      </c>
      <c r="C6" s="6" t="inlineStr">
        <is>
          <t>Home</t>
        </is>
      </c>
      <c r="D6" s="6" t="n">
        <v>3</v>
      </c>
      <c r="E6" s="6" t="n">
        <v>3</v>
      </c>
      <c r="F6" s="9" t="n">
        <v>1.59</v>
      </c>
      <c r="G6" s="9" t="n">
        <v>1.24</v>
      </c>
      <c r="H6" s="9" t="n">
        <v>2.08</v>
      </c>
      <c r="I6" s="9" t="n">
        <v>2.36</v>
      </c>
      <c r="J6" s="9" t="n">
        <v>0.49</v>
      </c>
      <c r="K6" s="9" t="n">
        <v>1.12</v>
      </c>
      <c r="L6" s="9" t="n">
        <v>0.44</v>
      </c>
      <c r="M6" s="9" t="n">
        <v>0.35</v>
      </c>
      <c r="N6" s="9" t="n">
        <v>0.31</v>
      </c>
      <c r="O6" s="9" t="n">
        <v>1.19</v>
      </c>
      <c r="P6" s="9" t="n">
        <v>0.35</v>
      </c>
      <c r="Q6" s="9" t="n">
        <v>0.4</v>
      </c>
      <c r="R6" s="9">
        <f>(H6-I6)-(F6-G6)</f>
        <v/>
      </c>
      <c r="S6" s="9">
        <f>(H6+I6)-(F6+G6)</f>
        <v/>
      </c>
      <c r="T6" s="9" t="n">
        <v>1.25</v>
      </c>
      <c r="U6" s="9" t="n">
        <v>1.61</v>
      </c>
      <c r="V6" s="9" t="n">
        <v>-0.36</v>
      </c>
      <c r="W6" s="9" t="n">
        <v>8.609999999999999</v>
      </c>
      <c r="X6" s="9" t="n">
        <v>8.050000000000001</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0.55</v>
      </c>
      <c r="M7" s="10" t="n">
        <v>0.22</v>
      </c>
      <c r="N7" s="10" t="n">
        <v>1.16</v>
      </c>
      <c r="O7" s="10" t="n">
        <v>-0.59</v>
      </c>
      <c r="P7" s="10" t="n">
        <v>0.49</v>
      </c>
      <c r="Q7" s="10" t="n">
        <v>0.23</v>
      </c>
      <c r="R7" s="10">
        <f>(H7-I7)-(F7-G7)</f>
        <v/>
      </c>
      <c r="S7" s="10">
        <f>(H7+I7)-(F7+G7)</f>
        <v/>
      </c>
      <c r="T7" s="10" t="n">
        <v>2.1</v>
      </c>
      <c r="U7" s="10" t="n">
        <v>1.15</v>
      </c>
      <c r="V7" s="10" t="n">
        <v>0.95</v>
      </c>
      <c r="W7" s="10" t="n">
        <v>10.71</v>
      </c>
      <c r="X7" s="10" t="n">
        <v>9.19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5</v>
      </c>
      <c r="E35" s="19" t="n">
        <v>0.1</v>
      </c>
      <c r="F35" s="19" t="n">
        <v>0.38</v>
      </c>
      <c r="G35" s="19" t="n">
        <v>0.76</v>
      </c>
      <c r="H35" s="19" t="n">
        <v>0.6899999999999999</v>
      </c>
    </row>
    <row r="36">
      <c r="A36" s="15" t="inlineStr">
        <is>
          <t>Away</t>
        </is>
      </c>
      <c r="B36" s="15" t="n">
        <v>3</v>
      </c>
      <c r="C36" s="15" t="n">
        <v>4</v>
      </c>
      <c r="D36" s="15" t="n">
        <v>3</v>
      </c>
      <c r="E36" s="19" t="n">
        <v>0.55</v>
      </c>
      <c r="F36" s="19" t="n">
        <v>1.49</v>
      </c>
      <c r="G36" s="19" t="n">
        <v>0.78</v>
      </c>
      <c r="H36" s="19" t="n">
        <v>0.66</v>
      </c>
    </row>
    <row r="37">
      <c r="A37" s="20" t="inlineStr">
        <is>
          <t>Total</t>
        </is>
      </c>
      <c r="B37" s="20" t="n">
        <v>6</v>
      </c>
      <c r="C37" s="20" t="n">
        <v>8</v>
      </c>
      <c r="D37" s="20" t="n">
        <v>8</v>
      </c>
      <c r="E37" s="21" t="n">
        <v>0.32</v>
      </c>
      <c r="F37" s="21" t="n">
        <v>0.46</v>
      </c>
      <c r="G37" s="21" t="n">
        <v>0.77</v>
      </c>
      <c r="H37" s="21" t="n">
        <v>0.68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-0.98</v>
      </c>
      <c r="O2" s="9" t="n">
        <v>0.95</v>
      </c>
      <c r="P2" s="9" t="n">
        <v>-0.98</v>
      </c>
      <c r="Q2" s="9" t="n">
        <v>0.95</v>
      </c>
      <c r="R2" s="9">
        <f>(H2-I2)-(F2-G2)</f>
        <v/>
      </c>
      <c r="S2" s="9">
        <f>(H2+I2)-(F2+G2)</f>
        <v/>
      </c>
      <c r="T2" s="9" t="n">
        <v>0.35</v>
      </c>
      <c r="U2" s="9" t="n">
        <v>1.26</v>
      </c>
      <c r="V2" s="9" t="n">
        <v>-0.92</v>
      </c>
      <c r="W2" s="9" t="n">
        <v>0.35</v>
      </c>
      <c r="X2" s="9" t="n">
        <v>1.26</v>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1.05</v>
      </c>
      <c r="O3" s="10" t="n">
        <v>-1.34</v>
      </c>
      <c r="P3" s="10" t="n">
        <v>0.04</v>
      </c>
      <c r="Q3" s="10" t="n">
        <v>-0.19</v>
      </c>
      <c r="R3" s="10">
        <f>(H3-I3)-(F3-G3)</f>
        <v/>
      </c>
      <c r="S3" s="10">
        <f>(H3+I3)-(F3+G3)</f>
        <v/>
      </c>
      <c r="T3" s="10" t="n">
        <v>2.66</v>
      </c>
      <c r="U3" s="10" t="n">
        <v>1.43</v>
      </c>
      <c r="V3" s="10" t="n">
        <v>1.24</v>
      </c>
      <c r="W3" s="10" t="n">
        <v>3.01</v>
      </c>
      <c r="X3" s="10" t="n">
        <v>2.69</v>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-0.73</v>
      </c>
      <c r="O4" s="9" t="n">
        <v>0.45</v>
      </c>
      <c r="P4" s="9" t="n">
        <v>-0.22</v>
      </c>
      <c r="Q4" s="9" t="n">
        <v>0.02</v>
      </c>
      <c r="R4" s="9">
        <f>(H4-I4)-(F4-G4)</f>
        <v/>
      </c>
      <c r="S4" s="9">
        <f>(H4+I4)-(F4+G4)</f>
        <v/>
      </c>
      <c r="T4" s="9" t="n">
        <v>1.61</v>
      </c>
      <c r="U4" s="9" t="n">
        <v>1.54</v>
      </c>
      <c r="V4" s="9" t="n">
        <v>0.08</v>
      </c>
      <c r="W4" s="9" t="n">
        <v>4.62</v>
      </c>
      <c r="X4" s="9" t="n">
        <v>4.23</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-0.08</v>
      </c>
      <c r="O5" s="10" t="n">
        <v>1.03</v>
      </c>
      <c r="P5" s="10" t="n">
        <v>-0.18</v>
      </c>
      <c r="Q5" s="10" t="n">
        <v>0.27</v>
      </c>
      <c r="R5" s="10">
        <f>(H5-I5)-(F5-G5)</f>
        <v/>
      </c>
      <c r="S5" s="10">
        <f>(H5+I5)-(F5+G5)</f>
        <v/>
      </c>
      <c r="T5" s="10" t="n">
        <v>0.35</v>
      </c>
      <c r="U5" s="10" t="n">
        <v>0.95</v>
      </c>
      <c r="V5" s="10" t="n">
        <v>-0.59</v>
      </c>
      <c r="W5" s="10" t="n">
        <v>4.98</v>
      </c>
      <c r="X5" s="10" t="n">
        <v>5.17</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0.05</v>
      </c>
      <c r="O6" s="9" t="n">
        <v>1.05</v>
      </c>
      <c r="P6" s="9" t="n">
        <v>-0.14</v>
      </c>
      <c r="Q6" s="9" t="n">
        <v>0.43</v>
      </c>
      <c r="R6" s="9">
        <f>(H6-I6)-(F6-G6)</f>
        <v/>
      </c>
      <c r="S6" s="9">
        <f>(H6+I6)-(F6+G6)</f>
        <v/>
      </c>
      <c r="T6" s="9" t="n">
        <v>1.05</v>
      </c>
      <c r="U6" s="9" t="n">
        <v>1.33</v>
      </c>
      <c r="V6" s="9" t="n">
        <v>-0.28</v>
      </c>
      <c r="W6" s="9" t="n">
        <v>6.03</v>
      </c>
      <c r="X6" s="9" t="n">
        <v>6.5</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-0.37</v>
      </c>
      <c r="O7" s="10" t="n">
        <v>-0.51</v>
      </c>
      <c r="P7" s="10" t="n">
        <v>-0.17</v>
      </c>
      <c r="Q7" s="10" t="n">
        <v>0.27</v>
      </c>
      <c r="R7" s="10">
        <f>(H7-I7)-(F7-G7)</f>
        <v/>
      </c>
      <c r="S7" s="10">
        <f>(H7+I7)-(F7+G7)</f>
        <v/>
      </c>
      <c r="T7" s="10" t="n">
        <v>1.87</v>
      </c>
      <c r="U7" s="10" t="n">
        <v>1.63</v>
      </c>
      <c r="V7" s="10" t="n">
        <v>0.24</v>
      </c>
      <c r="W7" s="10" t="n">
        <v>7.89</v>
      </c>
      <c r="X7" s="10" t="n">
        <v>8.130000000000001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2</v>
      </c>
      <c r="E35" s="19" t="n">
        <v>0.8</v>
      </c>
      <c r="F35" s="19" t="n">
        <v>0.28</v>
      </c>
      <c r="G35" s="19" t="n">
        <v>-0.54</v>
      </c>
      <c r="H35" s="19" t="n">
        <v>-0.72</v>
      </c>
    </row>
    <row r="36">
      <c r="A36" s="15" t="inlineStr">
        <is>
          <t>Away</t>
        </is>
      </c>
      <c r="B36" s="15" t="n">
        <v>3</v>
      </c>
      <c r="C36" s="15" t="n">
        <v>3</v>
      </c>
      <c r="D36" s="15" t="n">
        <v>7</v>
      </c>
      <c r="E36" s="19" t="n">
        <v>-1.3</v>
      </c>
      <c r="F36" s="19" t="n">
        <v>-1.48</v>
      </c>
      <c r="G36" s="19" t="n">
        <v>0.9399999999999999</v>
      </c>
      <c r="H36" s="19" t="n">
        <v>1</v>
      </c>
    </row>
    <row r="37">
      <c r="A37" s="20" t="inlineStr">
        <is>
          <t>Total</t>
        </is>
      </c>
      <c r="B37" s="20" t="n">
        <v>6</v>
      </c>
      <c r="C37" s="20" t="n">
        <v>7</v>
      </c>
      <c r="D37" s="20" t="n">
        <v>9</v>
      </c>
      <c r="E37" s="21" t="n">
        <v>-0.25</v>
      </c>
      <c r="F37" s="21" t="n">
        <v>-0.21</v>
      </c>
      <c r="G37" s="21" t="n">
        <v>0.2</v>
      </c>
      <c r="H37" s="21" t="n">
        <v>0.38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-0.51</v>
      </c>
      <c r="O2" s="9" t="n">
        <v>1.25</v>
      </c>
      <c r="P2" s="9" t="n">
        <v>-0.51</v>
      </c>
      <c r="Q2" s="9" t="n">
        <v>1.25</v>
      </c>
      <c r="R2" s="9">
        <f>(H2-I2)-(F2-G2)</f>
        <v/>
      </c>
      <c r="S2" s="9">
        <f>(H2+I2)-(F2+G2)</f>
        <v/>
      </c>
      <c r="T2" s="9" t="n">
        <v>0.63</v>
      </c>
      <c r="U2" s="9" t="n">
        <v>1.4</v>
      </c>
      <c r="V2" s="9" t="n">
        <v>-0.77</v>
      </c>
      <c r="W2" s="9" t="n">
        <v>0.63</v>
      </c>
      <c r="X2" s="9" t="n">
        <v>1.4</v>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0.95</v>
      </c>
      <c r="O3" s="10" t="n">
        <v>-0.4</v>
      </c>
      <c r="P3" s="10" t="n">
        <v>0.22</v>
      </c>
      <c r="Q3" s="10" t="n">
        <v>0.43</v>
      </c>
      <c r="R3" s="10">
        <f>(H3-I3)-(F3-G3)</f>
        <v/>
      </c>
      <c r="S3" s="10">
        <f>(H3+I3)-(F3+G3)</f>
        <v/>
      </c>
      <c r="T3" s="10" t="n">
        <v>2.43</v>
      </c>
      <c r="U3" s="10" t="n">
        <v>0.99</v>
      </c>
      <c r="V3" s="10" t="n">
        <v>1.44</v>
      </c>
      <c r="W3" s="10" t="n">
        <v>3.06</v>
      </c>
      <c r="X3" s="10" t="n">
        <v>2.39</v>
      </c>
    </row>
    <row r="4">
      <c r="A4" s="6" t="inlineStr">
        <is>
          <t>2026-08-29</t>
        </is>
      </c>
      <c r="B4" s="6" t="inlineStr">
        <is>
          <t>Bristol Rvs</t>
        </is>
      </c>
      <c r="C4" s="6" t="inlineStr">
        <is>
          <t>Home</t>
        </is>
      </c>
      <c r="D4" s="6" t="n">
        <v>0</v>
      </c>
      <c r="E4" s="6" t="n">
        <v>2</v>
      </c>
      <c r="F4" s="9" t="n">
        <v>1.14</v>
      </c>
      <c r="G4" s="9" t="n">
        <v>1.52</v>
      </c>
      <c r="H4" s="9" t="n">
        <v>0.72</v>
      </c>
      <c r="I4" s="9" t="n">
        <v>1.98</v>
      </c>
      <c r="J4" s="9" t="n">
        <v>-0.41</v>
      </c>
      <c r="K4" s="9" t="n">
        <v>0.46</v>
      </c>
      <c r="L4" s="9" t="n">
        <v>0.09</v>
      </c>
      <c r="M4" s="9" t="n">
        <v>0.09</v>
      </c>
      <c r="N4" s="9" t="n">
        <v>-0.3</v>
      </c>
      <c r="O4" s="9" t="n">
        <v>0.09</v>
      </c>
      <c r="P4" s="9" t="n">
        <v>0.04</v>
      </c>
      <c r="Q4" s="9" t="n">
        <v>0.32</v>
      </c>
      <c r="R4" s="9">
        <f>(H4-I4)-(F4-G4)</f>
        <v/>
      </c>
      <c r="S4" s="9">
        <f>(H4+I4)-(F4+G4)</f>
        <v/>
      </c>
      <c r="T4" s="9" t="n">
        <v>0.58</v>
      </c>
      <c r="U4" s="9" t="n">
        <v>1.11</v>
      </c>
      <c r="V4" s="9" t="n">
        <v>-0.52</v>
      </c>
      <c r="W4" s="9" t="n">
        <v>3.64</v>
      </c>
      <c r="X4" s="9" t="n">
        <v>3.49</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2.28</v>
      </c>
      <c r="O5" s="10" t="n">
        <v>-0.43</v>
      </c>
      <c r="P5" s="10" t="n">
        <v>0.6</v>
      </c>
      <c r="Q5" s="10" t="n">
        <v>0.13</v>
      </c>
      <c r="R5" s="10">
        <f>(H5-I5)-(F5-G5)</f>
        <v/>
      </c>
      <c r="S5" s="10">
        <f>(H5+I5)-(F5+G5)</f>
        <v/>
      </c>
      <c r="T5" s="10" t="n">
        <v>2.58</v>
      </c>
      <c r="U5" s="10" t="n">
        <v>0.87</v>
      </c>
      <c r="V5" s="10" t="n">
        <v>1.71</v>
      </c>
      <c r="W5" s="10" t="n">
        <v>6.22</v>
      </c>
      <c r="X5" s="10" t="n">
        <v>4.36</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-0.06</v>
      </c>
      <c r="O6" s="9" t="n">
        <v>-0.3</v>
      </c>
      <c r="P6" s="9" t="n">
        <v>0.47</v>
      </c>
      <c r="Q6" s="9" t="n">
        <v>0.04</v>
      </c>
      <c r="R6" s="9">
        <f>(H6-I6)-(F6-G6)</f>
        <v/>
      </c>
      <c r="S6" s="9">
        <f>(H6+I6)-(F6+G6)</f>
        <v/>
      </c>
      <c r="T6" s="9" t="n">
        <v>1.04</v>
      </c>
      <c r="U6" s="9" t="n">
        <v>1.05</v>
      </c>
      <c r="V6" s="9" t="n">
        <v>-0.01</v>
      </c>
      <c r="W6" s="9" t="n">
        <v>7.26</v>
      </c>
      <c r="X6" s="9" t="n">
        <v>5.41</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-0.33</v>
      </c>
      <c r="O7" s="10" t="n">
        <v>0.37</v>
      </c>
      <c r="P7" s="10" t="n">
        <v>0.34</v>
      </c>
      <c r="Q7" s="10" t="n">
        <v>0.1</v>
      </c>
      <c r="R7" s="10">
        <f>(H7-I7)-(F7-G7)</f>
        <v/>
      </c>
      <c r="S7" s="10">
        <f>(H7+I7)-(F7+G7)</f>
        <v/>
      </c>
      <c r="T7" s="10" t="n">
        <v>1.1</v>
      </c>
      <c r="U7" s="10" t="n">
        <v>1.45</v>
      </c>
      <c r="V7" s="10" t="n">
        <v>-0.35</v>
      </c>
      <c r="W7" s="10" t="n">
        <v>8.359999999999999</v>
      </c>
      <c r="X7" s="10" t="n">
        <v>6.87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1</v>
      </c>
      <c r="D35" s="15" t="n">
        <v>6</v>
      </c>
      <c r="E35" s="19" t="n">
        <v>-0.92</v>
      </c>
      <c r="F35" s="19" t="n">
        <v>-0.88</v>
      </c>
      <c r="G35" s="19" t="n">
        <v>0.32</v>
      </c>
      <c r="H35" s="19" t="n">
        <v>0.4</v>
      </c>
    </row>
    <row r="36">
      <c r="A36" s="15" t="inlineStr">
        <is>
          <t>Away</t>
        </is>
      </c>
      <c r="B36" s="15" t="n">
        <v>3</v>
      </c>
      <c r="C36" s="15" t="n">
        <v>5</v>
      </c>
      <c r="D36" s="15" t="n">
        <v>5</v>
      </c>
      <c r="E36" s="19" t="n">
        <v>1.65</v>
      </c>
      <c r="F36" s="19" t="n">
        <v>2.2</v>
      </c>
      <c r="G36" s="19" t="n">
        <v>0.38</v>
      </c>
      <c r="H36" s="19" t="n">
        <v>0.42</v>
      </c>
    </row>
    <row r="37">
      <c r="A37" s="20" t="inlineStr">
        <is>
          <t>Total</t>
        </is>
      </c>
      <c r="B37" s="20" t="n">
        <v>6</v>
      </c>
      <c r="C37" s="20" t="n">
        <v>6</v>
      </c>
      <c r="D37" s="20" t="n">
        <v>11</v>
      </c>
      <c r="E37" s="21" t="n">
        <v>0.36</v>
      </c>
      <c r="F37" s="21" t="n">
        <v>-0.33</v>
      </c>
      <c r="G37" s="21" t="n">
        <v>0.35</v>
      </c>
      <c r="H37" s="21" t="n">
        <v>0.41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1.1</v>
      </c>
      <c r="O2" s="9" t="n">
        <v>-0.91</v>
      </c>
      <c r="P2" s="9" t="n">
        <v>1.1</v>
      </c>
      <c r="Q2" s="9" t="n">
        <v>-0.91</v>
      </c>
      <c r="R2" s="9">
        <f>(H2-I2)-(F2-G2)</f>
        <v/>
      </c>
      <c r="S2" s="9">
        <f>(H2+I2)-(F2+G2)</f>
        <v/>
      </c>
      <c r="T2" s="9" t="n">
        <v>2.18</v>
      </c>
      <c r="U2" s="9" t="n">
        <v>1.34</v>
      </c>
      <c r="V2" s="9" t="n">
        <v>0.84</v>
      </c>
      <c r="W2" s="9" t="n">
        <v>2.18</v>
      </c>
      <c r="X2" s="9" t="n">
        <v>1.34</v>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-0.85</v>
      </c>
      <c r="O3" s="10" t="n">
        <v>0.59</v>
      </c>
      <c r="P3" s="10" t="n">
        <v>0.13</v>
      </c>
      <c r="Q3" s="10" t="n">
        <v>-0.16</v>
      </c>
      <c r="R3" s="10">
        <f>(H3-I3)-(F3-G3)</f>
        <v/>
      </c>
      <c r="S3" s="10">
        <f>(H3+I3)-(F3+G3)</f>
        <v/>
      </c>
      <c r="T3" s="10" t="n">
        <v>1.03</v>
      </c>
      <c r="U3" s="10" t="n">
        <v>1.6</v>
      </c>
      <c r="V3" s="10" t="n">
        <v>-0.57</v>
      </c>
      <c r="W3" s="10" t="n">
        <v>3.21</v>
      </c>
      <c r="X3" s="10" t="n">
        <v>2.94</v>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0.1</v>
      </c>
      <c r="O4" s="9" t="n">
        <v>-0.23</v>
      </c>
      <c r="P4" s="9" t="n">
        <v>0.12</v>
      </c>
      <c r="Q4" s="9" t="n">
        <v>-0.18</v>
      </c>
      <c r="R4" s="9">
        <f>(H4-I4)-(F4-G4)</f>
        <v/>
      </c>
      <c r="S4" s="9">
        <f>(H4+I4)-(F4+G4)</f>
        <v/>
      </c>
      <c r="T4" s="9" t="n">
        <v>1.45</v>
      </c>
      <c r="U4" s="9" t="n">
        <v>1.16</v>
      </c>
      <c r="V4" s="9" t="n">
        <v>0.29</v>
      </c>
      <c r="W4" s="9" t="n">
        <v>4.65</v>
      </c>
      <c r="X4" s="9" t="n">
        <v>4.1</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-0.12</v>
      </c>
      <c r="O5" s="10" t="n">
        <v>0.23</v>
      </c>
      <c r="P5" s="10" t="n">
        <v>0.06</v>
      </c>
      <c r="Q5" s="10" t="n">
        <v>-0.08</v>
      </c>
      <c r="R5" s="10">
        <f>(H5-I5)-(F5-G5)</f>
        <v/>
      </c>
      <c r="S5" s="10">
        <f>(H5+I5)-(F5+G5)</f>
        <v/>
      </c>
      <c r="T5" s="10" t="n">
        <v>1.18</v>
      </c>
      <c r="U5" s="10" t="n">
        <v>1.54</v>
      </c>
      <c r="V5" s="10" t="n">
        <v>-0.36</v>
      </c>
      <c r="W5" s="10" t="n">
        <v>5.83</v>
      </c>
      <c r="X5" s="10" t="n">
        <v>5.64</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-0.14</v>
      </c>
      <c r="O6" s="9" t="n">
        <v>0.6</v>
      </c>
      <c r="P6" s="9" t="n">
        <v>0.02</v>
      </c>
      <c r="Q6" s="9" t="n">
        <v>0.06</v>
      </c>
      <c r="R6" s="9">
        <f>(H6-I6)-(F6-G6)</f>
        <v/>
      </c>
      <c r="S6" s="9">
        <f>(H6+I6)-(F6+G6)</f>
        <v/>
      </c>
      <c r="T6" s="9" t="n">
        <v>0.64</v>
      </c>
      <c r="U6" s="9" t="n">
        <v>1.27</v>
      </c>
      <c r="V6" s="9" t="n">
        <v>-0.63</v>
      </c>
      <c r="W6" s="9" t="n">
        <v>6.47</v>
      </c>
      <c r="X6" s="9" t="n">
        <v>6.91</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-0.95</v>
      </c>
      <c r="O7" s="10" t="n">
        <v>-0.31</v>
      </c>
      <c r="P7" s="10" t="n">
        <v>-0.14</v>
      </c>
      <c r="Q7" s="10" t="n">
        <v>-0.01</v>
      </c>
      <c r="R7" s="10">
        <f>(H7-I7)-(F7-G7)</f>
        <v/>
      </c>
      <c r="S7" s="10">
        <f>(H7+I7)-(F7+G7)</f>
        <v/>
      </c>
      <c r="T7" s="10" t="n">
        <v>0.84</v>
      </c>
      <c r="U7" s="10" t="n">
        <v>1.12</v>
      </c>
      <c r="V7" s="10" t="n">
        <v>-0.28</v>
      </c>
      <c r="W7" s="10" t="n">
        <v>7.31</v>
      </c>
      <c r="X7" s="10" t="n">
        <v>8.029999999999999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3</v>
      </c>
      <c r="E35" s="19" t="n">
        <v>-0.8100000000000001</v>
      </c>
      <c r="F35" s="19" t="n">
        <v>-0.62</v>
      </c>
      <c r="G35" s="19" t="n">
        <v>0.03</v>
      </c>
      <c r="H35" s="19" t="n">
        <v>0.52</v>
      </c>
    </row>
    <row r="36">
      <c r="A36" s="15" t="inlineStr">
        <is>
          <t>Away</t>
        </is>
      </c>
      <c r="B36" s="15" t="n">
        <v>3</v>
      </c>
      <c r="C36" s="15" t="n">
        <v>2</v>
      </c>
      <c r="D36" s="15" t="n">
        <v>1</v>
      </c>
      <c r="E36" s="19" t="n">
        <v>0.49</v>
      </c>
      <c r="F36" s="19" t="n">
        <v>0.43</v>
      </c>
      <c r="G36" s="19" t="n">
        <v>-0.26</v>
      </c>
      <c r="H36" s="19" t="n">
        <v>-0.44</v>
      </c>
    </row>
    <row r="37">
      <c r="A37" s="20" t="inlineStr">
        <is>
          <t>Total</t>
        </is>
      </c>
      <c r="B37" s="20" t="n">
        <v>6</v>
      </c>
      <c r="C37" s="20" t="n">
        <v>6</v>
      </c>
      <c r="D37" s="20" t="n">
        <v>4</v>
      </c>
      <c r="E37" s="21" t="n">
        <v>-0.16</v>
      </c>
      <c r="F37" s="21" t="n">
        <v>-0.43</v>
      </c>
      <c r="G37" s="21" t="n">
        <v>-0.11</v>
      </c>
      <c r="H37" s="21" t="n">
        <v>0.04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-0.48</v>
      </c>
      <c r="O2" s="9" t="n">
        <v>-0.53</v>
      </c>
      <c r="P2" s="9" t="n">
        <v>-0.48</v>
      </c>
      <c r="Q2" s="9" t="n">
        <v>-0.53</v>
      </c>
      <c r="R2" s="9">
        <f>(H2-I2)-(F2-G2)</f>
        <v/>
      </c>
      <c r="S2" s="9">
        <f>(H2+I2)-(F2+G2)</f>
        <v/>
      </c>
      <c r="T2" s="9" t="n">
        <v>0.86</v>
      </c>
      <c r="U2" s="9" t="n">
        <v>0.92</v>
      </c>
      <c r="V2" s="9" t="n">
        <v>-0.06</v>
      </c>
      <c r="W2" s="9" t="n">
        <v>0.86</v>
      </c>
      <c r="X2" s="9" t="n">
        <v>0.92</v>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0.43</v>
      </c>
      <c r="O3" s="10" t="n">
        <v>-1.25</v>
      </c>
      <c r="P3" s="10" t="n">
        <v>-0.02</v>
      </c>
      <c r="Q3" s="10" t="n">
        <v>-0.89</v>
      </c>
      <c r="R3" s="10">
        <f>(H3-I3)-(F3-G3)</f>
        <v/>
      </c>
      <c r="S3" s="10">
        <f>(H3+I3)-(F3+G3)</f>
        <v/>
      </c>
      <c r="T3" s="10" t="n">
        <v>2.39</v>
      </c>
      <c r="U3" s="10" t="n">
        <v>1.73</v>
      </c>
      <c r="V3" s="10" t="n">
        <v>0.66</v>
      </c>
      <c r="W3" s="10" t="n">
        <v>3.25</v>
      </c>
      <c r="X3" s="10" t="n">
        <v>2.65</v>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-0.05</v>
      </c>
      <c r="O4" s="9" t="n">
        <v>-1.44</v>
      </c>
      <c r="P4" s="9" t="n">
        <v>-0.03</v>
      </c>
      <c r="Q4" s="9" t="n">
        <v>-1.07</v>
      </c>
      <c r="R4" s="9">
        <f>(H4-I4)-(F4-G4)</f>
        <v/>
      </c>
      <c r="S4" s="9">
        <f>(H4+I4)-(F4+G4)</f>
        <v/>
      </c>
      <c r="T4" s="9" t="n">
        <v>1.13</v>
      </c>
      <c r="U4" s="9" t="n">
        <v>0.82</v>
      </c>
      <c r="V4" s="9" t="n">
        <v>0.3</v>
      </c>
      <c r="W4" s="9" t="n">
        <v>4.38</v>
      </c>
      <c r="X4" s="9" t="n">
        <v>3.47</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-0.43</v>
      </c>
      <c r="O5" s="10" t="n">
        <v>-1.03</v>
      </c>
      <c r="P5" s="10" t="n">
        <v>-0.13</v>
      </c>
      <c r="Q5" s="10" t="n">
        <v>-1.06</v>
      </c>
      <c r="R5" s="10">
        <f>(H5-I5)-(F5-G5)</f>
        <v/>
      </c>
      <c r="S5" s="10">
        <f>(H5+I5)-(F5+G5)</f>
        <v/>
      </c>
      <c r="T5" s="10" t="n">
        <v>1.37</v>
      </c>
      <c r="U5" s="10" t="n">
        <v>1</v>
      </c>
      <c r="V5" s="10" t="n">
        <v>0.37</v>
      </c>
      <c r="W5" s="10" t="n">
        <v>5.75</v>
      </c>
      <c r="X5" s="10" t="n">
        <v>4.47</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0.05</v>
      </c>
      <c r="O6" s="9" t="n">
        <v>-1.57</v>
      </c>
      <c r="P6" s="9" t="n">
        <v>-0.09</v>
      </c>
      <c r="Q6" s="9" t="n">
        <v>-1.16</v>
      </c>
      <c r="R6" s="9">
        <f>(H6-I6)-(F6-G6)</f>
        <v/>
      </c>
      <c r="S6" s="9">
        <f>(H6+I6)-(F6+G6)</f>
        <v/>
      </c>
      <c r="T6" s="9" t="n">
        <v>2.21</v>
      </c>
      <c r="U6" s="9" t="n">
        <v>1.42</v>
      </c>
      <c r="V6" s="9" t="n">
        <v>0.8</v>
      </c>
      <c r="W6" s="9" t="n">
        <v>7.96</v>
      </c>
      <c r="X6" s="9" t="n">
        <v>5.89</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-0.5</v>
      </c>
      <c r="O7" s="10" t="n">
        <v>0.8</v>
      </c>
      <c r="P7" s="10" t="n">
        <v>-0.16</v>
      </c>
      <c r="Q7" s="10" t="n">
        <v>-0.84</v>
      </c>
      <c r="R7" s="10">
        <f>(H7-I7)-(F7-G7)</f>
        <v/>
      </c>
      <c r="S7" s="10">
        <f>(H7+I7)-(F7+G7)</f>
        <v/>
      </c>
      <c r="T7" s="10" t="n">
        <v>0.48</v>
      </c>
      <c r="U7" s="10" t="n">
        <v>1.05</v>
      </c>
      <c r="V7" s="10" t="n">
        <v>-0.5600000000000001</v>
      </c>
      <c r="W7" s="10" t="n">
        <v>8.449999999999999</v>
      </c>
      <c r="X7" s="10" t="n">
        <v>6.94</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1</v>
      </c>
      <c r="E35" s="19" t="n">
        <v>0.93</v>
      </c>
      <c r="F35" s="19" t="n">
        <v>1.06</v>
      </c>
      <c r="G35" s="19" t="n">
        <v>-0.45</v>
      </c>
      <c r="H35" s="19" t="n">
        <v>-0.84</v>
      </c>
    </row>
    <row r="36">
      <c r="A36" s="15" t="inlineStr">
        <is>
          <t>Away</t>
        </is>
      </c>
      <c r="B36" s="15" t="n">
        <v>3</v>
      </c>
      <c r="C36" s="15" t="n">
        <v>1</v>
      </c>
      <c r="D36" s="15" t="n">
        <v>4</v>
      </c>
      <c r="E36" s="19" t="n">
        <v>-0.12</v>
      </c>
      <c r="F36" s="19" t="n">
        <v>0</v>
      </c>
      <c r="G36" s="19" t="n">
        <v>-0.44</v>
      </c>
      <c r="H36" s="19" t="n">
        <v>-0.54</v>
      </c>
    </row>
    <row r="37">
      <c r="A37" s="20" t="inlineStr">
        <is>
          <t>Total</t>
        </is>
      </c>
      <c r="B37" s="20" t="n">
        <v>6</v>
      </c>
      <c r="C37" s="20" t="n">
        <v>4</v>
      </c>
      <c r="D37" s="20" t="n">
        <v>5</v>
      </c>
      <c r="E37" s="21" t="n">
        <v>0.4</v>
      </c>
      <c r="F37" s="21" t="n">
        <v>0.58</v>
      </c>
      <c r="G37" s="21" t="n">
        <v>-0.44</v>
      </c>
      <c r="H37" s="21" t="n">
        <v>-0.61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-0.08</v>
      </c>
      <c r="O2" s="9" t="n">
        <v>-0.01</v>
      </c>
      <c r="P2" s="9" t="n">
        <v>-0.08</v>
      </c>
      <c r="Q2" s="9" t="n">
        <v>-0.01</v>
      </c>
      <c r="R2" s="9">
        <f>(H2-I2)-(F2-G2)</f>
        <v/>
      </c>
      <c r="S2" s="9">
        <f>(H2+I2)-(F2+G2)</f>
        <v/>
      </c>
      <c r="T2" s="9" t="n">
        <v>0.76</v>
      </c>
      <c r="U2" s="9" t="n">
        <v>0.91</v>
      </c>
      <c r="V2" s="9" t="n">
        <v>-0.15</v>
      </c>
      <c r="W2" s="9" t="n">
        <v>0.76</v>
      </c>
      <c r="X2" s="9" t="n">
        <v>0.91</v>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-0.61</v>
      </c>
      <c r="O3" s="10" t="n">
        <v>0.1</v>
      </c>
      <c r="P3" s="10" t="n">
        <v>-0.34</v>
      </c>
      <c r="Q3" s="10" t="n">
        <v>0.04</v>
      </c>
      <c r="R3" s="10">
        <f>(H3-I3)-(F3-G3)</f>
        <v/>
      </c>
      <c r="S3" s="10">
        <f>(H3+I3)-(F3+G3)</f>
        <v/>
      </c>
      <c r="T3" s="10" t="n">
        <v>1.34</v>
      </c>
      <c r="U3" s="10" t="n">
        <v>1.81</v>
      </c>
      <c r="V3" s="10" t="n">
        <v>-0.47</v>
      </c>
      <c r="W3" s="10" t="n">
        <v>2.1</v>
      </c>
      <c r="X3" s="10" t="n">
        <v>2.72</v>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0.6</v>
      </c>
      <c r="O4" s="9" t="n">
        <v>1.37</v>
      </c>
      <c r="P4" s="9" t="n">
        <v>-0.03</v>
      </c>
      <c r="Q4" s="9" t="n">
        <v>0.48</v>
      </c>
      <c r="R4" s="9">
        <f>(H4-I4)-(F4-G4)</f>
        <v/>
      </c>
      <c r="S4" s="9">
        <f>(H4+I4)-(F4+G4)</f>
        <v/>
      </c>
      <c r="T4" s="9" t="n">
        <v>0.74</v>
      </c>
      <c r="U4" s="9" t="n">
        <v>0.9399999999999999</v>
      </c>
      <c r="V4" s="9" t="n">
        <v>-0.2</v>
      </c>
      <c r="W4" s="9" t="n">
        <v>2.84</v>
      </c>
      <c r="X4" s="9" t="n">
        <v>3.66</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-0.6899999999999999</v>
      </c>
      <c r="O5" s="10" t="n">
        <v>0.04</v>
      </c>
      <c r="P5" s="10" t="n">
        <v>-0.2</v>
      </c>
      <c r="Q5" s="10" t="n">
        <v>0.37</v>
      </c>
      <c r="R5" s="10">
        <f>(H5-I5)-(F5-G5)</f>
        <v/>
      </c>
      <c r="S5" s="10">
        <f>(H5+I5)-(F5+G5)</f>
        <v/>
      </c>
      <c r="T5" s="10" t="n">
        <v>0.9399999999999999</v>
      </c>
      <c r="U5" s="10" t="n">
        <v>1.37</v>
      </c>
      <c r="V5" s="10" t="n">
        <v>-0.43</v>
      </c>
      <c r="W5" s="10" t="n">
        <v>3.78</v>
      </c>
      <c r="X5" s="10" t="n">
        <v>5.03</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-0.21</v>
      </c>
      <c r="O6" s="9" t="n">
        <v>-0.38</v>
      </c>
      <c r="P6" s="9" t="n">
        <v>-0.2</v>
      </c>
      <c r="Q6" s="9" t="n">
        <v>0.22</v>
      </c>
      <c r="R6" s="9">
        <f>(H6-I6)-(F6-G6)</f>
        <v/>
      </c>
      <c r="S6" s="9">
        <f>(H6+I6)-(F6+G6)</f>
        <v/>
      </c>
      <c r="T6" s="9" t="n">
        <v>1.4</v>
      </c>
      <c r="U6" s="9" t="n">
        <v>1.77</v>
      </c>
      <c r="V6" s="9" t="n">
        <v>-0.38</v>
      </c>
      <c r="W6" s="9" t="n">
        <v>5.17</v>
      </c>
      <c r="X6" s="9" t="n">
        <v>6.81</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-0.42</v>
      </c>
      <c r="O7" s="10" t="n">
        <v>1.81</v>
      </c>
      <c r="P7" s="10" t="n">
        <v>-0.24</v>
      </c>
      <c r="Q7" s="10" t="n">
        <v>0.49</v>
      </c>
      <c r="R7" s="10">
        <f>(H7-I7)-(F7-G7)</f>
        <v/>
      </c>
      <c r="S7" s="10">
        <f>(H7+I7)-(F7+G7)</f>
        <v/>
      </c>
      <c r="T7" s="10" t="n">
        <v>0.55</v>
      </c>
      <c r="U7" s="10" t="n">
        <v>1.64</v>
      </c>
      <c r="V7" s="10" t="n">
        <v>-1.09</v>
      </c>
      <c r="W7" s="10" t="n">
        <v>5.72</v>
      </c>
      <c r="X7" s="10" t="n">
        <v>8.449999999999999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1</v>
      </c>
      <c r="E35" s="19" t="n">
        <v>-0.57</v>
      </c>
      <c r="F35" s="19" t="n">
        <v>-0.59</v>
      </c>
      <c r="G35" s="19" t="n">
        <v>-0.5600000000000001</v>
      </c>
      <c r="H35" s="19" t="n">
        <v>-0.35</v>
      </c>
    </row>
    <row r="36">
      <c r="A36" s="15" t="inlineStr">
        <is>
          <t>Away</t>
        </is>
      </c>
      <c r="B36" s="15" t="n">
        <v>3</v>
      </c>
      <c r="C36" s="15" t="n">
        <v>4</v>
      </c>
      <c r="D36" s="15" t="n">
        <v>3</v>
      </c>
      <c r="E36" s="19" t="n">
        <v>-1.01</v>
      </c>
      <c r="F36" s="19" t="n">
        <v>-0.68</v>
      </c>
      <c r="G36" s="19" t="n">
        <v>1.21</v>
      </c>
      <c r="H36" s="19" t="n">
        <v>0.99</v>
      </c>
    </row>
    <row r="37">
      <c r="A37" s="20" t="inlineStr">
        <is>
          <t>Total</t>
        </is>
      </c>
      <c r="B37" s="20" t="n">
        <v>6</v>
      </c>
      <c r="C37" s="20" t="n">
        <v>7</v>
      </c>
      <c r="D37" s="20" t="n">
        <v>4</v>
      </c>
      <c r="E37" s="21" t="n">
        <v>-0.79</v>
      </c>
      <c r="F37" s="21" t="n">
        <v>-0.62</v>
      </c>
      <c r="G37" s="21" t="n">
        <v>0.32</v>
      </c>
      <c r="H37" s="21" t="n">
        <v>0.19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-0.06</v>
      </c>
      <c r="O2" s="9" t="n">
        <v>1.92</v>
      </c>
      <c r="P2" s="9" t="n">
        <v>-0.06</v>
      </c>
      <c r="Q2" s="9" t="n">
        <v>1.92</v>
      </c>
      <c r="R2" s="9">
        <f>(H2-I2)-(F2-G2)</f>
        <v/>
      </c>
      <c r="S2" s="9">
        <f>(H2+I2)-(F2+G2)</f>
        <v/>
      </c>
      <c r="T2" s="9" t="n">
        <v>0.59</v>
      </c>
      <c r="U2" s="9" t="n">
        <v>1.57</v>
      </c>
      <c r="V2" s="9" t="n">
        <v>-0.98</v>
      </c>
      <c r="W2" s="9" t="n">
        <v>0.59</v>
      </c>
      <c r="X2" s="9" t="n">
        <v>1.57</v>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-0.46</v>
      </c>
      <c r="O3" s="10" t="n">
        <v>-0.29</v>
      </c>
      <c r="P3" s="10" t="n">
        <v>-0.26</v>
      </c>
      <c r="Q3" s="10" t="n">
        <v>0.82</v>
      </c>
      <c r="R3" s="10">
        <f>(H3-I3)-(F3-G3)</f>
        <v/>
      </c>
      <c r="S3" s="10">
        <f>(H3+I3)-(F3+G3)</f>
        <v/>
      </c>
      <c r="T3" s="10" t="n">
        <v>1.37</v>
      </c>
      <c r="U3" s="10" t="n">
        <v>0.9399999999999999</v>
      </c>
      <c r="V3" s="10" t="n">
        <v>0.43</v>
      </c>
      <c r="W3" s="10" t="n">
        <v>1.97</v>
      </c>
      <c r="X3" s="10" t="n">
        <v>2.51</v>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-0.18</v>
      </c>
      <c r="O4" s="9" t="n">
        <v>-0.06</v>
      </c>
      <c r="P4" s="9" t="n">
        <v>-0.23</v>
      </c>
      <c r="Q4" s="9" t="n">
        <v>0.52</v>
      </c>
      <c r="R4" s="9">
        <f>(H4-I4)-(F4-G4)</f>
        <v/>
      </c>
      <c r="S4" s="9">
        <f>(H4+I4)-(F4+G4)</f>
        <v/>
      </c>
      <c r="T4" s="9" t="n">
        <v>1.81</v>
      </c>
      <c r="U4" s="9" t="n">
        <v>1.41</v>
      </c>
      <c r="V4" s="9" t="n">
        <v>0.4</v>
      </c>
      <c r="W4" s="9" t="n">
        <v>3.77</v>
      </c>
      <c r="X4" s="9" t="n">
        <v>3.92</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-0.6</v>
      </c>
      <c r="O5" s="10" t="n">
        <v>-0.34</v>
      </c>
      <c r="P5" s="10" t="n">
        <v>-0.33</v>
      </c>
      <c r="Q5" s="10" t="n">
        <v>0.31</v>
      </c>
      <c r="R5" s="10">
        <f>(H5-I5)-(F5-G5)</f>
        <v/>
      </c>
      <c r="S5" s="10">
        <f>(H5+I5)-(F5+G5)</f>
        <v/>
      </c>
      <c r="T5" s="10" t="n">
        <v>0.46</v>
      </c>
      <c r="U5" s="10" t="n">
        <v>0.74</v>
      </c>
      <c r="V5" s="10" t="n">
        <v>-0.29</v>
      </c>
      <c r="W5" s="10" t="n">
        <v>4.23</v>
      </c>
      <c r="X5" s="10" t="n">
        <v>4.67</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0.6899999999999999</v>
      </c>
      <c r="O6" s="9" t="n">
        <v>0.16</v>
      </c>
      <c r="P6" s="9" t="n">
        <v>-0.12</v>
      </c>
      <c r="Q6" s="9" t="n">
        <v>0.28</v>
      </c>
      <c r="R6" s="9">
        <f>(H6-I6)-(F6-G6)</f>
        <v/>
      </c>
      <c r="S6" s="9">
        <f>(H6+I6)-(F6+G6)</f>
        <v/>
      </c>
      <c r="T6" s="9" t="n">
        <v>2.14</v>
      </c>
      <c r="U6" s="9" t="n">
        <v>1.1</v>
      </c>
      <c r="V6" s="9" t="n">
        <v>1.04</v>
      </c>
      <c r="W6" s="9" t="n">
        <v>6.37</v>
      </c>
      <c r="X6" s="9" t="n">
        <v>5.77</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-0.1</v>
      </c>
      <c r="O7" s="10" t="n">
        <v>0.1</v>
      </c>
      <c r="P7" s="10" t="n">
        <v>-0.12</v>
      </c>
      <c r="Q7" s="10" t="n">
        <v>0.25</v>
      </c>
      <c r="R7" s="10">
        <f>(H7-I7)-(F7-G7)</f>
        <v/>
      </c>
      <c r="S7" s="10">
        <f>(H7+I7)-(F7+G7)</f>
        <v/>
      </c>
      <c r="T7" s="10" t="n">
        <v>1.54</v>
      </c>
      <c r="U7" s="10" t="n">
        <v>1.38</v>
      </c>
      <c r="V7" s="10" t="n">
        <v>0.16</v>
      </c>
      <c r="W7" s="10" t="n">
        <v>7.91</v>
      </c>
      <c r="X7" s="10" t="n">
        <v>7.15</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4</v>
      </c>
      <c r="E35" s="19" t="n">
        <v>-0.41</v>
      </c>
      <c r="F35" s="19" t="n">
        <v>0.22</v>
      </c>
      <c r="G35" s="19" t="n">
        <v>0.28</v>
      </c>
      <c r="H35" s="19" t="n">
        <v>0.2</v>
      </c>
    </row>
    <row r="36">
      <c r="A36" s="15" t="inlineStr">
        <is>
          <t>Away</t>
        </is>
      </c>
      <c r="B36" s="15" t="n">
        <v>3</v>
      </c>
      <c r="C36" s="15" t="n">
        <v>5</v>
      </c>
      <c r="D36" s="15" t="n">
        <v>2</v>
      </c>
      <c r="E36" s="19" t="n">
        <v>0.55</v>
      </c>
      <c r="F36" s="19" t="n">
        <v>0.65</v>
      </c>
      <c r="G36" s="19" t="n">
        <v>-0.03</v>
      </c>
      <c r="H36" s="19" t="n">
        <v>-0.01</v>
      </c>
    </row>
    <row r="37">
      <c r="A37" s="20" t="inlineStr">
        <is>
          <t>Total</t>
        </is>
      </c>
      <c r="B37" s="20" t="n">
        <v>6</v>
      </c>
      <c r="C37" s="20" t="n">
        <v>8</v>
      </c>
      <c r="D37" s="20" t="n">
        <v>6</v>
      </c>
      <c r="E37" s="21" t="n">
        <v>0.07000000000000001</v>
      </c>
      <c r="F37" s="21" t="n">
        <v>0.35</v>
      </c>
      <c r="G37" s="21" t="n">
        <v>0.12</v>
      </c>
      <c r="H37" s="21" t="n">
        <v>0.1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0.18</v>
      </c>
      <c r="O2" s="9" t="n">
        <v>-0.3</v>
      </c>
      <c r="P2" s="9" t="n">
        <v>0.18</v>
      </c>
      <c r="Q2" s="9" t="n">
        <v>-0.3</v>
      </c>
      <c r="R2" s="9">
        <f>(H2-I2)-(F2-G2)</f>
        <v/>
      </c>
      <c r="S2" s="9">
        <f>(H2+I2)-(F2+G2)</f>
        <v/>
      </c>
      <c r="T2" s="9" t="n">
        <v>1.87</v>
      </c>
      <c r="U2" s="9" t="n">
        <v>1.84</v>
      </c>
      <c r="V2" s="9" t="n">
        <v>0.03</v>
      </c>
      <c r="W2" s="9" t="n">
        <v>1.87</v>
      </c>
      <c r="X2" s="9" t="n">
        <v>1.84</v>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-0.58</v>
      </c>
      <c r="O3" s="10" t="n">
        <v>-0.42</v>
      </c>
      <c r="P3" s="10" t="n">
        <v>-0.2</v>
      </c>
      <c r="Q3" s="10" t="n">
        <v>-0.36</v>
      </c>
      <c r="R3" s="10">
        <f>(H3-I3)-(F3-G3)</f>
        <v/>
      </c>
      <c r="S3" s="10">
        <f>(H3+I3)-(F3+G3)</f>
        <v/>
      </c>
      <c r="T3" s="10" t="n">
        <v>1.12</v>
      </c>
      <c r="U3" s="10" t="n">
        <v>1.44</v>
      </c>
      <c r="V3" s="10" t="n">
        <v>-0.32</v>
      </c>
      <c r="W3" s="10" t="n">
        <v>2.98</v>
      </c>
      <c r="X3" s="10" t="n">
        <v>3.28</v>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0.91</v>
      </c>
      <c r="O4" s="9" t="n">
        <v>1.04</v>
      </c>
      <c r="P4" s="9" t="n">
        <v>0.17</v>
      </c>
      <c r="Q4" s="9" t="n">
        <v>0.11</v>
      </c>
      <c r="R4" s="9">
        <f>(H4-I4)-(F4-G4)</f>
        <v/>
      </c>
      <c r="S4" s="9">
        <f>(H4+I4)-(F4+G4)</f>
        <v/>
      </c>
      <c r="T4" s="9" t="n">
        <v>2.1</v>
      </c>
      <c r="U4" s="9" t="n">
        <v>1.81</v>
      </c>
      <c r="V4" s="9" t="n">
        <v>0.29</v>
      </c>
      <c r="W4" s="9" t="n">
        <v>5.08</v>
      </c>
      <c r="X4" s="9" t="n">
        <v>5.09</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0.25</v>
      </c>
      <c r="O5" s="10" t="n">
        <v>1.02</v>
      </c>
      <c r="P5" s="10" t="n">
        <v>0.19</v>
      </c>
      <c r="Q5" s="10" t="n">
        <v>0.33</v>
      </c>
      <c r="R5" s="10">
        <f>(H5-I5)-(F5-G5)</f>
        <v/>
      </c>
      <c r="S5" s="10">
        <f>(H5+I5)-(F5+G5)</f>
        <v/>
      </c>
      <c r="T5" s="10" t="n">
        <v>1.19</v>
      </c>
      <c r="U5" s="10" t="n">
        <v>1.74</v>
      </c>
      <c r="V5" s="10" t="n">
        <v>-0.55</v>
      </c>
      <c r="W5" s="10" t="n">
        <v>6.27</v>
      </c>
      <c r="X5" s="10" t="n">
        <v>6.82</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-0.33</v>
      </c>
      <c r="O6" s="9" t="n">
        <v>-0.07000000000000001</v>
      </c>
      <c r="P6" s="9" t="n">
        <v>0.09</v>
      </c>
      <c r="Q6" s="9" t="n">
        <v>0.25</v>
      </c>
      <c r="R6" s="9">
        <f>(H6-I6)-(F6-G6)</f>
        <v/>
      </c>
      <c r="S6" s="9">
        <f>(H6+I6)-(F6+G6)</f>
        <v/>
      </c>
      <c r="T6" s="9" t="n">
        <v>1.58</v>
      </c>
      <c r="U6" s="9" t="n">
        <v>1.72</v>
      </c>
      <c r="V6" s="9" t="n">
        <v>-0.14</v>
      </c>
      <c r="W6" s="9" t="n">
        <v>7.85</v>
      </c>
      <c r="X6" s="9" t="n">
        <v>8.539999999999999</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0.1</v>
      </c>
      <c r="O7" s="10" t="n">
        <v>-1.94</v>
      </c>
      <c r="P7" s="10" t="n">
        <v>0.09</v>
      </c>
      <c r="Q7" s="10" t="n">
        <v>-0.11</v>
      </c>
      <c r="R7" s="10">
        <f>(H7-I7)-(F7-G7)</f>
        <v/>
      </c>
      <c r="S7" s="10">
        <f>(H7+I7)-(F7+G7)</f>
        <v/>
      </c>
      <c r="T7" s="10" t="n">
        <v>2.43</v>
      </c>
      <c r="U7" s="10" t="n">
        <v>1.5</v>
      </c>
      <c r="V7" s="10" t="n">
        <v>0.93</v>
      </c>
      <c r="W7" s="10" t="n">
        <v>10.28</v>
      </c>
      <c r="X7" s="10" t="n">
        <v>10.04</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2</v>
      </c>
      <c r="E35" s="19" t="n">
        <v>0.61</v>
      </c>
      <c r="F35" s="19" t="n">
        <v>0.68</v>
      </c>
      <c r="G35" s="19" t="n">
        <v>0.03</v>
      </c>
      <c r="H35" s="19" t="n">
        <v>-0.54</v>
      </c>
    </row>
    <row r="36">
      <c r="A36" s="15" t="inlineStr">
        <is>
          <t>Away</t>
        </is>
      </c>
      <c r="B36" s="15" t="n">
        <v>3</v>
      </c>
      <c r="C36" s="15" t="n">
        <v>4</v>
      </c>
      <c r="D36" s="15" t="n">
        <v>4</v>
      </c>
      <c r="E36" s="19" t="n">
        <v>-0.52</v>
      </c>
      <c r="F36" s="19" t="n">
        <v>-0.41</v>
      </c>
      <c r="G36" s="19" t="n">
        <v>0.57</v>
      </c>
      <c r="H36" s="19" t="n">
        <v>0.04</v>
      </c>
    </row>
    <row r="37">
      <c r="A37" s="20" t="inlineStr">
        <is>
          <t>Total</t>
        </is>
      </c>
      <c r="B37" s="20" t="n">
        <v>6</v>
      </c>
      <c r="C37" s="20" t="n">
        <v>9</v>
      </c>
      <c r="D37" s="20" t="n">
        <v>6</v>
      </c>
      <c r="E37" s="21" t="n">
        <v>0.05</v>
      </c>
      <c r="F37" s="21" t="n">
        <v>-0.1</v>
      </c>
      <c r="G37" s="21" t="n">
        <v>0.3</v>
      </c>
      <c r="H37" s="21" t="n">
        <v>-0.18</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-0.42</v>
      </c>
      <c r="O2" s="9" t="n">
        <v>-0.53</v>
      </c>
      <c r="P2" s="9" t="n">
        <v>-0.42</v>
      </c>
      <c r="Q2" s="9" t="n">
        <v>-0.53</v>
      </c>
      <c r="R2" s="9">
        <f>(H2-I2)-(F2-G2)</f>
        <v/>
      </c>
      <c r="S2" s="9">
        <f>(H2+I2)-(F2+G2)</f>
        <v/>
      </c>
      <c r="T2" s="9" t="n">
        <v>2.2</v>
      </c>
      <c r="U2" s="9" t="n">
        <v>1.24</v>
      </c>
      <c r="V2" s="9" t="n">
        <v>0.97</v>
      </c>
      <c r="W2" s="9" t="n">
        <v>2.2</v>
      </c>
      <c r="X2" s="9" t="n">
        <v>1.24</v>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-0.14</v>
      </c>
      <c r="O3" s="10" t="n">
        <v>2.13</v>
      </c>
      <c r="P3" s="10" t="n">
        <v>-0.28</v>
      </c>
      <c r="Q3" s="10" t="n">
        <v>0.8</v>
      </c>
      <c r="R3" s="10">
        <f>(H3-I3)-(F3-G3)</f>
        <v/>
      </c>
      <c r="S3" s="10">
        <f>(H3+I3)-(F3+G3)</f>
        <v/>
      </c>
      <c r="T3" s="10" t="n">
        <v>0.13</v>
      </c>
      <c r="U3" s="10" t="n">
        <v>0.8</v>
      </c>
      <c r="V3" s="10" t="n">
        <v>-0.67</v>
      </c>
      <c r="W3" s="10" t="n">
        <v>2.33</v>
      </c>
      <c r="X3" s="10" t="n">
        <v>2.04</v>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-0.6</v>
      </c>
      <c r="O4" s="9" t="n">
        <v>-0.23</v>
      </c>
      <c r="P4" s="9" t="n">
        <v>-0.39</v>
      </c>
      <c r="Q4" s="9" t="n">
        <v>0.46</v>
      </c>
      <c r="R4" s="9">
        <f>(H4-I4)-(F4-G4)</f>
        <v/>
      </c>
      <c r="S4" s="9">
        <f>(H4+I4)-(F4+G4)</f>
        <v/>
      </c>
      <c r="T4" s="9" t="n">
        <v>1.44</v>
      </c>
      <c r="U4" s="9" t="n">
        <v>1.4</v>
      </c>
      <c r="V4" s="9" t="n">
        <v>0.04</v>
      </c>
      <c r="W4" s="9" t="n">
        <v>3.77</v>
      </c>
      <c r="X4" s="9" t="n">
        <v>3.43</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-0.9</v>
      </c>
      <c r="O5" s="10" t="n">
        <v>0.84</v>
      </c>
      <c r="P5" s="10" t="n">
        <v>-0.52</v>
      </c>
      <c r="Q5" s="10" t="n">
        <v>0.55</v>
      </c>
      <c r="R5" s="10">
        <f>(H5-I5)-(F5-G5)</f>
        <v/>
      </c>
      <c r="S5" s="10">
        <f>(H5+I5)-(F5+G5)</f>
        <v/>
      </c>
      <c r="T5" s="10" t="n">
        <v>0.31</v>
      </c>
      <c r="U5" s="10" t="n">
        <v>0.6899999999999999</v>
      </c>
      <c r="V5" s="10" t="n">
        <v>-0.38</v>
      </c>
      <c r="W5" s="10" t="n">
        <v>4.08</v>
      </c>
      <c r="X5" s="10" t="n">
        <v>4.12</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-0.38</v>
      </c>
      <c r="O6" s="9" t="n">
        <v>-0.44</v>
      </c>
      <c r="P6" s="9" t="n">
        <v>-0.49</v>
      </c>
      <c r="Q6" s="9" t="n">
        <v>0.35</v>
      </c>
      <c r="R6" s="9">
        <f>(H6-I6)-(F6-G6)</f>
        <v/>
      </c>
      <c r="S6" s="9">
        <f>(H6+I6)-(F6+G6)</f>
        <v/>
      </c>
      <c r="T6" s="9" t="n">
        <v>1.09</v>
      </c>
      <c r="U6" s="9" t="n">
        <v>0.86</v>
      </c>
      <c r="V6" s="9" t="n">
        <v>0.23</v>
      </c>
      <c r="W6" s="9" t="n">
        <v>5.18</v>
      </c>
      <c r="X6" s="9" t="n">
        <v>4.98</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1.11</v>
      </c>
      <c r="O7" s="10" t="n">
        <v>-0.31</v>
      </c>
      <c r="P7" s="10" t="n">
        <v>-0.22</v>
      </c>
      <c r="Q7" s="10" t="n">
        <v>0.24</v>
      </c>
      <c r="R7" s="10">
        <f>(H7-I7)-(F7-G7)</f>
        <v/>
      </c>
      <c r="S7" s="10">
        <f>(H7+I7)-(F7+G7)</f>
        <v/>
      </c>
      <c r="T7" s="10" t="n">
        <v>2.29</v>
      </c>
      <c r="U7" s="10" t="n">
        <v>1.11</v>
      </c>
      <c r="V7" s="10" t="n">
        <v>1.19</v>
      </c>
      <c r="W7" s="10" t="n">
        <v>7.47</v>
      </c>
      <c r="X7" s="10" t="n">
        <v>6.09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3</v>
      </c>
      <c r="E35" s="19" t="n">
        <v>1.08</v>
      </c>
      <c r="F35" s="19" t="n">
        <v>1.18</v>
      </c>
      <c r="G35" s="19" t="n">
        <v>-0.26</v>
      </c>
      <c r="H35" s="19" t="n">
        <v>-0.49</v>
      </c>
    </row>
    <row r="36">
      <c r="A36" s="15" t="inlineStr">
        <is>
          <t>Away</t>
        </is>
      </c>
      <c r="B36" s="15" t="n">
        <v>3</v>
      </c>
      <c r="C36" s="15" t="n">
        <v>4</v>
      </c>
      <c r="D36" s="15" t="n">
        <v>8</v>
      </c>
      <c r="E36" s="19" t="n">
        <v>-0.85</v>
      </c>
      <c r="F36" s="19" t="n">
        <v>-0.73</v>
      </c>
      <c r="G36" s="19" t="n">
        <v>-0.09</v>
      </c>
      <c r="H36" s="19" t="n">
        <v>-0.33</v>
      </c>
    </row>
    <row r="37">
      <c r="A37" s="20" t="inlineStr">
        <is>
          <t>Total</t>
        </is>
      </c>
      <c r="B37" s="20" t="n">
        <v>6</v>
      </c>
      <c r="C37" s="20" t="n">
        <v>10</v>
      </c>
      <c r="D37" s="20" t="n">
        <v>11</v>
      </c>
      <c r="E37" s="21" t="n">
        <v>0.11</v>
      </c>
      <c r="F37" s="21" t="n">
        <v>0.35</v>
      </c>
      <c r="G37" s="21" t="n">
        <v>-0.17</v>
      </c>
      <c r="H37" s="21" t="n">
        <v>-0.41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-1.03</v>
      </c>
      <c r="O2" s="9" t="n">
        <v>-0.87</v>
      </c>
      <c r="P2" s="9" t="n">
        <v>-1.03</v>
      </c>
      <c r="Q2" s="9" t="n">
        <v>-0.87</v>
      </c>
      <c r="R2" s="9">
        <f>(H2-I2)-(F2-G2)</f>
        <v/>
      </c>
      <c r="S2" s="9">
        <f>(H2+I2)-(F2+G2)</f>
        <v/>
      </c>
      <c r="T2" s="9" t="n">
        <v>1.84</v>
      </c>
      <c r="U2" s="9" t="n">
        <v>1.63</v>
      </c>
      <c r="V2" s="9" t="n">
        <v>0.21</v>
      </c>
      <c r="W2" s="9" t="n">
        <v>1.84</v>
      </c>
      <c r="X2" s="9" t="n">
        <v>1.63</v>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-0.46</v>
      </c>
      <c r="O3" s="10" t="n">
        <v>-1.02</v>
      </c>
      <c r="P3" s="10" t="n">
        <v>-0.75</v>
      </c>
      <c r="Q3" s="10" t="n">
        <v>-0.9399999999999999</v>
      </c>
      <c r="R3" s="10">
        <f>(H3-I3)-(F3-G3)</f>
        <v/>
      </c>
      <c r="S3" s="10">
        <f>(H3+I3)-(F3+G3)</f>
        <v/>
      </c>
      <c r="T3" s="10" t="n">
        <v>1.57</v>
      </c>
      <c r="U3" s="10" t="n">
        <v>1.14</v>
      </c>
      <c r="V3" s="10" t="n">
        <v>0.43</v>
      </c>
      <c r="W3" s="10" t="n">
        <v>3.41</v>
      </c>
      <c r="X3" s="10" t="n">
        <v>2.77</v>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-1.12</v>
      </c>
      <c r="O4" s="9" t="n">
        <v>-0.63</v>
      </c>
      <c r="P4" s="9" t="n">
        <v>-0.87</v>
      </c>
      <c r="Q4" s="9" t="n">
        <v>-0.84</v>
      </c>
      <c r="R4" s="9">
        <f>(H4-I4)-(F4-G4)</f>
        <v/>
      </c>
      <c r="S4" s="9">
        <f>(H4+I4)-(F4+G4)</f>
        <v/>
      </c>
      <c r="T4" s="9" t="n">
        <v>0.8100000000000001</v>
      </c>
      <c r="U4" s="9" t="n">
        <v>1.32</v>
      </c>
      <c r="V4" s="9" t="n">
        <v>-0.52</v>
      </c>
      <c r="W4" s="9" t="n">
        <v>4.22</v>
      </c>
      <c r="X4" s="9" t="n">
        <v>4.09</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-1.44</v>
      </c>
      <c r="O5" s="10" t="n">
        <v>1.53</v>
      </c>
      <c r="P5" s="10" t="n">
        <v>-1.01</v>
      </c>
      <c r="Q5" s="10" t="n">
        <v>-0.25</v>
      </c>
      <c r="R5" s="10">
        <f>(H5-I5)-(F5-G5)</f>
        <v/>
      </c>
      <c r="S5" s="10">
        <f>(H5+I5)-(F5+G5)</f>
        <v/>
      </c>
      <c r="T5" s="10" t="n">
        <v>0.3</v>
      </c>
      <c r="U5" s="10" t="n">
        <v>1.9</v>
      </c>
      <c r="V5" s="10" t="n">
        <v>-1.6</v>
      </c>
      <c r="W5" s="10" t="n">
        <v>4.51</v>
      </c>
      <c r="X5" s="10" t="n">
        <v>5.99</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-1.29</v>
      </c>
      <c r="O6" s="9" t="n">
        <v>-0.68</v>
      </c>
      <c r="P6" s="9" t="n">
        <v>-1.07</v>
      </c>
      <c r="Q6" s="9" t="n">
        <v>-0.33</v>
      </c>
      <c r="R6" s="9">
        <f>(H6-I6)-(F6-G6)</f>
        <v/>
      </c>
      <c r="S6" s="9">
        <f>(H6+I6)-(F6+G6)</f>
        <v/>
      </c>
      <c r="T6" s="9" t="n">
        <v>1.38</v>
      </c>
      <c r="U6" s="9" t="n">
        <v>1.9</v>
      </c>
      <c r="V6" s="9" t="n">
        <v>-0.52</v>
      </c>
      <c r="W6" s="9" t="n">
        <v>5.89</v>
      </c>
      <c r="X6" s="9" t="n">
        <v>7.89</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-0.1</v>
      </c>
      <c r="O7" s="10" t="n">
        <v>-0.45</v>
      </c>
      <c r="P7" s="10" t="n">
        <v>-0.91</v>
      </c>
      <c r="Q7" s="10" t="n">
        <v>-0.35</v>
      </c>
      <c r="R7" s="10">
        <f>(H7-I7)-(F7-G7)</f>
        <v/>
      </c>
      <c r="S7" s="10">
        <f>(H7+I7)-(F7+G7)</f>
        <v/>
      </c>
      <c r="T7" s="10" t="n">
        <v>0.98</v>
      </c>
      <c r="U7" s="10" t="n">
        <v>1.34</v>
      </c>
      <c r="V7" s="10" t="n">
        <v>-0.36</v>
      </c>
      <c r="W7" s="10" t="n">
        <v>6.87</v>
      </c>
      <c r="X7" s="10" t="n">
        <v>9.23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2</v>
      </c>
      <c r="D35" s="15" t="n">
        <v>1</v>
      </c>
      <c r="E35" s="19" t="n">
        <v>-1.09</v>
      </c>
      <c r="F35" s="19" t="n">
        <v>-0.62</v>
      </c>
      <c r="G35" s="19" t="n">
        <v>-1.03</v>
      </c>
      <c r="H35" s="19" t="n">
        <v>-1.7</v>
      </c>
    </row>
    <row r="36">
      <c r="A36" s="15" t="inlineStr">
        <is>
          <t>Away</t>
        </is>
      </c>
      <c r="B36" s="15" t="n">
        <v>3</v>
      </c>
      <c r="C36" s="15" t="n">
        <v>1</v>
      </c>
      <c r="D36" s="15" t="n">
        <v>4</v>
      </c>
      <c r="E36" s="19" t="n">
        <v>-0.07000000000000001</v>
      </c>
      <c r="F36" s="19" t="n">
        <v>-0.34</v>
      </c>
      <c r="G36" s="19" t="n">
        <v>-1.23</v>
      </c>
      <c r="H36" s="19" t="n">
        <v>-1.34</v>
      </c>
    </row>
    <row r="37">
      <c r="A37" s="20" t="inlineStr">
        <is>
          <t>Total</t>
        </is>
      </c>
      <c r="B37" s="20" t="n">
        <v>6</v>
      </c>
      <c r="C37" s="20" t="n">
        <v>3</v>
      </c>
      <c r="D37" s="20" t="n">
        <v>5</v>
      </c>
      <c r="E37" s="21" t="n">
        <v>-0.58</v>
      </c>
      <c r="F37" s="21" t="n">
        <v>-0.41</v>
      </c>
      <c r="G37" s="21" t="n">
        <v>-1.13</v>
      </c>
      <c r="H37" s="21" t="n">
        <v>-1.35</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0.29</v>
      </c>
      <c r="O2" s="9" t="n">
        <v>-0.58</v>
      </c>
      <c r="P2" s="9" t="n">
        <v>0.29</v>
      </c>
      <c r="Q2" s="9" t="n">
        <v>-0.58</v>
      </c>
      <c r="R2" s="9">
        <f>(H2-I2)-(F2-G2)</f>
        <v/>
      </c>
      <c r="S2" s="9">
        <f>(H2+I2)-(F2+G2)</f>
        <v/>
      </c>
      <c r="T2" s="9" t="n">
        <v>2.07</v>
      </c>
      <c r="U2" s="9" t="n">
        <v>1.4</v>
      </c>
      <c r="V2" s="9" t="n">
        <v>0.67</v>
      </c>
      <c r="W2" s="9" t="n">
        <v>2.07</v>
      </c>
      <c r="X2" s="9" t="n">
        <v>1.4</v>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-1.51</v>
      </c>
      <c r="O3" s="10" t="n">
        <v>1.21</v>
      </c>
      <c r="P3" s="10" t="n">
        <v>-0.61</v>
      </c>
      <c r="Q3" s="10" t="n">
        <v>0.32</v>
      </c>
      <c r="R3" s="10">
        <f>(H3-I3)-(F3-G3)</f>
        <v/>
      </c>
      <c r="S3" s="10">
        <f>(H3+I3)-(F3+G3)</f>
        <v/>
      </c>
      <c r="T3" s="10" t="n">
        <v>0.21</v>
      </c>
      <c r="U3" s="10" t="n">
        <v>1.31</v>
      </c>
      <c r="V3" s="10" t="n">
        <v>-1.1</v>
      </c>
      <c r="W3" s="10" t="n">
        <v>2.28</v>
      </c>
      <c r="X3" s="10" t="n">
        <v>2.71</v>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1.24</v>
      </c>
      <c r="O4" s="9" t="n">
        <v>-0.97</v>
      </c>
      <c r="P4" s="9" t="n">
        <v>0.01</v>
      </c>
      <c r="Q4" s="9" t="n">
        <v>-0.11</v>
      </c>
      <c r="R4" s="9">
        <f>(H4-I4)-(F4-G4)</f>
        <v/>
      </c>
      <c r="S4" s="9">
        <f>(H4+I4)-(F4+G4)</f>
        <v/>
      </c>
      <c r="T4" s="9" t="n">
        <v>2.84</v>
      </c>
      <c r="U4" s="9" t="n">
        <v>1.72</v>
      </c>
      <c r="V4" s="9" t="n">
        <v>1.12</v>
      </c>
      <c r="W4" s="9" t="n">
        <v>5.12</v>
      </c>
      <c r="X4" s="9" t="n">
        <v>4.43</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-0.53</v>
      </c>
      <c r="O5" s="10" t="n">
        <v>-0.28</v>
      </c>
      <c r="P5" s="10" t="n">
        <v>-0.13</v>
      </c>
      <c r="Q5" s="10" t="n">
        <v>-0.15</v>
      </c>
      <c r="R5" s="10">
        <f>(H5-I5)-(F5-G5)</f>
        <v/>
      </c>
      <c r="S5" s="10">
        <f>(H5+I5)-(F5+G5)</f>
        <v/>
      </c>
      <c r="T5" s="10" t="n">
        <v>1.79</v>
      </c>
      <c r="U5" s="10" t="n">
        <v>1.36</v>
      </c>
      <c r="V5" s="10" t="n">
        <v>0.43</v>
      </c>
      <c r="W5" s="10" t="n">
        <v>6.91</v>
      </c>
      <c r="X5" s="10" t="n">
        <v>5.79</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0.28</v>
      </c>
      <c r="O6" s="9" t="n">
        <v>1.08</v>
      </c>
      <c r="P6" s="9" t="n">
        <v>-0.05</v>
      </c>
      <c r="Q6" s="9" t="n">
        <v>0.09</v>
      </c>
      <c r="R6" s="9">
        <f>(H6-I6)-(F6-G6)</f>
        <v/>
      </c>
      <c r="S6" s="9">
        <f>(H6+I6)-(F6+G6)</f>
        <v/>
      </c>
      <c r="T6" s="9" t="n">
        <v>1.38</v>
      </c>
      <c r="U6" s="9" t="n">
        <v>1.55</v>
      </c>
      <c r="V6" s="9" t="n">
        <v>-0.17</v>
      </c>
      <c r="W6" s="9" t="n">
        <v>8.289999999999999</v>
      </c>
      <c r="X6" s="9" t="n">
        <v>7.35</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-0.77</v>
      </c>
      <c r="O7" s="10" t="n">
        <v>0.63</v>
      </c>
      <c r="P7" s="10" t="n">
        <v>-0.17</v>
      </c>
      <c r="Q7" s="10" t="n">
        <v>0.18</v>
      </c>
      <c r="R7" s="10">
        <f>(H7-I7)-(F7-G7)</f>
        <v/>
      </c>
      <c r="S7" s="10">
        <f>(H7+I7)-(F7+G7)</f>
        <v/>
      </c>
      <c r="T7" s="10" t="n">
        <v>0.71</v>
      </c>
      <c r="U7" s="10" t="n">
        <v>1.6</v>
      </c>
      <c r="V7" s="10" t="n">
        <v>-0.89</v>
      </c>
      <c r="W7" s="10" t="n">
        <v>9</v>
      </c>
      <c r="X7" s="10" t="n">
        <v>8.949999999999999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2</v>
      </c>
      <c r="E35" s="19" t="n">
        <v>0.52</v>
      </c>
      <c r="F35" s="19" t="n">
        <v>0.88</v>
      </c>
      <c r="G35" s="19" t="n">
        <v>0.07000000000000001</v>
      </c>
      <c r="H35" s="19" t="n">
        <v>0.11</v>
      </c>
    </row>
    <row r="36">
      <c r="A36" s="15" t="inlineStr">
        <is>
          <t>Away</t>
        </is>
      </c>
      <c r="B36" s="15" t="n">
        <v>3</v>
      </c>
      <c r="C36" s="15" t="n">
        <v>2</v>
      </c>
      <c r="D36" s="15" t="n">
        <v>5</v>
      </c>
      <c r="E36" s="19" t="n">
        <v>-0.57</v>
      </c>
      <c r="F36" s="19" t="n">
        <v>-0.28</v>
      </c>
      <c r="G36" s="19" t="n">
        <v>0.31</v>
      </c>
      <c r="H36" s="19" t="n">
        <v>-0.05</v>
      </c>
    </row>
    <row r="37">
      <c r="A37" s="20" t="inlineStr">
        <is>
          <t>Total</t>
        </is>
      </c>
      <c r="B37" s="20" t="n">
        <v>6</v>
      </c>
      <c r="C37" s="20" t="n">
        <v>8</v>
      </c>
      <c r="D37" s="20" t="n">
        <v>7</v>
      </c>
      <c r="E37" s="21" t="n">
        <v>-0.03</v>
      </c>
      <c r="F37" s="21" t="n">
        <v>0.15</v>
      </c>
      <c r="G37" s="21" t="n">
        <v>0.19</v>
      </c>
      <c r="H37" s="21" t="n">
        <v>0.03</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-1</v>
      </c>
      <c r="O2" s="9" t="n">
        <v>0.09</v>
      </c>
      <c r="P2" s="9" t="n">
        <v>-1</v>
      </c>
      <c r="Q2" s="9" t="n">
        <v>0.09</v>
      </c>
      <c r="R2" s="9">
        <f>(H2-I2)-(F2-G2)</f>
        <v/>
      </c>
      <c r="S2" s="9">
        <f>(H2+I2)-(F2+G2)</f>
        <v/>
      </c>
      <c r="T2" s="9" t="n">
        <v>0.66</v>
      </c>
      <c r="U2" s="9" t="n">
        <v>1.33</v>
      </c>
      <c r="V2" s="9" t="n">
        <v>-0.67</v>
      </c>
      <c r="W2" s="9" t="n">
        <v>0.66</v>
      </c>
      <c r="X2" s="9" t="n">
        <v>1.33</v>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-0.17</v>
      </c>
      <c r="O3" s="10" t="n">
        <v>-0.08</v>
      </c>
      <c r="P3" s="10" t="n">
        <v>-0.59</v>
      </c>
      <c r="Q3" s="10" t="n">
        <v>0</v>
      </c>
      <c r="R3" s="10">
        <f>(H3-I3)-(F3-G3)</f>
        <v/>
      </c>
      <c r="S3" s="10">
        <f>(H3+I3)-(F3+G3)</f>
        <v/>
      </c>
      <c r="T3" s="10" t="n">
        <v>2.12</v>
      </c>
      <c r="U3" s="10" t="n">
        <v>1.91</v>
      </c>
      <c r="V3" s="10" t="n">
        <v>0.21</v>
      </c>
      <c r="W3" s="10" t="n">
        <v>2.79</v>
      </c>
      <c r="X3" s="10" t="n">
        <v>3.25</v>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-0.55</v>
      </c>
      <c r="O4" s="9" t="n">
        <v>0.16</v>
      </c>
      <c r="P4" s="9" t="n">
        <v>-0.57</v>
      </c>
      <c r="Q4" s="9" t="n">
        <v>0.05</v>
      </c>
      <c r="R4" s="9">
        <f>(H4-I4)-(F4-G4)</f>
        <v/>
      </c>
      <c r="S4" s="9">
        <f>(H4+I4)-(F4+G4)</f>
        <v/>
      </c>
      <c r="T4" s="9" t="n">
        <v>1.27</v>
      </c>
      <c r="U4" s="9" t="n">
        <v>1.58</v>
      </c>
      <c r="V4" s="9" t="n">
        <v>-0.32</v>
      </c>
      <c r="W4" s="9" t="n">
        <v>4.05</v>
      </c>
      <c r="X4" s="9" t="n">
        <v>4.83</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-0.76</v>
      </c>
      <c r="O5" s="10" t="n">
        <v>1.81</v>
      </c>
      <c r="P5" s="10" t="n">
        <v>-0.62</v>
      </c>
      <c r="Q5" s="10" t="n">
        <v>0.49</v>
      </c>
      <c r="R5" s="10">
        <f>(H5-I5)-(F5-G5)</f>
        <v/>
      </c>
      <c r="S5" s="10">
        <f>(H5+I5)-(F5+G5)</f>
        <v/>
      </c>
      <c r="T5" s="10" t="n">
        <v>0.58</v>
      </c>
      <c r="U5" s="10" t="n">
        <v>1.62</v>
      </c>
      <c r="V5" s="10" t="n">
        <v>-1.04</v>
      </c>
      <c r="W5" s="10" t="n">
        <v>4.63</v>
      </c>
      <c r="X5" s="10" t="n">
        <v>6.45</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-0.6899999999999999</v>
      </c>
      <c r="O6" s="9" t="n">
        <v>-0.99</v>
      </c>
      <c r="P6" s="9" t="n">
        <v>-0.63</v>
      </c>
      <c r="Q6" s="9" t="n">
        <v>0.19</v>
      </c>
      <c r="R6" s="9">
        <f>(H6-I6)-(F6-G6)</f>
        <v/>
      </c>
      <c r="S6" s="9">
        <f>(H6+I6)-(F6+G6)</f>
        <v/>
      </c>
      <c r="T6" s="9" t="n">
        <v>1.64</v>
      </c>
      <c r="U6" s="9" t="n">
        <v>0.96</v>
      </c>
      <c r="V6" s="9" t="n">
        <v>0.68</v>
      </c>
      <c r="W6" s="9" t="n">
        <v>6.27</v>
      </c>
      <c r="X6" s="9" t="n">
        <v>7.41</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1.02</v>
      </c>
      <c r="O7" s="10" t="n">
        <v>-0.58</v>
      </c>
      <c r="P7" s="10" t="n">
        <v>-0.36</v>
      </c>
      <c r="Q7" s="10" t="n">
        <v>0.07000000000000001</v>
      </c>
      <c r="R7" s="10">
        <f>(H7-I7)-(F7-G7)</f>
        <v/>
      </c>
      <c r="S7" s="10">
        <f>(H7+I7)-(F7+G7)</f>
        <v/>
      </c>
      <c r="T7" s="10" t="n">
        <v>2.32</v>
      </c>
      <c r="U7" s="10" t="n">
        <v>1.7</v>
      </c>
      <c r="V7" s="10" t="n">
        <v>0.62</v>
      </c>
      <c r="W7" s="10" t="n">
        <v>8.59</v>
      </c>
      <c r="X7" s="10" t="n">
        <v>9.1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2</v>
      </c>
      <c r="D35" s="15" t="n">
        <v>1</v>
      </c>
      <c r="E35" s="19" t="n">
        <v>0.27</v>
      </c>
      <c r="F35" s="19" t="n">
        <v>0.31</v>
      </c>
      <c r="G35" s="19" t="n">
        <v>-0.18</v>
      </c>
      <c r="H35" s="19" t="n">
        <v>-0.08</v>
      </c>
    </row>
    <row r="36">
      <c r="A36" s="15" t="inlineStr">
        <is>
          <t>Away</t>
        </is>
      </c>
      <c r="B36" s="15" t="n">
        <v>3</v>
      </c>
      <c r="C36" s="15" t="n">
        <v>1</v>
      </c>
      <c r="D36" s="15" t="n">
        <v>6</v>
      </c>
      <c r="E36" s="19" t="n">
        <v>-0.57</v>
      </c>
      <c r="F36" s="19" t="n">
        <v>-0.88</v>
      </c>
      <c r="G36" s="19" t="n">
        <v>-0.49</v>
      </c>
      <c r="H36" s="19" t="n">
        <v>-0.57</v>
      </c>
    </row>
    <row r="37">
      <c r="A37" s="20" t="inlineStr">
        <is>
          <t>Total</t>
        </is>
      </c>
      <c r="B37" s="20" t="n">
        <v>6</v>
      </c>
      <c r="C37" s="20" t="n">
        <v>3</v>
      </c>
      <c r="D37" s="20" t="n">
        <v>7</v>
      </c>
      <c r="E37" s="21" t="n">
        <v>-0.15</v>
      </c>
      <c r="F37" s="21" t="n">
        <v>-0.06</v>
      </c>
      <c r="G37" s="21" t="n">
        <v>-0.33</v>
      </c>
      <c r="H37" s="21" t="n">
        <v>-0.26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-1.3</v>
      </c>
      <c r="O2" s="9" t="n">
        <v>-0.02</v>
      </c>
      <c r="P2" s="9" t="n">
        <v>-1.3</v>
      </c>
      <c r="Q2" s="9" t="n">
        <v>-0.02</v>
      </c>
      <c r="R2" s="9">
        <f>(H2-I2)-(F2-G2)</f>
        <v/>
      </c>
      <c r="S2" s="9">
        <f>(H2+I2)-(F2+G2)</f>
        <v/>
      </c>
      <c r="T2" s="9" t="n">
        <v>0.47</v>
      </c>
      <c r="U2" s="9" t="n">
        <v>1.5</v>
      </c>
      <c r="V2" s="9" t="n">
        <v>-1.02</v>
      </c>
      <c r="W2" s="9" t="n">
        <v>0.47</v>
      </c>
      <c r="X2" s="9" t="n">
        <v>1.5</v>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-1.33</v>
      </c>
      <c r="O3" s="10" t="n">
        <v>0.88</v>
      </c>
      <c r="P3" s="10" t="n">
        <v>-1.31</v>
      </c>
      <c r="Q3" s="10" t="n">
        <v>0.43</v>
      </c>
      <c r="R3" s="10">
        <f>(H3-I3)-(F3-G3)</f>
        <v/>
      </c>
      <c r="S3" s="10">
        <f>(H3+I3)-(F3+G3)</f>
        <v/>
      </c>
      <c r="T3" s="10" t="n">
        <v>0.4</v>
      </c>
      <c r="U3" s="10" t="n">
        <v>1.77</v>
      </c>
      <c r="V3" s="10" t="n">
        <v>-1.37</v>
      </c>
      <c r="W3" s="10" t="n">
        <v>0.88</v>
      </c>
      <c r="X3" s="10" t="n">
        <v>3.27</v>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-0.76</v>
      </c>
      <c r="O4" s="9" t="n">
        <v>-0.34</v>
      </c>
      <c r="P4" s="9" t="n">
        <v>-1.13</v>
      </c>
      <c r="Q4" s="9" t="n">
        <v>0.17</v>
      </c>
      <c r="R4" s="9">
        <f>(H4-I4)-(F4-G4)</f>
        <v/>
      </c>
      <c r="S4" s="9">
        <f>(H4+I4)-(F4+G4)</f>
        <v/>
      </c>
      <c r="T4" s="9" t="n">
        <v>1.07</v>
      </c>
      <c r="U4" s="9" t="n">
        <v>1.2</v>
      </c>
      <c r="V4" s="9" t="n">
        <v>-0.13</v>
      </c>
      <c r="W4" s="9" t="n">
        <v>1.95</v>
      </c>
      <c r="X4" s="9" t="n">
        <v>4.47</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-0.15</v>
      </c>
      <c r="O5" s="10" t="n">
        <v>0.27</v>
      </c>
      <c r="P5" s="10" t="n">
        <v>-0.88</v>
      </c>
      <c r="Q5" s="10" t="n">
        <v>0.2</v>
      </c>
      <c r="R5" s="10">
        <f>(H5-I5)-(F5-G5)</f>
        <v/>
      </c>
      <c r="S5" s="10">
        <f>(H5+I5)-(F5+G5)</f>
        <v/>
      </c>
      <c r="T5" s="10" t="n">
        <v>0.86</v>
      </c>
      <c r="U5" s="10" t="n">
        <v>1.57</v>
      </c>
      <c r="V5" s="10" t="n">
        <v>-0.71</v>
      </c>
      <c r="W5" s="10" t="n">
        <v>2.81</v>
      </c>
      <c r="X5" s="10" t="n">
        <v>6.04</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-0.82</v>
      </c>
      <c r="O6" s="9" t="n">
        <v>0.9399999999999999</v>
      </c>
      <c r="P6" s="9" t="n">
        <v>-0.87</v>
      </c>
      <c r="Q6" s="9" t="n">
        <v>0.34</v>
      </c>
      <c r="R6" s="9">
        <f>(H6-I6)-(F6-G6)</f>
        <v/>
      </c>
      <c r="S6" s="9">
        <f>(H6+I6)-(F6+G6)</f>
        <v/>
      </c>
      <c r="T6" s="9" t="n">
        <v>0.65</v>
      </c>
      <c r="U6" s="9" t="n">
        <v>1.64</v>
      </c>
      <c r="V6" s="9" t="n">
        <v>-0.99</v>
      </c>
      <c r="W6" s="9" t="n">
        <v>3.46</v>
      </c>
      <c r="X6" s="9" t="n">
        <v>7.68</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-0.79</v>
      </c>
      <c r="O7" s="10" t="n">
        <v>-0.5</v>
      </c>
      <c r="P7" s="10" t="n">
        <v>-0.86</v>
      </c>
      <c r="Q7" s="10" t="n">
        <v>0.2</v>
      </c>
      <c r="R7" s="10">
        <f>(H7-I7)-(F7-G7)</f>
        <v/>
      </c>
      <c r="S7" s="10">
        <f>(H7+I7)-(F7+G7)</f>
        <v/>
      </c>
      <c r="T7" s="10" t="n">
        <v>0.47</v>
      </c>
      <c r="U7" s="10" t="n">
        <v>0.86</v>
      </c>
      <c r="V7" s="10" t="n">
        <v>-0.39</v>
      </c>
      <c r="W7" s="10" t="n">
        <v>3.92</v>
      </c>
      <c r="X7" s="10" t="n">
        <v>8.529999999999999</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5</v>
      </c>
      <c r="D35" s="15" t="n">
        <v>6</v>
      </c>
      <c r="E35" s="19" t="n">
        <v>-1.57</v>
      </c>
      <c r="F35" s="19" t="n">
        <v>-1.53</v>
      </c>
      <c r="G35" s="19" t="n">
        <v>-0.08</v>
      </c>
      <c r="H35" s="19" t="n">
        <v>-0.02</v>
      </c>
    </row>
    <row r="36">
      <c r="A36" s="15" t="inlineStr">
        <is>
          <t>Away</t>
        </is>
      </c>
      <c r="B36" s="15" t="n">
        <v>3</v>
      </c>
      <c r="C36" s="15" t="n">
        <v>0</v>
      </c>
      <c r="D36" s="15" t="n">
        <v>4</v>
      </c>
      <c r="E36" s="19" t="n">
        <v>-0.6</v>
      </c>
      <c r="F36" s="19" t="n">
        <v>-0.53</v>
      </c>
      <c r="G36" s="19" t="n">
        <v>-0.88</v>
      </c>
      <c r="H36" s="19" t="n">
        <v>-0.72</v>
      </c>
    </row>
    <row r="37">
      <c r="A37" s="20" t="inlineStr">
        <is>
          <t>Total</t>
        </is>
      </c>
      <c r="B37" s="20" t="n">
        <v>6</v>
      </c>
      <c r="C37" s="20" t="n">
        <v>5</v>
      </c>
      <c r="D37" s="20" t="n">
        <v>10</v>
      </c>
      <c r="E37" s="21" t="n">
        <v>-1.09</v>
      </c>
      <c r="F37" s="21" t="n">
        <v>-1.07</v>
      </c>
      <c r="G37" s="21" t="n">
        <v>-0.48</v>
      </c>
      <c r="H37" s="21" t="n">
        <v>-0.55</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0.78</v>
      </c>
      <c r="O2" s="9" t="n">
        <v>-1.06</v>
      </c>
      <c r="P2" s="9" t="n">
        <v>0.78</v>
      </c>
      <c r="Q2" s="9" t="n">
        <v>-1.06</v>
      </c>
      <c r="R2" s="9">
        <f>(H2-I2)-(F2-G2)</f>
        <v/>
      </c>
      <c r="S2" s="9">
        <f>(H2+I2)-(F2+G2)</f>
        <v/>
      </c>
      <c r="T2" s="9" t="n">
        <v>2.4</v>
      </c>
      <c r="U2" s="9" t="n">
        <v>1.41</v>
      </c>
      <c r="V2" s="9" t="n">
        <v>0.98</v>
      </c>
      <c r="W2" s="9" t="n">
        <v>2.4</v>
      </c>
      <c r="X2" s="9" t="n">
        <v>1.41</v>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-0.41</v>
      </c>
      <c r="O3" s="10" t="n">
        <v>0.54</v>
      </c>
      <c r="P3" s="10" t="n">
        <v>0.18</v>
      </c>
      <c r="Q3" s="10" t="n">
        <v>-0.26</v>
      </c>
      <c r="R3" s="10">
        <f>(H3-I3)-(F3-G3)</f>
        <v/>
      </c>
      <c r="S3" s="10">
        <f>(H3+I3)-(F3+G3)</f>
        <v/>
      </c>
      <c r="T3" s="10" t="n">
        <v>0.63</v>
      </c>
      <c r="U3" s="10" t="n">
        <v>1.42</v>
      </c>
      <c r="V3" s="10" t="n">
        <v>-0.79</v>
      </c>
      <c r="W3" s="10" t="n">
        <v>3.02</v>
      </c>
      <c r="X3" s="10" t="n">
        <v>2.83</v>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1.83</v>
      </c>
      <c r="O4" s="9" t="n">
        <v>-1.05</v>
      </c>
      <c r="P4" s="9" t="n">
        <v>0.73</v>
      </c>
      <c r="Q4" s="9" t="n">
        <v>-0.52</v>
      </c>
      <c r="R4" s="9">
        <f>(H4-I4)-(F4-G4)</f>
        <v/>
      </c>
      <c r="S4" s="9">
        <f>(H4+I4)-(F4+G4)</f>
        <v/>
      </c>
      <c r="T4" s="9" t="n">
        <v>2.39</v>
      </c>
      <c r="U4" s="9" t="n">
        <v>1.22</v>
      </c>
      <c r="V4" s="9" t="n">
        <v>1.17</v>
      </c>
      <c r="W4" s="9" t="n">
        <v>5.41</v>
      </c>
      <c r="X4" s="9" t="n">
        <v>4.05</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0.73</v>
      </c>
      <c r="O5" s="10" t="n">
        <v>-0.7</v>
      </c>
      <c r="P5" s="10" t="n">
        <v>0.73</v>
      </c>
      <c r="Q5" s="10" t="n">
        <v>-0.57</v>
      </c>
      <c r="R5" s="10">
        <f>(H5-I5)-(F5-G5)</f>
        <v/>
      </c>
      <c r="S5" s="10">
        <f>(H5+I5)-(F5+G5)</f>
        <v/>
      </c>
      <c r="T5" s="10" t="n">
        <v>2.22</v>
      </c>
      <c r="U5" s="10" t="n">
        <v>1.16</v>
      </c>
      <c r="V5" s="10" t="n">
        <v>1.06</v>
      </c>
      <c r="W5" s="10" t="n">
        <v>7.63</v>
      </c>
      <c r="X5" s="10" t="n">
        <v>5.21</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-0.4</v>
      </c>
      <c r="O6" s="9" t="n">
        <v>-1.74</v>
      </c>
      <c r="P6" s="9" t="n">
        <v>0.5</v>
      </c>
      <c r="Q6" s="9" t="n">
        <v>-0.8</v>
      </c>
      <c r="R6" s="9">
        <f>(H6-I6)-(F6-G6)</f>
        <v/>
      </c>
      <c r="S6" s="9">
        <f>(H6+I6)-(F6+G6)</f>
        <v/>
      </c>
      <c r="T6" s="9" t="n">
        <v>1.13</v>
      </c>
      <c r="U6" s="9" t="n">
        <v>0.89</v>
      </c>
      <c r="V6" s="9" t="n">
        <v>0.24</v>
      </c>
      <c r="W6" s="9" t="n">
        <v>8.76</v>
      </c>
      <c r="X6" s="9" t="n">
        <v>6.1</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1.07</v>
      </c>
      <c r="O7" s="10" t="n">
        <v>0.5600000000000001</v>
      </c>
      <c r="P7" s="10" t="n">
        <v>0.6</v>
      </c>
      <c r="Q7" s="10" t="n">
        <v>-0.57</v>
      </c>
      <c r="R7" s="10">
        <f>(H7-I7)-(F7-G7)</f>
        <v/>
      </c>
      <c r="S7" s="10">
        <f>(H7+I7)-(F7+G7)</f>
        <v/>
      </c>
      <c r="T7" s="10" t="n">
        <v>1.98</v>
      </c>
      <c r="U7" s="10" t="n">
        <v>1.28</v>
      </c>
      <c r="V7" s="10" t="n">
        <v>0.7</v>
      </c>
      <c r="W7" s="10" t="n">
        <v>10.74</v>
      </c>
      <c r="X7" s="10" t="n">
        <v>7.37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5</v>
      </c>
      <c r="E35" s="19" t="n">
        <v>0.61</v>
      </c>
      <c r="F35" s="19" t="n">
        <v>1.16</v>
      </c>
      <c r="G35" s="19" t="n">
        <v>1.05</v>
      </c>
      <c r="H35" s="19" t="n">
        <v>1.08</v>
      </c>
    </row>
    <row r="36">
      <c r="A36" s="15" t="inlineStr">
        <is>
          <t>Away</t>
        </is>
      </c>
      <c r="B36" s="15" t="n">
        <v>3</v>
      </c>
      <c r="C36" s="15" t="n">
        <v>3</v>
      </c>
      <c r="D36" s="15" t="n">
        <v>5</v>
      </c>
      <c r="E36" s="19" t="n">
        <v>1.23</v>
      </c>
      <c r="F36" s="19" t="n">
        <v>1.54</v>
      </c>
      <c r="G36" s="19" t="n">
        <v>-0.4</v>
      </c>
      <c r="H36" s="19" t="n">
        <v>0.14</v>
      </c>
    </row>
    <row r="37">
      <c r="A37" s="20" t="inlineStr">
        <is>
          <t>Total</t>
        </is>
      </c>
      <c r="B37" s="20" t="n">
        <v>6</v>
      </c>
      <c r="C37" s="20" t="n">
        <v>9</v>
      </c>
      <c r="D37" s="20" t="n">
        <v>10</v>
      </c>
      <c r="E37" s="21" t="n">
        <v>0.92</v>
      </c>
      <c r="F37" s="21" t="n">
        <v>1.35</v>
      </c>
      <c r="G37" s="21" t="n">
        <v>0.33</v>
      </c>
      <c r="H37" s="21" t="n">
        <v>0.44</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-0.58</v>
      </c>
      <c r="O2" s="9" t="n">
        <v>0.1</v>
      </c>
      <c r="P2" s="9" t="n">
        <v>-0.58</v>
      </c>
      <c r="Q2" s="9" t="n">
        <v>0.1</v>
      </c>
      <c r="R2" s="9">
        <f>(H2-I2)-(F2-G2)</f>
        <v/>
      </c>
      <c r="S2" s="9">
        <f>(H2+I2)-(F2+G2)</f>
        <v/>
      </c>
      <c r="T2" s="9" t="n">
        <v>0.89</v>
      </c>
      <c r="U2" s="9" t="n">
        <v>1.2</v>
      </c>
      <c r="V2" s="9" t="n">
        <v>-0.31</v>
      </c>
      <c r="W2" s="9" t="n">
        <v>0.89</v>
      </c>
      <c r="X2" s="9" t="n">
        <v>1.2</v>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-1.45</v>
      </c>
      <c r="O3" s="10" t="n">
        <v>0.84</v>
      </c>
      <c r="P3" s="10" t="n">
        <v>-1.02</v>
      </c>
      <c r="Q3" s="10" t="n">
        <v>0.47</v>
      </c>
      <c r="R3" s="10">
        <f>(H3-I3)-(F3-G3)</f>
        <v/>
      </c>
      <c r="S3" s="10">
        <f>(H3+I3)-(F3+G3)</f>
        <v/>
      </c>
      <c r="T3" s="10" t="n">
        <v>0.36</v>
      </c>
      <c r="U3" s="10" t="n">
        <v>1.7</v>
      </c>
      <c r="V3" s="10" t="n">
        <v>-1.34</v>
      </c>
      <c r="W3" s="10" t="n">
        <v>1.25</v>
      </c>
      <c r="X3" s="10" t="n">
        <v>2.9</v>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-0.01</v>
      </c>
      <c r="O4" s="9" t="n">
        <v>-0.47</v>
      </c>
      <c r="P4" s="9" t="n">
        <v>-0.68</v>
      </c>
      <c r="Q4" s="9" t="n">
        <v>0.16</v>
      </c>
      <c r="R4" s="9">
        <f>(H4-I4)-(F4-G4)</f>
        <v/>
      </c>
      <c r="S4" s="9">
        <f>(H4+I4)-(F4+G4)</f>
        <v/>
      </c>
      <c r="T4" s="9" t="n">
        <v>1.59</v>
      </c>
      <c r="U4" s="9" t="n">
        <v>1.76</v>
      </c>
      <c r="V4" s="9" t="n">
        <v>-0.17</v>
      </c>
      <c r="W4" s="9" t="n">
        <v>2.84</v>
      </c>
      <c r="X4" s="9" t="n">
        <v>4.66</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0.41</v>
      </c>
      <c r="O5" s="10" t="n">
        <v>-0.6</v>
      </c>
      <c r="P5" s="10" t="n">
        <v>-0.41</v>
      </c>
      <c r="Q5" s="10" t="n">
        <v>-0.03</v>
      </c>
      <c r="R5" s="10">
        <f>(H5-I5)-(F5-G5)</f>
        <v/>
      </c>
      <c r="S5" s="10">
        <f>(H5+I5)-(F5+G5)</f>
        <v/>
      </c>
      <c r="T5" s="10" t="n">
        <v>2.54</v>
      </c>
      <c r="U5" s="10" t="n">
        <v>2.11</v>
      </c>
      <c r="V5" s="10" t="n">
        <v>0.43</v>
      </c>
      <c r="W5" s="10" t="n">
        <v>5.38</v>
      </c>
      <c r="X5" s="10" t="n">
        <v>6.77</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-1.48</v>
      </c>
      <c r="O6" s="9" t="n">
        <v>-0.13</v>
      </c>
      <c r="P6" s="9" t="n">
        <v>-0.62</v>
      </c>
      <c r="Q6" s="9" t="n">
        <v>-0.05</v>
      </c>
      <c r="R6" s="9">
        <f>(H6-I6)-(F6-G6)</f>
        <v/>
      </c>
      <c r="S6" s="9">
        <f>(H6+I6)-(F6+G6)</f>
        <v/>
      </c>
      <c r="T6" s="9" t="n">
        <v>0.91</v>
      </c>
      <c r="U6" s="9" t="n">
        <v>1.8</v>
      </c>
      <c r="V6" s="9" t="n">
        <v>-0.89</v>
      </c>
      <c r="W6" s="9" t="n">
        <v>6.3</v>
      </c>
      <c r="X6" s="9" t="n">
        <v>8.57</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0.31</v>
      </c>
      <c r="O7" s="10" t="n">
        <v>0.6</v>
      </c>
      <c r="P7" s="10" t="n">
        <v>-0.47</v>
      </c>
      <c r="Q7" s="10" t="n">
        <v>0.06</v>
      </c>
      <c r="R7" s="10">
        <f>(H7-I7)-(F7-G7)</f>
        <v/>
      </c>
      <c r="S7" s="10">
        <f>(H7+I7)-(F7+G7)</f>
        <v/>
      </c>
      <c r="T7" s="10" t="n">
        <v>0.83</v>
      </c>
      <c r="U7" s="10" t="n">
        <v>1.47</v>
      </c>
      <c r="V7" s="10" t="n">
        <v>-0.64</v>
      </c>
      <c r="W7" s="10" t="n">
        <v>7.13</v>
      </c>
      <c r="X7" s="10" t="n">
        <v>10.04</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2</v>
      </c>
      <c r="E35" s="19" t="n">
        <v>-0.83</v>
      </c>
      <c r="F35" s="19" t="n">
        <v>-0.98</v>
      </c>
      <c r="G35" s="19" t="n">
        <v>-0.58</v>
      </c>
      <c r="H35" s="19" t="n">
        <v>-0.33</v>
      </c>
    </row>
    <row r="36">
      <c r="A36" s="15" t="inlineStr">
        <is>
          <t>Away</t>
        </is>
      </c>
      <c r="B36" s="15" t="n">
        <v>3</v>
      </c>
      <c r="C36" s="15" t="n">
        <v>4</v>
      </c>
      <c r="D36" s="15" t="n">
        <v>7</v>
      </c>
      <c r="E36" s="19" t="n">
        <v>-0.62</v>
      </c>
      <c r="F36" s="19" t="n">
        <v>-0.46</v>
      </c>
      <c r="G36" s="19" t="n">
        <v>0.03</v>
      </c>
      <c r="H36" s="19" t="n">
        <v>-0.05</v>
      </c>
    </row>
    <row r="37">
      <c r="A37" s="20" t="inlineStr">
        <is>
          <t>Total</t>
        </is>
      </c>
      <c r="B37" s="20" t="n">
        <v>6</v>
      </c>
      <c r="C37" s="20" t="n">
        <v>7</v>
      </c>
      <c r="D37" s="20" t="n">
        <v>9</v>
      </c>
      <c r="E37" s="21" t="n">
        <v>-0.72</v>
      </c>
      <c r="F37" s="21" t="n">
        <v>-0.72</v>
      </c>
      <c r="G37" s="21" t="n">
        <v>-0.27</v>
      </c>
      <c r="H37" s="21" t="n">
        <v>-0.19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-0.14</v>
      </c>
      <c r="O2" s="9" t="n">
        <v>-0.18</v>
      </c>
      <c r="P2" s="9" t="n">
        <v>-0.14</v>
      </c>
      <c r="Q2" s="9" t="n">
        <v>-0.18</v>
      </c>
      <c r="R2" s="9">
        <f>(H2-I2)-(F2-G2)</f>
        <v/>
      </c>
      <c r="S2" s="9">
        <f>(H2+I2)-(F2+G2)</f>
        <v/>
      </c>
      <c r="T2" s="9" t="n">
        <v>1.45</v>
      </c>
      <c r="U2" s="9" t="n">
        <v>1.15</v>
      </c>
      <c r="V2" s="9" t="n">
        <v>0.3</v>
      </c>
      <c r="W2" s="9" t="n">
        <v>1.45</v>
      </c>
      <c r="X2" s="9" t="n">
        <v>1.15</v>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0.63</v>
      </c>
      <c r="O3" s="10" t="n">
        <v>-0.79</v>
      </c>
      <c r="P3" s="10" t="n">
        <v>0.25</v>
      </c>
      <c r="Q3" s="10" t="n">
        <v>-0.48</v>
      </c>
      <c r="R3" s="10">
        <f>(H3-I3)-(F3-G3)</f>
        <v/>
      </c>
      <c r="S3" s="10">
        <f>(H3+I3)-(F3+G3)</f>
        <v/>
      </c>
      <c r="T3" s="10" t="n">
        <v>1.85</v>
      </c>
      <c r="U3" s="10" t="n">
        <v>0.98</v>
      </c>
      <c r="V3" s="10" t="n">
        <v>0.88</v>
      </c>
      <c r="W3" s="10" t="n">
        <v>3.3</v>
      </c>
      <c r="X3" s="10" t="n">
        <v>2.13</v>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-0.6899999999999999</v>
      </c>
      <c r="O4" s="9" t="n">
        <v>-0.12</v>
      </c>
      <c r="P4" s="9" t="n">
        <v>-0.06</v>
      </c>
      <c r="Q4" s="9" t="n">
        <v>-0.36</v>
      </c>
      <c r="R4" s="9">
        <f>(H4-I4)-(F4-G4)</f>
        <v/>
      </c>
      <c r="S4" s="9">
        <f>(H4+I4)-(F4+G4)</f>
        <v/>
      </c>
      <c r="T4" s="9" t="n">
        <v>1.07</v>
      </c>
      <c r="U4" s="9" t="n">
        <v>0.99</v>
      </c>
      <c r="V4" s="9" t="n">
        <v>0.08</v>
      </c>
      <c r="W4" s="9" t="n">
        <v>4.37</v>
      </c>
      <c r="X4" s="9" t="n">
        <v>3.12</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-0.04</v>
      </c>
      <c r="O5" s="10" t="n">
        <v>0.09</v>
      </c>
      <c r="P5" s="10" t="n">
        <v>-0.06</v>
      </c>
      <c r="Q5" s="10" t="n">
        <v>-0.25</v>
      </c>
      <c r="R5" s="10">
        <f>(H5-I5)-(F5-G5)</f>
        <v/>
      </c>
      <c r="S5" s="10">
        <f>(H5+I5)-(F5+G5)</f>
        <v/>
      </c>
      <c r="T5" s="10" t="n">
        <v>1.87</v>
      </c>
      <c r="U5" s="10" t="n">
        <v>1.18</v>
      </c>
      <c r="V5" s="10" t="n">
        <v>0.7</v>
      </c>
      <c r="W5" s="10" t="n">
        <v>6.24</v>
      </c>
      <c r="X5" s="10" t="n">
        <v>4.29</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-1</v>
      </c>
      <c r="O6" s="9" t="n">
        <v>-0.63</v>
      </c>
      <c r="P6" s="9" t="n">
        <v>-0.25</v>
      </c>
      <c r="Q6" s="9" t="n">
        <v>-0.32</v>
      </c>
      <c r="R6" s="9">
        <f>(H6-I6)-(F6-G6)</f>
        <v/>
      </c>
      <c r="S6" s="9">
        <f>(H6+I6)-(F6+G6)</f>
        <v/>
      </c>
      <c r="T6" s="9" t="n">
        <v>1.24</v>
      </c>
      <c r="U6" s="9" t="n">
        <v>0.97</v>
      </c>
      <c r="V6" s="9" t="n">
        <v>0.27</v>
      </c>
      <c r="W6" s="9" t="n">
        <v>7.48</v>
      </c>
      <c r="X6" s="9" t="n">
        <v>5.26</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-0.07000000000000001</v>
      </c>
      <c r="O7" s="10" t="n">
        <v>0.22</v>
      </c>
      <c r="P7" s="10" t="n">
        <v>-0.22</v>
      </c>
      <c r="Q7" s="10" t="n">
        <v>-0.23</v>
      </c>
      <c r="R7" s="10">
        <f>(H7-I7)-(F7-G7)</f>
        <v/>
      </c>
      <c r="S7" s="10">
        <f>(H7+I7)-(F7+G7)</f>
        <v/>
      </c>
      <c r="T7" s="10" t="n">
        <v>1.65</v>
      </c>
      <c r="U7" s="10" t="n">
        <v>1.38</v>
      </c>
      <c r="V7" s="10" t="n">
        <v>0.26</v>
      </c>
      <c r="W7" s="10" t="n">
        <v>9.130000000000001</v>
      </c>
      <c r="X7" s="10" t="n">
        <v>6.64</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4</v>
      </c>
      <c r="D35" s="15" t="n">
        <v>3</v>
      </c>
      <c r="E35" s="19" t="n">
        <v>0.63</v>
      </c>
      <c r="F35" s="19" t="n">
        <v>0.34</v>
      </c>
      <c r="G35" s="19" t="n">
        <v>-0.58</v>
      </c>
      <c r="H35" s="19" t="n">
        <v>-0.95</v>
      </c>
    </row>
    <row r="36">
      <c r="A36" s="15" t="inlineStr">
        <is>
          <t>Away</t>
        </is>
      </c>
      <c r="B36" s="15" t="n">
        <v>3</v>
      </c>
      <c r="C36" s="15" t="n">
        <v>0</v>
      </c>
      <c r="D36" s="15" t="n">
        <v>7</v>
      </c>
      <c r="E36" s="19" t="n">
        <v>0.62</v>
      </c>
      <c r="F36" s="19" t="n">
        <v>0.48</v>
      </c>
      <c r="G36" s="19" t="n">
        <v>-0.51</v>
      </c>
      <c r="H36" s="19" t="n">
        <v>-0.44</v>
      </c>
    </row>
    <row r="37">
      <c r="A37" s="20" t="inlineStr">
        <is>
          <t>Total</t>
        </is>
      </c>
      <c r="B37" s="20" t="n">
        <v>6</v>
      </c>
      <c r="C37" s="20" t="n">
        <v>4</v>
      </c>
      <c r="D37" s="20" t="n">
        <v>10</v>
      </c>
      <c r="E37" s="21" t="n">
        <v>0.62</v>
      </c>
      <c r="F37" s="21" t="n">
        <v>0.45</v>
      </c>
      <c r="G37" s="21" t="n">
        <v>-0.55</v>
      </c>
      <c r="H37" s="21" t="n">
        <v>-0.6899999999999999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-0.8</v>
      </c>
      <c r="O2" s="9" t="n">
        <v>0.12</v>
      </c>
      <c r="P2" s="9" t="n">
        <v>-0.8</v>
      </c>
      <c r="Q2" s="9" t="n">
        <v>0.12</v>
      </c>
      <c r="R2" s="9">
        <f>(H2-I2)-(F2-G2)</f>
        <v/>
      </c>
      <c r="S2" s="9">
        <f>(H2+I2)-(F2+G2)</f>
        <v/>
      </c>
      <c r="T2" s="9" t="n">
        <v>0.72</v>
      </c>
      <c r="U2" s="9" t="n">
        <v>1.11</v>
      </c>
      <c r="V2" s="9" t="n">
        <v>-0.4</v>
      </c>
      <c r="W2" s="9" t="n">
        <v>0.72</v>
      </c>
      <c r="X2" s="9" t="n">
        <v>1.11</v>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-1.07</v>
      </c>
      <c r="O3" s="10" t="n">
        <v>-0.15</v>
      </c>
      <c r="P3" s="10" t="n">
        <v>-0.93</v>
      </c>
      <c r="Q3" s="10" t="n">
        <v>-0.02</v>
      </c>
      <c r="R3" s="10">
        <f>(H3-I3)-(F3-G3)</f>
        <v/>
      </c>
      <c r="S3" s="10">
        <f>(H3+I3)-(F3+G3)</f>
        <v/>
      </c>
      <c r="T3" s="10" t="n">
        <v>1.31</v>
      </c>
      <c r="U3" s="10" t="n">
        <v>1.85</v>
      </c>
      <c r="V3" s="10" t="n">
        <v>-0.54</v>
      </c>
      <c r="W3" s="10" t="n">
        <v>2.02</v>
      </c>
      <c r="X3" s="10" t="n">
        <v>2.96</v>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-1.36</v>
      </c>
      <c r="O4" s="9" t="n">
        <v>1.27</v>
      </c>
      <c r="P4" s="9" t="n">
        <v>-1.08</v>
      </c>
      <c r="Q4" s="9" t="n">
        <v>0.41</v>
      </c>
      <c r="R4" s="9">
        <f>(H4-I4)-(F4-G4)</f>
        <v/>
      </c>
      <c r="S4" s="9">
        <f>(H4+I4)-(F4+G4)</f>
        <v/>
      </c>
      <c r="T4" s="9" t="n">
        <v>0.09</v>
      </c>
      <c r="U4" s="9" t="n">
        <v>1.03</v>
      </c>
      <c r="V4" s="9" t="n">
        <v>-0.9399999999999999</v>
      </c>
      <c r="W4" s="9" t="n">
        <v>2.11</v>
      </c>
      <c r="X4" s="9" t="n">
        <v>3.99</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1.66</v>
      </c>
      <c r="O5" s="10" t="n">
        <v>-0.34</v>
      </c>
      <c r="P5" s="10" t="n">
        <v>-0.39</v>
      </c>
      <c r="Q5" s="10" t="n">
        <v>0.22</v>
      </c>
      <c r="R5" s="10">
        <f>(H5-I5)-(F5-G5)</f>
        <v/>
      </c>
      <c r="S5" s="10">
        <f>(H5+I5)-(F5+G5)</f>
        <v/>
      </c>
      <c r="T5" s="10" t="n">
        <v>2.25</v>
      </c>
      <c r="U5" s="10" t="n">
        <v>1.13</v>
      </c>
      <c r="V5" s="10" t="n">
        <v>1.12</v>
      </c>
      <c r="W5" s="10" t="n">
        <v>4.36</v>
      </c>
      <c r="X5" s="10" t="n">
        <v>5.12</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0.52</v>
      </c>
      <c r="O6" s="9" t="n">
        <v>0.2</v>
      </c>
      <c r="P6" s="9" t="n">
        <v>-0.21</v>
      </c>
      <c r="Q6" s="9" t="n">
        <v>0.22</v>
      </c>
      <c r="R6" s="9">
        <f>(H6-I6)-(F6-G6)</f>
        <v/>
      </c>
      <c r="S6" s="9">
        <f>(H6+I6)-(F6+G6)</f>
        <v/>
      </c>
      <c r="T6" s="9" t="n">
        <v>1.74</v>
      </c>
      <c r="U6" s="9" t="n">
        <v>1.41</v>
      </c>
      <c r="V6" s="9" t="n">
        <v>0.32</v>
      </c>
      <c r="W6" s="9" t="n">
        <v>6.1</v>
      </c>
      <c r="X6" s="9" t="n">
        <v>6.54</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-0.66</v>
      </c>
      <c r="O7" s="10" t="n">
        <v>-0</v>
      </c>
      <c r="P7" s="10" t="n">
        <v>-0.28</v>
      </c>
      <c r="Q7" s="10" t="n">
        <v>0.18</v>
      </c>
      <c r="R7" s="10">
        <f>(H7-I7)-(F7-G7)</f>
        <v/>
      </c>
      <c r="S7" s="10">
        <f>(H7+I7)-(F7+G7)</f>
        <v/>
      </c>
      <c r="T7" s="10" t="n">
        <v>0.28</v>
      </c>
      <c r="U7" s="10" t="n">
        <v>0.8</v>
      </c>
      <c r="V7" s="10" t="n">
        <v>-0.52</v>
      </c>
      <c r="W7" s="10" t="n">
        <v>6.37</v>
      </c>
      <c r="X7" s="10" t="n">
        <v>7.33</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8</v>
      </c>
      <c r="D35" s="15" t="n">
        <v>3</v>
      </c>
      <c r="E35" s="19" t="n">
        <v>0.52</v>
      </c>
      <c r="F35" s="19" t="n">
        <v>0.51</v>
      </c>
      <c r="G35" s="19" t="n">
        <v>0.31</v>
      </c>
      <c r="H35" s="19" t="n">
        <v>0.76</v>
      </c>
    </row>
    <row r="36">
      <c r="A36" s="15" t="inlineStr">
        <is>
          <t>Away</t>
        </is>
      </c>
      <c r="B36" s="15" t="n">
        <v>3</v>
      </c>
      <c r="C36" s="15" t="n">
        <v>0</v>
      </c>
      <c r="D36" s="15" t="n">
        <v>7</v>
      </c>
      <c r="E36" s="19" t="n">
        <v>-1.17</v>
      </c>
      <c r="F36" s="19" t="n">
        <v>-1.15</v>
      </c>
      <c r="G36" s="19" t="n">
        <v>-0.53</v>
      </c>
      <c r="H36" s="19" t="n">
        <v>-0.01</v>
      </c>
    </row>
    <row r="37">
      <c r="A37" s="20" t="inlineStr">
        <is>
          <t>Total</t>
        </is>
      </c>
      <c r="B37" s="20" t="n">
        <v>6</v>
      </c>
      <c r="C37" s="20" t="n">
        <v>8</v>
      </c>
      <c r="D37" s="20" t="n">
        <v>10</v>
      </c>
      <c r="E37" s="21" t="n">
        <v>-0.32</v>
      </c>
      <c r="F37" s="21" t="n">
        <v>-0.47</v>
      </c>
      <c r="G37" s="21" t="n">
        <v>-0.11</v>
      </c>
      <c r="H37" s="21" t="n">
        <v>0.05</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0.41</v>
      </c>
      <c r="O2" s="9" t="n">
        <v>0.17</v>
      </c>
      <c r="P2" s="9" t="n">
        <v>0.41</v>
      </c>
      <c r="Q2" s="9" t="n">
        <v>0.17</v>
      </c>
      <c r="R2" s="9">
        <f>(H2-I2)-(F2-G2)</f>
        <v/>
      </c>
      <c r="S2" s="9">
        <f>(H2+I2)-(F2+G2)</f>
        <v/>
      </c>
      <c r="T2" s="9" t="n">
        <v>1.28</v>
      </c>
      <c r="U2" s="9" t="n">
        <v>1.58</v>
      </c>
      <c r="V2" s="9" t="n">
        <v>-0.3</v>
      </c>
      <c r="W2" s="9" t="n">
        <v>1.28</v>
      </c>
      <c r="X2" s="9" t="n">
        <v>1.58</v>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-0.08</v>
      </c>
      <c r="O3" s="10" t="n">
        <v>0.47</v>
      </c>
      <c r="P3" s="10" t="n">
        <v>0.16</v>
      </c>
      <c r="Q3" s="10" t="n">
        <v>0.32</v>
      </c>
      <c r="R3" s="10">
        <f>(H3-I3)-(F3-G3)</f>
        <v/>
      </c>
      <c r="S3" s="10">
        <f>(H3+I3)-(F3+G3)</f>
        <v/>
      </c>
      <c r="T3" s="10" t="n">
        <v>0.65</v>
      </c>
      <c r="U3" s="10" t="n">
        <v>0.84</v>
      </c>
      <c r="V3" s="10" t="n">
        <v>-0.19</v>
      </c>
      <c r="W3" s="10" t="n">
        <v>1.93</v>
      </c>
      <c r="X3" s="10" t="n">
        <v>2.42</v>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-0.17</v>
      </c>
      <c r="O4" s="9" t="n">
        <v>-0.21</v>
      </c>
      <c r="P4" s="9" t="n">
        <v>0.05</v>
      </c>
      <c r="Q4" s="9" t="n">
        <v>0.14</v>
      </c>
      <c r="R4" s="9">
        <f>(H4-I4)-(F4-G4)</f>
        <v/>
      </c>
      <c r="S4" s="9">
        <f>(H4+I4)-(F4+G4)</f>
        <v/>
      </c>
      <c r="T4" s="9" t="n">
        <v>1.25</v>
      </c>
      <c r="U4" s="9" t="n">
        <v>1.33</v>
      </c>
      <c r="V4" s="9" t="n">
        <v>-0.08</v>
      </c>
      <c r="W4" s="9" t="n">
        <v>3.18</v>
      </c>
      <c r="X4" s="9" t="n">
        <v>3.76</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-0.45</v>
      </c>
      <c r="O5" s="10" t="n">
        <v>0.34</v>
      </c>
      <c r="P5" s="10" t="n">
        <v>-0.07000000000000001</v>
      </c>
      <c r="Q5" s="10" t="n">
        <v>0.19</v>
      </c>
      <c r="R5" s="10">
        <f>(H5-I5)-(F5-G5)</f>
        <v/>
      </c>
      <c r="S5" s="10">
        <f>(H5+I5)-(F5+G5)</f>
        <v/>
      </c>
      <c r="T5" s="10" t="n">
        <v>0.58</v>
      </c>
      <c r="U5" s="10" t="n">
        <v>1.58</v>
      </c>
      <c r="V5" s="10" t="n">
        <v>-1</v>
      </c>
      <c r="W5" s="10" t="n">
        <v>3.76</v>
      </c>
      <c r="X5" s="10" t="n">
        <v>5.34</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0.84</v>
      </c>
      <c r="O6" s="9" t="n">
        <v>0.53</v>
      </c>
      <c r="P6" s="9" t="n">
        <v>0.11</v>
      </c>
      <c r="Q6" s="9" t="n">
        <v>0.26</v>
      </c>
      <c r="R6" s="9">
        <f>(H6-I6)-(F6-G6)</f>
        <v/>
      </c>
      <c r="S6" s="9">
        <f>(H6+I6)-(F6+G6)</f>
        <v/>
      </c>
      <c r="T6" s="9" t="n">
        <v>1.41</v>
      </c>
      <c r="U6" s="9" t="n">
        <v>1.19</v>
      </c>
      <c r="V6" s="9" t="n">
        <v>0.22</v>
      </c>
      <c r="W6" s="9" t="n">
        <v>5.17</v>
      </c>
      <c r="X6" s="9" t="n">
        <v>6.52</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-0.04</v>
      </c>
      <c r="O7" s="10" t="n">
        <v>0.14</v>
      </c>
      <c r="P7" s="10" t="n">
        <v>0.08</v>
      </c>
      <c r="Q7" s="10" t="n">
        <v>0.24</v>
      </c>
      <c r="R7" s="10">
        <f>(H7-I7)-(F7-G7)</f>
        <v/>
      </c>
      <c r="S7" s="10">
        <f>(H7+I7)-(F7+G7)</f>
        <v/>
      </c>
      <c r="T7" s="10" t="n">
        <v>1.21</v>
      </c>
      <c r="U7" s="10" t="n">
        <v>1.35</v>
      </c>
      <c r="V7" s="10" t="n">
        <v>-0.14</v>
      </c>
      <c r="W7" s="10" t="n">
        <v>6.38</v>
      </c>
      <c r="X7" s="10" t="n">
        <v>7.87</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6</v>
      </c>
      <c r="D35" s="15" t="n">
        <v>2</v>
      </c>
      <c r="E35" s="19" t="n">
        <v>-0.57</v>
      </c>
      <c r="F35" s="19" t="n">
        <v>-0.42</v>
      </c>
      <c r="G35" s="19" t="n">
        <v>0.5</v>
      </c>
      <c r="H35" s="19" t="n">
        <v>0.23</v>
      </c>
    </row>
    <row r="36">
      <c r="A36" s="15" t="inlineStr">
        <is>
          <t>Away</t>
        </is>
      </c>
      <c r="B36" s="15" t="n">
        <v>3</v>
      </c>
      <c r="C36" s="15" t="n">
        <v>3</v>
      </c>
      <c r="D36" s="15" t="n">
        <v>5</v>
      </c>
      <c r="E36" s="19" t="n">
        <v>-0.2</v>
      </c>
      <c r="F36" s="19" t="n">
        <v>-0.22</v>
      </c>
      <c r="G36" s="19" t="n">
        <v>-0.1</v>
      </c>
      <c r="H36" s="19" t="n">
        <v>-0.01</v>
      </c>
    </row>
    <row r="37">
      <c r="A37" s="20" t="inlineStr">
        <is>
          <t>Total</t>
        </is>
      </c>
      <c r="B37" s="20" t="n">
        <v>6</v>
      </c>
      <c r="C37" s="20" t="n">
        <v>9</v>
      </c>
      <c r="D37" s="20" t="n">
        <v>7</v>
      </c>
      <c r="E37" s="21" t="n">
        <v>-0.39</v>
      </c>
      <c r="F37" s="21" t="n">
        <v>-0.27</v>
      </c>
      <c r="G37" s="21" t="n">
        <v>0.2</v>
      </c>
      <c r="H37" s="21" t="n">
        <v>0.1</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2.31</v>
      </c>
      <c r="O2" s="9" t="n">
        <v>-0.1</v>
      </c>
      <c r="P2" s="9" t="n">
        <v>2.31</v>
      </c>
      <c r="Q2" s="9" t="n">
        <v>-0.1</v>
      </c>
      <c r="R2" s="9">
        <f>(H2-I2)-(F2-G2)</f>
        <v/>
      </c>
      <c r="S2" s="9">
        <f>(H2+I2)-(F2+G2)</f>
        <v/>
      </c>
      <c r="T2" s="9" t="n">
        <v>2.26</v>
      </c>
      <c r="U2" s="9" t="n">
        <v>1.17</v>
      </c>
      <c r="V2" s="9" t="n">
        <v>1.09</v>
      </c>
      <c r="W2" s="9" t="n">
        <v>2.26</v>
      </c>
      <c r="X2" s="9" t="n">
        <v>1.17</v>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-0.15</v>
      </c>
      <c r="O3" s="10" t="n">
        <v>-0.7</v>
      </c>
      <c r="P3" s="10" t="n">
        <v>1.08</v>
      </c>
      <c r="Q3" s="10" t="n">
        <v>-0.4</v>
      </c>
      <c r="R3" s="10">
        <f>(H3-I3)-(F3-G3)</f>
        <v/>
      </c>
      <c r="S3" s="10">
        <f>(H3+I3)-(F3+G3)</f>
        <v/>
      </c>
      <c r="T3" s="10" t="n">
        <v>1.59</v>
      </c>
      <c r="U3" s="10" t="n">
        <v>1.29</v>
      </c>
      <c r="V3" s="10" t="n">
        <v>0.3</v>
      </c>
      <c r="W3" s="10" t="n">
        <v>3.85</v>
      </c>
      <c r="X3" s="10" t="n">
        <v>2.46</v>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0.33</v>
      </c>
      <c r="O4" s="9" t="n">
        <v>0.79</v>
      </c>
      <c r="P4" s="9" t="n">
        <v>0.83</v>
      </c>
      <c r="Q4" s="9" t="n">
        <v>0</v>
      </c>
      <c r="R4" s="9">
        <f>(H4-I4)-(F4-G4)</f>
        <v/>
      </c>
      <c r="S4" s="9">
        <f>(H4+I4)-(F4+G4)</f>
        <v/>
      </c>
      <c r="T4" s="9" t="n">
        <v>1.36</v>
      </c>
      <c r="U4" s="9" t="n">
        <v>1.8</v>
      </c>
      <c r="V4" s="9" t="n">
        <v>-0.44</v>
      </c>
      <c r="W4" s="9" t="n">
        <v>5.21</v>
      </c>
      <c r="X4" s="9" t="n">
        <v>4.26</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0.63</v>
      </c>
      <c r="O5" s="10" t="n">
        <v>0.13</v>
      </c>
      <c r="P5" s="10" t="n">
        <v>0.78</v>
      </c>
      <c r="Q5" s="10" t="n">
        <v>0.03</v>
      </c>
      <c r="R5" s="10">
        <f>(H5-I5)-(F5-G5)</f>
        <v/>
      </c>
      <c r="S5" s="10">
        <f>(H5+I5)-(F5+G5)</f>
        <v/>
      </c>
      <c r="T5" s="10" t="n">
        <v>1.59</v>
      </c>
      <c r="U5" s="10" t="n">
        <v>1.21</v>
      </c>
      <c r="V5" s="10" t="n">
        <v>0.39</v>
      </c>
      <c r="W5" s="10" t="n">
        <v>6.81</v>
      </c>
      <c r="X5" s="10" t="n">
        <v>5.47</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-0.63</v>
      </c>
      <c r="O6" s="9" t="n">
        <v>0.16</v>
      </c>
      <c r="P6" s="9" t="n">
        <v>0.5</v>
      </c>
      <c r="Q6" s="9" t="n">
        <v>0.06</v>
      </c>
      <c r="R6" s="9">
        <f>(H6-I6)-(F6-G6)</f>
        <v/>
      </c>
      <c r="S6" s="9">
        <f>(H6+I6)-(F6+G6)</f>
        <v/>
      </c>
      <c r="T6" s="9" t="n">
        <v>0.53</v>
      </c>
      <c r="U6" s="9" t="n">
        <v>1.33</v>
      </c>
      <c r="V6" s="9" t="n">
        <v>-0.8</v>
      </c>
      <c r="W6" s="9" t="n">
        <v>7.34</v>
      </c>
      <c r="X6" s="9" t="n">
        <v>6.8</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-0.44</v>
      </c>
      <c r="O7" s="10" t="n">
        <v>0.23</v>
      </c>
      <c r="P7" s="10" t="n">
        <v>0.34</v>
      </c>
      <c r="Q7" s="10" t="n">
        <v>0.09</v>
      </c>
      <c r="R7" s="10">
        <f>(H7-I7)-(F7-G7)</f>
        <v/>
      </c>
      <c r="S7" s="10">
        <f>(H7+I7)-(F7+G7)</f>
        <v/>
      </c>
      <c r="T7" s="10" t="n">
        <v>2.32</v>
      </c>
      <c r="U7" s="10" t="n">
        <v>1.92</v>
      </c>
      <c r="V7" s="10" t="n">
        <v>0.41</v>
      </c>
      <c r="W7" s="10" t="n">
        <v>9.66</v>
      </c>
      <c r="X7" s="10" t="n">
        <v>8.710000000000001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3</v>
      </c>
      <c r="D35" s="15" t="n">
        <v>2</v>
      </c>
      <c r="E35" s="19" t="n">
        <v>0.09</v>
      </c>
      <c r="F35" s="19" t="n">
        <v>0.41</v>
      </c>
      <c r="G35" s="19" t="n">
        <v>0.3</v>
      </c>
      <c r="H35" s="19" t="n">
        <v>-0.41</v>
      </c>
    </row>
    <row r="36">
      <c r="A36" s="15" t="inlineStr">
        <is>
          <t>Away</t>
        </is>
      </c>
      <c r="B36" s="15" t="n">
        <v>3</v>
      </c>
      <c r="C36" s="15" t="n">
        <v>5</v>
      </c>
      <c r="D36" s="15" t="n">
        <v>2</v>
      </c>
      <c r="E36" s="19" t="n">
        <v>0.49</v>
      </c>
      <c r="F36" s="19" t="n">
        <v>0.58</v>
      </c>
      <c r="G36" s="19" t="n">
        <v>0.55</v>
      </c>
      <c r="H36" s="19" t="n">
        <v>0.52</v>
      </c>
    </row>
    <row r="37">
      <c r="A37" s="20" t="inlineStr">
        <is>
          <t>Total</t>
        </is>
      </c>
      <c r="B37" s="20" t="n">
        <v>6</v>
      </c>
      <c r="C37" s="20" t="n">
        <v>8</v>
      </c>
      <c r="D37" s="20" t="n">
        <v>4</v>
      </c>
      <c r="E37" s="21" t="n">
        <v>0.29</v>
      </c>
      <c r="F37" s="21" t="n">
        <v>0.47</v>
      </c>
      <c r="G37" s="21" t="n">
        <v>0.43</v>
      </c>
      <c r="H37" s="21" t="n">
        <v>0.06</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7"/>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0.82</v>
      </c>
      <c r="O2" s="9" t="n">
        <v>0.42</v>
      </c>
      <c r="P2" s="9" t="n">
        <v>0.82</v>
      </c>
      <c r="Q2" s="9" t="n">
        <v>0.42</v>
      </c>
      <c r="R2" s="9">
        <f>(H2-I2)-(F2-G2)</f>
        <v/>
      </c>
      <c r="S2" s="9">
        <f>(H2+I2)-(F2+G2)</f>
        <v/>
      </c>
      <c r="T2" s="9" t="n">
        <v>1.45</v>
      </c>
      <c r="U2" s="9" t="n">
        <v>1.59</v>
      </c>
      <c r="V2" s="9" t="n">
        <v>-0.14</v>
      </c>
      <c r="W2" s="9" t="n">
        <v>1.45</v>
      </c>
      <c r="X2" s="9" t="n">
        <v>1.59</v>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1.58</v>
      </c>
      <c r="O3" s="10" t="n">
        <v>-1.19</v>
      </c>
      <c r="P3" s="10" t="n">
        <v>1.2</v>
      </c>
      <c r="Q3" s="10" t="n">
        <v>-0.39</v>
      </c>
      <c r="R3" s="10">
        <f>(H3-I3)-(F3-G3)</f>
        <v/>
      </c>
      <c r="S3" s="10">
        <f>(H3+I3)-(F3+G3)</f>
        <v/>
      </c>
      <c r="T3" s="10" t="n">
        <v>2.19</v>
      </c>
      <c r="U3" s="10" t="n">
        <v>1.32</v>
      </c>
      <c r="V3" s="10" t="n">
        <v>0.87</v>
      </c>
      <c r="W3" s="10" t="n">
        <v>3.64</v>
      </c>
      <c r="X3" s="10" t="n">
        <v>2.91</v>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-0.24</v>
      </c>
      <c r="O4" s="9" t="n">
        <v>-0.05</v>
      </c>
      <c r="P4" s="9" t="n">
        <v>0.72</v>
      </c>
      <c r="Q4" s="9" t="n">
        <v>-0.28</v>
      </c>
      <c r="R4" s="9">
        <f>(H4-I4)-(F4-G4)</f>
        <v/>
      </c>
      <c r="S4" s="9">
        <f>(H4+I4)-(F4+G4)</f>
        <v/>
      </c>
      <c r="T4" s="9" t="n">
        <v>1.57</v>
      </c>
      <c r="U4" s="9" t="n">
        <v>1.95</v>
      </c>
      <c r="V4" s="9" t="n">
        <v>-0.37</v>
      </c>
      <c r="W4" s="9" t="n">
        <v>5.22</v>
      </c>
      <c r="X4" s="9" t="n">
        <v>4.86</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0.84</v>
      </c>
      <c r="O5" s="10" t="n">
        <v>0.09</v>
      </c>
      <c r="P5" s="10" t="n">
        <v>0.75</v>
      </c>
      <c r="Q5" s="10" t="n">
        <v>-0.18</v>
      </c>
      <c r="R5" s="10">
        <f>(H5-I5)-(F5-G5)</f>
        <v/>
      </c>
      <c r="S5" s="10">
        <f>(H5+I5)-(F5+G5)</f>
        <v/>
      </c>
      <c r="T5" s="10" t="n">
        <v>2.09</v>
      </c>
      <c r="U5" s="10" t="n">
        <v>1.78</v>
      </c>
      <c r="V5" s="10" t="n">
        <v>0.31</v>
      </c>
      <c r="W5" s="10" t="n">
        <v>7.31</v>
      </c>
      <c r="X5" s="10" t="n">
        <v>6.64</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1.26</v>
      </c>
      <c r="O6" s="9" t="n">
        <v>-0.01</v>
      </c>
      <c r="P6" s="9" t="n">
        <v>0.85</v>
      </c>
      <c r="Q6" s="9" t="n">
        <v>-0.15</v>
      </c>
      <c r="R6" s="9">
        <f>(H6-I6)-(F6-G6)</f>
        <v/>
      </c>
      <c r="S6" s="9">
        <f>(H6+I6)-(F6+G6)</f>
        <v/>
      </c>
      <c r="T6" s="9" t="n">
        <v>2.19</v>
      </c>
      <c r="U6" s="9" t="n">
        <v>1.48</v>
      </c>
      <c r="V6" s="9" t="n">
        <v>0.71</v>
      </c>
      <c r="W6" s="9" t="n">
        <v>9.5</v>
      </c>
      <c r="X6" s="9" t="n">
        <v>8.119999999999999</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0.5600000000000001</v>
      </c>
      <c r="O7" s="10" t="n">
        <v>-0.44</v>
      </c>
      <c r="P7" s="10" t="n">
        <v>0.8</v>
      </c>
      <c r="Q7" s="10" t="n">
        <v>-0.2</v>
      </c>
      <c r="R7" s="10">
        <f>(H7-I7)-(F7-G7)</f>
        <v/>
      </c>
      <c r="S7" s="10">
        <f>(H7+I7)-(F7+G7)</f>
        <v/>
      </c>
      <c r="T7" s="10" t="n">
        <v>2.6</v>
      </c>
      <c r="U7" s="10" t="n">
        <v>1.99</v>
      </c>
      <c r="V7" s="10" t="n">
        <v>0.61</v>
      </c>
      <c r="W7" s="10" t="n">
        <v>12.1</v>
      </c>
      <c r="X7" s="10" t="n">
        <v>10.11</v>
      </c>
    </row>
    <row r="9">
      <c r="A9" s="12" t="inlineStr">
        <is>
          <t>Season summary</t>
        </is>
      </c>
    </row>
    <row r="10">
      <c r="A10" s="15" t="inlineStr">
        <is>
          <t>Matches played</t>
        </is>
      </c>
      <c r="E10" s="16">
        <f>COUNTA(A2:A7)</f>
        <v/>
      </c>
    </row>
    <row r="11">
      <c r="A11" s="15" t="inlineStr">
        <is>
          <t>Total goals for</t>
        </is>
      </c>
      <c r="E11" s="16">
        <f>SUM(D2:D7)</f>
        <v/>
      </c>
    </row>
    <row r="12">
      <c r="A12" s="15" t="inlineStr">
        <is>
          <t>Total goals against</t>
        </is>
      </c>
      <c r="E12" s="16">
        <f>SUM(E2:E7)</f>
        <v/>
      </c>
    </row>
    <row r="13">
      <c r="A13" s="15" t="inlineStr">
        <is>
          <t>Avg xG Delta (For)</t>
        </is>
      </c>
      <c r="E13" s="17">
        <f>AVERAGE(J2:J7)</f>
        <v/>
      </c>
    </row>
    <row r="14">
      <c r="A14" s="15" t="inlineStr">
        <is>
          <t>Median xG Delta (For)</t>
        </is>
      </c>
      <c r="E14" s="17">
        <f>MEDIAN(J2:J7)</f>
        <v/>
      </c>
    </row>
    <row r="15">
      <c r="A15" s="15" t="inlineStr">
        <is>
          <t>Avg xG Delta (Against)</t>
        </is>
      </c>
      <c r="E15" s="17">
        <f>AVERAGE(K2:K7)</f>
        <v/>
      </c>
    </row>
    <row r="16">
      <c r="A16" s="15" t="inlineStr">
        <is>
          <t>Median xG Delta (Against)</t>
        </is>
      </c>
      <c r="E16" s="17">
        <f>MEDIAN(K2:K7)</f>
        <v/>
      </c>
    </row>
    <row r="17">
      <c r="A17" s="15" t="inlineStr">
        <is>
          <t>Avg xG Delta (For, Adj)</t>
        </is>
      </c>
      <c r="E17" s="17">
        <f>AVERAGE(N2:N7)</f>
        <v/>
      </c>
    </row>
    <row r="18">
      <c r="A18" s="15" t="inlineStr">
        <is>
          <t>Median xG Delta (For, Adj)</t>
        </is>
      </c>
      <c r="E18" s="17">
        <f>MEDIAN(N2:N7)</f>
        <v/>
      </c>
    </row>
    <row r="19">
      <c r="A19" s="15" t="inlineStr">
        <is>
          <t>Avg xG Delta (Against, Adj)</t>
        </is>
      </c>
      <c r="E19" s="17">
        <f>AVERAGE(O2:O7)</f>
        <v/>
      </c>
    </row>
    <row r="20">
      <c r="A20" s="15" t="inlineStr">
        <is>
          <t>Median xG Delta (Against, Adj)</t>
        </is>
      </c>
      <c r="E20" s="17">
        <f>MEDIAN(O2:O7)</f>
        <v/>
      </c>
    </row>
    <row r="21">
      <c r="A21" s="15" t="inlineStr">
        <is>
          <t>Avg Supremacy Delta</t>
        </is>
      </c>
      <c r="E21" s="17">
        <f>AVERAGE(R2:R7)</f>
        <v/>
      </c>
    </row>
    <row r="22">
      <c r="A22" s="15" t="inlineStr">
        <is>
          <t>Median Supremacy Delta</t>
        </is>
      </c>
      <c r="E22" s="17">
        <f>MEDIAN(R2:R7)</f>
        <v/>
      </c>
    </row>
    <row r="23">
      <c r="A23" s="15" t="inlineStr">
        <is>
          <t>Avg Total xG Delta</t>
        </is>
      </c>
      <c r="E23" s="17">
        <f>AVERAGE(S2:S7)</f>
        <v/>
      </c>
    </row>
    <row r="24">
      <c r="A24" s="15" t="inlineStr">
        <is>
          <t>Median Total xG Delta</t>
        </is>
      </c>
      <c r="E24" s="17">
        <f>MEDIAN(S2:S7)</f>
        <v/>
      </c>
    </row>
    <row r="25">
      <c r="A25" s="15" t="inlineStr">
        <is>
          <t>Current form (last 6, For)</t>
        </is>
      </c>
      <c r="E25" s="17">
        <f>L7</f>
        <v/>
      </c>
    </row>
    <row r="26">
      <c r="A26" s="15" t="inlineStr">
        <is>
          <t>Current form (last 6, Against)</t>
        </is>
      </c>
      <c r="E26" s="17">
        <f>M7</f>
        <v/>
      </c>
    </row>
    <row r="27">
      <c r="A27" s="15" t="inlineStr">
        <is>
          <t>Current form (last 6, For, Adj)</t>
        </is>
      </c>
      <c r="E27" s="17">
        <f>P7</f>
        <v/>
      </c>
    </row>
    <row r="28">
      <c r="A28" s="15" t="inlineStr">
        <is>
          <t>Current form (last 6, Against, Adj)</t>
        </is>
      </c>
      <c r="E28" s="17">
        <f>Q7</f>
        <v/>
      </c>
    </row>
    <row r="29">
      <c r="A29" s="15" t="inlineStr">
        <is>
          <t>Total xPts (Actual)</t>
        </is>
      </c>
      <c r="E29" s="17">
        <f>SUM(T2:T7)</f>
        <v/>
      </c>
    </row>
    <row r="30">
      <c r="A30" s="15" t="inlineStr">
        <is>
          <t>Total xPts (Market)</t>
        </is>
      </c>
      <c r="E30" s="17">
        <f>SUM(U2:U7)</f>
        <v/>
      </c>
    </row>
    <row r="31">
      <c r="A31" s="15" t="inlineStr">
        <is>
          <t>Avg xPts Delta</t>
        </is>
      </c>
      <c r="E31" s="17">
        <f>AVERAGE(V2:V7)</f>
        <v/>
      </c>
    </row>
    <row r="33">
      <c r="A33" s="12" t="inlineStr">
        <is>
          <t>Home / Away split</t>
        </is>
      </c>
    </row>
    <row r="34">
      <c r="A34" s="18" t="inlineStr">
        <is>
          <t>Venue</t>
        </is>
      </c>
      <c r="B34" s="18" t="inlineStr">
        <is>
          <t>Matches</t>
        </is>
      </c>
      <c r="C34" s="18" t="inlineStr">
        <is>
          <t>GF</t>
        </is>
      </c>
      <c r="D34" s="18" t="inlineStr">
        <is>
          <t>GA</t>
        </is>
      </c>
      <c r="E34" s="18" t="inlineStr">
        <is>
          <t>Avg Supremacy</t>
        </is>
      </c>
      <c r="F34" s="18" t="inlineStr">
        <is>
          <t>Median Supremacy</t>
        </is>
      </c>
      <c r="G34" s="18" t="inlineStr">
        <is>
          <t>Avg Total xG Delta</t>
        </is>
      </c>
      <c r="H34" s="18" t="inlineStr">
        <is>
          <t>Median Total xG Delta</t>
        </is>
      </c>
    </row>
    <row r="35">
      <c r="A35" s="15" t="inlineStr">
        <is>
          <t>Home</t>
        </is>
      </c>
      <c r="B35" s="15" t="n">
        <v>3</v>
      </c>
      <c r="C35" s="15" t="n">
        <v>9</v>
      </c>
      <c r="D35" s="15" t="n">
        <v>3</v>
      </c>
      <c r="E35" s="19" t="n">
        <v>0.12</v>
      </c>
      <c r="F35" s="19" t="n">
        <v>-0.22</v>
      </c>
      <c r="G35" s="19" t="n">
        <v>0.18</v>
      </c>
      <c r="H35" s="19" t="n">
        <v>-0.01</v>
      </c>
    </row>
    <row r="36">
      <c r="A36" s="15" t="inlineStr">
        <is>
          <t>Away</t>
        </is>
      </c>
      <c r="B36" s="15" t="n">
        <v>3</v>
      </c>
      <c r="C36" s="15" t="n">
        <v>4</v>
      </c>
      <c r="D36" s="15" t="n">
        <v>5</v>
      </c>
      <c r="E36" s="19" t="n">
        <v>1.08</v>
      </c>
      <c r="F36" s="19" t="n">
        <v>1.22</v>
      </c>
      <c r="G36" s="19" t="n">
        <v>0.91</v>
      </c>
      <c r="H36" s="19" t="n">
        <v>0.93</v>
      </c>
    </row>
    <row r="37">
      <c r="A37" s="20" t="inlineStr">
        <is>
          <t>Total</t>
        </is>
      </c>
      <c r="B37" s="20" t="n">
        <v>6</v>
      </c>
      <c r="C37" s="20" t="n">
        <v>13</v>
      </c>
      <c r="D37" s="20" t="n">
        <v>8</v>
      </c>
      <c r="E37" s="21" t="n">
        <v>0.6</v>
      </c>
      <c r="F37" s="21" t="n">
        <v>0.89</v>
      </c>
      <c r="G37" s="21" t="n">
        <v>0.55</v>
      </c>
      <c r="H37" s="21" t="n">
        <v>0.79</v>
      </c>
    </row>
  </sheetData>
  <mergeCells count="22">
    <mergeCell ref="A17:D17"/>
    <mergeCell ref="A23:D23"/>
    <mergeCell ref="A22:D22"/>
    <mergeCell ref="A20:D20"/>
    <mergeCell ref="A29:D29"/>
    <mergeCell ref="A19:D19"/>
    <mergeCell ref="A10:D10"/>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14:D14"/>
  </mergeCells>
  <conditionalFormatting sqref="J2:J7">
    <cfRule type="colorScale" priority="1">
      <colorScale>
        <cfvo type="min"/>
        <cfvo type="num" val="0"/>
        <cfvo type="max"/>
        <color rgb="00F8696B"/>
        <color rgb="00FFFFFF"/>
        <color rgb="0063BE7B"/>
      </colorScale>
    </cfRule>
  </conditionalFormatting>
  <conditionalFormatting sqref="L2:L7">
    <cfRule type="colorScale" priority="2">
      <colorScale>
        <cfvo type="min"/>
        <cfvo type="num" val="0"/>
        <cfvo type="max"/>
        <color rgb="00F8696B"/>
        <color rgb="00FFFFFF"/>
        <color rgb="0063BE7B"/>
      </colorScale>
    </cfRule>
  </conditionalFormatting>
  <conditionalFormatting sqref="N2:N7">
    <cfRule type="colorScale" priority="3">
      <colorScale>
        <cfvo type="min"/>
        <cfvo type="num" val="0"/>
        <cfvo type="max"/>
        <color rgb="00F8696B"/>
        <color rgb="00FFFFFF"/>
        <color rgb="0063BE7B"/>
      </colorScale>
    </cfRule>
  </conditionalFormatting>
  <conditionalFormatting sqref="P2:P7">
    <cfRule type="colorScale" priority="4">
      <colorScale>
        <cfvo type="min"/>
        <cfvo type="num" val="0"/>
        <cfvo type="max"/>
        <color rgb="00F8696B"/>
        <color rgb="00FFFFFF"/>
        <color rgb="0063BE7B"/>
      </colorScale>
    </cfRule>
  </conditionalFormatting>
  <conditionalFormatting sqref="R2:R7">
    <cfRule type="colorScale" priority="5">
      <colorScale>
        <cfvo type="min"/>
        <cfvo type="num" val="0"/>
        <cfvo type="max"/>
        <color rgb="00F8696B"/>
        <color rgb="00FFFFFF"/>
        <color rgb="0063BE7B"/>
      </colorScale>
    </cfRule>
  </conditionalFormatting>
  <conditionalFormatting sqref="K2:K7">
    <cfRule type="colorScale" priority="6">
      <colorScale>
        <cfvo type="min"/>
        <cfvo type="num" val="0"/>
        <cfvo type="max"/>
        <color rgb="0063BE7B"/>
        <color rgb="00FFFFFF"/>
        <color rgb="00F8696B"/>
      </colorScale>
    </cfRule>
  </conditionalFormatting>
  <conditionalFormatting sqref="M2:M7">
    <cfRule type="colorScale" priority="7">
      <colorScale>
        <cfvo type="min"/>
        <cfvo type="num" val="0"/>
        <cfvo type="max"/>
        <color rgb="0063BE7B"/>
        <color rgb="00FFFFFF"/>
        <color rgb="00F8696B"/>
      </colorScale>
    </cfRule>
  </conditionalFormatting>
  <conditionalFormatting sqref="O2:O7">
    <cfRule type="colorScale" priority="8">
      <colorScale>
        <cfvo type="min"/>
        <cfvo type="num" val="0"/>
        <cfvo type="max"/>
        <color rgb="0063BE7B"/>
        <color rgb="00FFFFFF"/>
        <color rgb="00F8696B"/>
      </colorScale>
    </cfRule>
  </conditionalFormatting>
  <conditionalFormatting sqref="Q2:Q7">
    <cfRule type="colorScale" priority="9">
      <colorScale>
        <cfvo type="min"/>
        <cfvo type="num" val="0"/>
        <cfvo type="max"/>
        <color rgb="0063BE7B"/>
        <color rgb="00FFFFFF"/>
        <color rgb="00F8696B"/>
      </colorScale>
    </cfRule>
  </conditionalFormatting>
  <conditionalFormatting sqref="S2:S7">
    <cfRule type="colorScale" priority="10">
      <colorScale>
        <cfvo type="min"/>
        <cfvo type="num" val="0"/>
        <cfvo type="max"/>
        <color rgb="00F8696B"/>
        <color rgb="00FFFFFF"/>
        <color rgb="0063BE7B"/>
      </colorScale>
    </cfRule>
  </conditionalFormatting>
  <conditionalFormatting sqref="V2:V7">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73"/>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2026-09-18T07:36:59Z</dcterms:created>
  <dcterms:modified xsi:type="dcterms:W3CDTF">2026-09-18T07:36:59Z</dcterms:modified>
</cp:coreProperties>
</file>