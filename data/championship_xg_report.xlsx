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ague Table" sheetId="1" state="visible" r:id="rId1"/>
    <sheet name="Overview" sheetId="2" state="visible" r:id="rId2"/>
    <sheet name="Supremacy Delta" sheetId="3" state="visible" r:id="rId3"/>
    <sheet name="Total xG Delta" sheetId="4" state="visible" r:id="rId4"/>
    <sheet name="Birmingham" sheetId="5" state="visible" r:id="rId5"/>
    <sheet name="Blackburn" sheetId="6" state="visible" r:id="rId6"/>
    <sheet name="Bolton Wanderers" sheetId="7" state="visible" r:id="rId7"/>
    <sheet name="Bristol City" sheetId="8" state="visible" r:id="rId8"/>
    <sheet name="Burnley" sheetId="9" state="visible" r:id="rId9"/>
    <sheet name="Cardiff" sheetId="10" state="visible" r:id="rId10"/>
    <sheet name="Charlton" sheetId="11" state="visible" r:id="rId11"/>
    <sheet name="Derby" sheetId="12" state="visible" r:id="rId12"/>
    <sheet name="Lincoln" sheetId="13" state="visible" r:id="rId13"/>
    <sheet name="Middlesbrough" sheetId="14" state="visible" r:id="rId14"/>
    <sheet name="Millwall" sheetId="15" state="visible" r:id="rId15"/>
    <sheet name="Norwich" sheetId="16" state="visible" r:id="rId16"/>
    <sheet name="Portsmouth" sheetId="17" state="visible" r:id="rId17"/>
    <sheet name="Preston North End" sheetId="18" state="visible" r:id="rId18"/>
    <sheet name="Queens Park Rangers" sheetId="19" state="visible" r:id="rId19"/>
    <sheet name="Sheffield United" sheetId="20" state="visible" r:id="rId20"/>
    <sheet name="Southampton" sheetId="21" state="visible" r:id="rId21"/>
    <sheet name="Stoke" sheetId="22" state="visible" r:id="rId22"/>
    <sheet name="Swansea" sheetId="23" state="visible" r:id="rId23"/>
    <sheet name="Watford" sheetId="24" state="visible" r:id="rId24"/>
    <sheet name="West Bromwich Albion" sheetId="25" state="visible" r:id="rId25"/>
    <sheet name="West Ham" sheetId="26" state="visible" r:id="rId26"/>
    <sheet name="Wolves" sheetId="27" state="visible" r:id="rId27"/>
    <sheet name="Wrexham" sheetId="28" state="visible" r:id="rId28"/>
    <sheet name="Results Data" sheetId="29" state="hidden" r:id="rId2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2" fontId="2" fillId="0" borderId="0" pivotButton="0" quotePrefix="0" xfId="0"/>
    <xf numFmtId="2" fontId="3" fillId="3" borderId="0" pivotButton="0" quotePrefix="0" xfId="0"/>
    <xf numFmtId="0" fontId="3" fillId="0" borderId="0" pivotButton="0" quotePrefix="0" xfId="0"/>
    <xf numFmtId="1" fontId="2" fillId="3" borderId="0" pivotButton="0" quotePrefix="0" xfId="0"/>
    <xf numFmtId="2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styles" Target="styles.xml" Id="rId30" /><Relationship Type="http://schemas.openxmlformats.org/officeDocument/2006/relationships/theme" Target="theme/theme1.xml" Id="rId31" /></Relationships>
</file>

<file path=xl/comments/comment1.xml><?xml version="1.0" encoding="utf-8"?>
<comments xmlns="http://schemas.openxmlformats.org/spreadsheetml/2006/main">
  <authors>
    <author>build_team_workbook.py</author>
  </authors>
  <commentList>
    <comment ref="A1" authorId="0" shapeId="0">
      <text>
        <t>"MW" here means this team's own 1st, 2nd, 3rd... match of the season in date order - not the official EFL gameweek number. They usually line up, but postponed/rearranged fixtures can knock a team's Nth match out of sync with the calendar week.</t>
      </text>
    </comment>
  </commentList>
</comments>
</file>

<file path=xl/comments/comment2.xml><?xml version="1.0" encoding="utf-8"?>
<comments xmlns="http://schemas.openxmlformats.org/spreadsheetml/2006/main">
  <authors>
    <author>build_team_workbook.py</author>
  </authors>
  <commentList>
    <comment ref="A1" authorId="0" shapeId="0">
      <text>
        <t>"MW" here means this team's own 1st, 2nd, 3rd... match of the season in date order - not the official EFL gameweek number. They usually line up, but postponed/rearranged fixtures can knock a team's Nth match out of sync with the calendar week.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21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</cols>
  <sheetData>
    <row r="1" ht="30" customHeight="1">
      <c r="A1" s="1" t="inlineStr">
        <is>
          <t>Pos</t>
        </is>
      </c>
      <c r="B1" s="1" t="inlineStr">
        <is>
          <t>Team</t>
        </is>
      </c>
      <c r="C1" s="1" t="inlineStr">
        <is>
          <t>P</t>
        </is>
      </c>
      <c r="D1" s="1" t="inlineStr">
        <is>
          <t>W</t>
        </is>
      </c>
      <c r="E1" s="1" t="inlineStr">
        <is>
          <t>D</t>
        </is>
      </c>
      <c r="F1" s="1" t="inlineStr">
        <is>
          <t>L</t>
        </is>
      </c>
      <c r="G1" s="1" t="inlineStr">
        <is>
          <t>GF</t>
        </is>
      </c>
      <c r="H1" s="1" t="inlineStr">
        <is>
          <t>GA</t>
        </is>
      </c>
      <c r="I1" s="1" t="inlineStr">
        <is>
          <t>GD</t>
        </is>
      </c>
      <c r="J1" s="1" t="inlineStr">
        <is>
          <t>Pts</t>
        </is>
      </c>
    </row>
    <row r="2">
      <c r="A2" s="2">
        <f>ROW()-1</f>
        <v/>
      </c>
      <c r="B2" s="3" t="inlineStr">
        <is>
          <t>West Ham</t>
        </is>
      </c>
      <c r="C2" s="3">
        <f>COUNTIF('Results Data'!$B$2:$B$82,$B2)+COUNTIF('Results Data'!$C$2:$C$82,$B2)</f>
        <v/>
      </c>
      <c r="D2" s="3">
        <f>SUMPRODUCT(('Results Data'!$B$2:$B$82=$B2)*('Results Data'!$D$2:$D$82&gt;'Results Data'!$E$2:$E$82))+SUMPRODUCT(('Results Data'!$C$2:$C$82=$B2)*('Results Data'!$E$2:$E$82&gt;'Results Data'!$D$2:$D$82))</f>
        <v/>
      </c>
      <c r="E2" s="3">
        <f>SUMPRODUCT(('Results Data'!$B$2:$B$82=$B2)*('Results Data'!$D$2:$D$82='Results Data'!$E$2:$E$82))+SUMPRODUCT(('Results Data'!$C$2:$C$82=$B2)*('Results Data'!$E$2:$E$82='Results Data'!$D$2:$D$82))</f>
        <v/>
      </c>
      <c r="F2" s="3">
        <f>C2-D2-E2</f>
        <v/>
      </c>
      <c r="G2" s="3">
        <f>SUMIF('Results Data'!$B$2:$B$82,$B2,'Results Data'!$D$2:$D$82)+SUMIF('Results Data'!$C$2:$C$82,$B2,'Results Data'!$E$2:$E$82)</f>
        <v/>
      </c>
      <c r="H2" s="3">
        <f>SUMIF('Results Data'!$B$2:$B$82,$B2,'Results Data'!$E$2:$E$82)+SUMIF('Results Data'!$C$2:$C$82,$B2,'Results Data'!$D$2:$D$82)</f>
        <v/>
      </c>
      <c r="I2" s="3">
        <f>G2-H2</f>
        <v/>
      </c>
      <c r="J2" s="3">
        <f>D2*3+E2</f>
        <v/>
      </c>
    </row>
    <row r="3">
      <c r="A3" s="2">
        <f>ROW()-1</f>
        <v/>
      </c>
      <c r="B3" s="3" t="inlineStr">
        <is>
          <t>Southampton</t>
        </is>
      </c>
      <c r="C3" s="3">
        <f>COUNTIF('Results Data'!$B$2:$B$82,$B3)+COUNTIF('Results Data'!$C$2:$C$82,$B3)</f>
        <v/>
      </c>
      <c r="D3" s="3">
        <f>SUMPRODUCT(('Results Data'!$B$2:$B$82=$B3)*('Results Data'!$D$2:$D$82&gt;'Results Data'!$E$2:$E$82))+SUMPRODUCT(('Results Data'!$C$2:$C$82=$B3)*('Results Data'!$E$2:$E$82&gt;'Results Data'!$D$2:$D$82))</f>
        <v/>
      </c>
      <c r="E3" s="3">
        <f>SUMPRODUCT(('Results Data'!$B$2:$B$82=$B3)*('Results Data'!$D$2:$D$82='Results Data'!$E$2:$E$82))+SUMPRODUCT(('Results Data'!$C$2:$C$82=$B3)*('Results Data'!$E$2:$E$82='Results Data'!$D$2:$D$82))</f>
        <v/>
      </c>
      <c r="F3" s="3">
        <f>C3-D3-E3</f>
        <v/>
      </c>
      <c r="G3" s="3">
        <f>SUMIF('Results Data'!$B$2:$B$82,$B3,'Results Data'!$D$2:$D$82)+SUMIF('Results Data'!$C$2:$C$82,$B3,'Results Data'!$E$2:$E$82)</f>
        <v/>
      </c>
      <c r="H3" s="3">
        <f>SUMIF('Results Data'!$B$2:$B$82,$B3,'Results Data'!$E$2:$E$82)+SUMIF('Results Data'!$C$2:$C$82,$B3,'Results Data'!$D$2:$D$82)</f>
        <v/>
      </c>
      <c r="I3" s="3">
        <f>G3-H3</f>
        <v/>
      </c>
      <c r="J3" s="3">
        <f>D3*3+E3</f>
        <v/>
      </c>
    </row>
    <row r="4">
      <c r="A4" s="2">
        <f>ROW()-1</f>
        <v/>
      </c>
      <c r="B4" s="3" t="inlineStr">
        <is>
          <t>Swansea</t>
        </is>
      </c>
      <c r="C4" s="3">
        <f>COUNTIF('Results Data'!$B$2:$B$82,$B4)+COUNTIF('Results Data'!$C$2:$C$82,$B4)</f>
        <v/>
      </c>
      <c r="D4" s="3">
        <f>SUMPRODUCT(('Results Data'!$B$2:$B$82=$B4)*('Results Data'!$D$2:$D$82&gt;'Results Data'!$E$2:$E$82))+SUMPRODUCT(('Results Data'!$C$2:$C$82=$B4)*('Results Data'!$E$2:$E$82&gt;'Results Data'!$D$2:$D$82))</f>
        <v/>
      </c>
      <c r="E4" s="3">
        <f>SUMPRODUCT(('Results Data'!$B$2:$B$82=$B4)*('Results Data'!$D$2:$D$82='Results Data'!$E$2:$E$82))+SUMPRODUCT(('Results Data'!$C$2:$C$82=$B4)*('Results Data'!$E$2:$E$82='Results Data'!$D$2:$D$82))</f>
        <v/>
      </c>
      <c r="F4" s="3">
        <f>C4-D4-E4</f>
        <v/>
      </c>
      <c r="G4" s="3">
        <f>SUMIF('Results Data'!$B$2:$B$82,$B4,'Results Data'!$D$2:$D$82)+SUMIF('Results Data'!$C$2:$C$82,$B4,'Results Data'!$E$2:$E$82)</f>
        <v/>
      </c>
      <c r="H4" s="3">
        <f>SUMIF('Results Data'!$B$2:$B$82,$B4,'Results Data'!$E$2:$E$82)+SUMIF('Results Data'!$C$2:$C$82,$B4,'Results Data'!$D$2:$D$82)</f>
        <v/>
      </c>
      <c r="I4" s="3">
        <f>G4-H4</f>
        <v/>
      </c>
      <c r="J4" s="3">
        <f>D4*3+E4</f>
        <v/>
      </c>
    </row>
    <row r="5">
      <c r="A5" s="2">
        <f>ROW()-1</f>
        <v/>
      </c>
      <c r="B5" s="3" t="inlineStr">
        <is>
          <t>West Bromwich Albion</t>
        </is>
      </c>
      <c r="C5" s="3">
        <f>COUNTIF('Results Data'!$B$2:$B$82,$B5)+COUNTIF('Results Data'!$C$2:$C$82,$B5)</f>
        <v/>
      </c>
      <c r="D5" s="3">
        <f>SUMPRODUCT(('Results Data'!$B$2:$B$82=$B5)*('Results Data'!$D$2:$D$82&gt;'Results Data'!$E$2:$E$82))+SUMPRODUCT(('Results Data'!$C$2:$C$82=$B5)*('Results Data'!$E$2:$E$82&gt;'Results Data'!$D$2:$D$82))</f>
        <v/>
      </c>
      <c r="E5" s="3">
        <f>SUMPRODUCT(('Results Data'!$B$2:$B$82=$B5)*('Results Data'!$D$2:$D$82='Results Data'!$E$2:$E$82))+SUMPRODUCT(('Results Data'!$C$2:$C$82=$B5)*('Results Data'!$E$2:$E$82='Results Data'!$D$2:$D$82))</f>
        <v/>
      </c>
      <c r="F5" s="3">
        <f>C5-D5-E5</f>
        <v/>
      </c>
      <c r="G5" s="3">
        <f>SUMIF('Results Data'!$B$2:$B$82,$B5,'Results Data'!$D$2:$D$82)+SUMIF('Results Data'!$C$2:$C$82,$B5,'Results Data'!$E$2:$E$82)</f>
        <v/>
      </c>
      <c r="H5" s="3">
        <f>SUMIF('Results Data'!$B$2:$B$82,$B5,'Results Data'!$E$2:$E$82)+SUMIF('Results Data'!$C$2:$C$82,$B5,'Results Data'!$D$2:$D$82)</f>
        <v/>
      </c>
      <c r="I5" s="3">
        <f>G5-H5</f>
        <v/>
      </c>
      <c r="J5" s="3">
        <f>D5*3+E5</f>
        <v/>
      </c>
    </row>
    <row r="6">
      <c r="A6" s="2">
        <f>ROW()-1</f>
        <v/>
      </c>
      <c r="B6" s="3" t="inlineStr">
        <is>
          <t>Middlesbrough</t>
        </is>
      </c>
      <c r="C6" s="3">
        <f>COUNTIF('Results Data'!$B$2:$B$82,$B6)+COUNTIF('Results Data'!$C$2:$C$82,$B6)</f>
        <v/>
      </c>
      <c r="D6" s="3">
        <f>SUMPRODUCT(('Results Data'!$B$2:$B$82=$B6)*('Results Data'!$D$2:$D$82&gt;'Results Data'!$E$2:$E$82))+SUMPRODUCT(('Results Data'!$C$2:$C$82=$B6)*('Results Data'!$E$2:$E$82&gt;'Results Data'!$D$2:$D$82))</f>
        <v/>
      </c>
      <c r="E6" s="3">
        <f>SUMPRODUCT(('Results Data'!$B$2:$B$82=$B6)*('Results Data'!$D$2:$D$82='Results Data'!$E$2:$E$82))+SUMPRODUCT(('Results Data'!$C$2:$C$82=$B6)*('Results Data'!$E$2:$E$82='Results Data'!$D$2:$D$82))</f>
        <v/>
      </c>
      <c r="F6" s="3">
        <f>C6-D6-E6</f>
        <v/>
      </c>
      <c r="G6" s="3">
        <f>SUMIF('Results Data'!$B$2:$B$82,$B6,'Results Data'!$D$2:$D$82)+SUMIF('Results Data'!$C$2:$C$82,$B6,'Results Data'!$E$2:$E$82)</f>
        <v/>
      </c>
      <c r="H6" s="3">
        <f>SUMIF('Results Data'!$B$2:$B$82,$B6,'Results Data'!$E$2:$E$82)+SUMIF('Results Data'!$C$2:$C$82,$B6,'Results Data'!$D$2:$D$82)</f>
        <v/>
      </c>
      <c r="I6" s="3">
        <f>G6-H6</f>
        <v/>
      </c>
      <c r="J6" s="3">
        <f>D6*3+E6</f>
        <v/>
      </c>
    </row>
    <row r="7">
      <c r="A7" s="2">
        <f>ROW()-1</f>
        <v/>
      </c>
      <c r="B7" s="3" t="inlineStr">
        <is>
          <t>Queens Park Rangers</t>
        </is>
      </c>
      <c r="C7" s="3">
        <f>COUNTIF('Results Data'!$B$2:$B$82,$B7)+COUNTIF('Results Data'!$C$2:$C$82,$B7)</f>
        <v/>
      </c>
      <c r="D7" s="3">
        <f>SUMPRODUCT(('Results Data'!$B$2:$B$82=$B7)*('Results Data'!$D$2:$D$82&gt;'Results Data'!$E$2:$E$82))+SUMPRODUCT(('Results Data'!$C$2:$C$82=$B7)*('Results Data'!$E$2:$E$82&gt;'Results Data'!$D$2:$D$82))</f>
        <v/>
      </c>
      <c r="E7" s="3">
        <f>SUMPRODUCT(('Results Data'!$B$2:$B$82=$B7)*('Results Data'!$D$2:$D$82='Results Data'!$E$2:$E$82))+SUMPRODUCT(('Results Data'!$C$2:$C$82=$B7)*('Results Data'!$E$2:$E$82='Results Data'!$D$2:$D$82))</f>
        <v/>
      </c>
      <c r="F7" s="3">
        <f>C7-D7-E7</f>
        <v/>
      </c>
      <c r="G7" s="3">
        <f>SUMIF('Results Data'!$B$2:$B$82,$B7,'Results Data'!$D$2:$D$82)+SUMIF('Results Data'!$C$2:$C$82,$B7,'Results Data'!$E$2:$E$82)</f>
        <v/>
      </c>
      <c r="H7" s="3">
        <f>SUMIF('Results Data'!$B$2:$B$82,$B7,'Results Data'!$E$2:$E$82)+SUMIF('Results Data'!$C$2:$C$82,$B7,'Results Data'!$D$2:$D$82)</f>
        <v/>
      </c>
      <c r="I7" s="3">
        <f>G7-H7</f>
        <v/>
      </c>
      <c r="J7" s="3">
        <f>D7*3+E7</f>
        <v/>
      </c>
    </row>
    <row r="8">
      <c r="A8" s="2">
        <f>ROW()-1</f>
        <v/>
      </c>
      <c r="B8" s="3" t="inlineStr">
        <is>
          <t>Charlton</t>
        </is>
      </c>
      <c r="C8" s="3">
        <f>COUNTIF('Results Data'!$B$2:$B$82,$B8)+COUNTIF('Results Data'!$C$2:$C$82,$B8)</f>
        <v/>
      </c>
      <c r="D8" s="3">
        <f>SUMPRODUCT(('Results Data'!$B$2:$B$82=$B8)*('Results Data'!$D$2:$D$82&gt;'Results Data'!$E$2:$E$82))+SUMPRODUCT(('Results Data'!$C$2:$C$82=$B8)*('Results Data'!$E$2:$E$82&gt;'Results Data'!$D$2:$D$82))</f>
        <v/>
      </c>
      <c r="E8" s="3">
        <f>SUMPRODUCT(('Results Data'!$B$2:$B$82=$B8)*('Results Data'!$D$2:$D$82='Results Data'!$E$2:$E$82))+SUMPRODUCT(('Results Data'!$C$2:$C$82=$B8)*('Results Data'!$E$2:$E$82='Results Data'!$D$2:$D$82))</f>
        <v/>
      </c>
      <c r="F8" s="3">
        <f>C8-D8-E8</f>
        <v/>
      </c>
      <c r="G8" s="3">
        <f>SUMIF('Results Data'!$B$2:$B$82,$B8,'Results Data'!$D$2:$D$82)+SUMIF('Results Data'!$C$2:$C$82,$B8,'Results Data'!$E$2:$E$82)</f>
        <v/>
      </c>
      <c r="H8" s="3">
        <f>SUMIF('Results Data'!$B$2:$B$82,$B8,'Results Data'!$E$2:$E$82)+SUMIF('Results Data'!$C$2:$C$82,$B8,'Results Data'!$D$2:$D$82)</f>
        <v/>
      </c>
      <c r="I8" s="3">
        <f>G8-H8</f>
        <v/>
      </c>
      <c r="J8" s="3">
        <f>D8*3+E8</f>
        <v/>
      </c>
    </row>
    <row r="9">
      <c r="A9" s="2">
        <f>ROW()-1</f>
        <v/>
      </c>
      <c r="B9" s="3" t="inlineStr">
        <is>
          <t>Wolves</t>
        </is>
      </c>
      <c r="C9" s="3">
        <f>COUNTIF('Results Data'!$B$2:$B$82,$B9)+COUNTIF('Results Data'!$C$2:$C$82,$B9)</f>
        <v/>
      </c>
      <c r="D9" s="3">
        <f>SUMPRODUCT(('Results Data'!$B$2:$B$82=$B9)*('Results Data'!$D$2:$D$82&gt;'Results Data'!$E$2:$E$82))+SUMPRODUCT(('Results Data'!$C$2:$C$82=$B9)*('Results Data'!$E$2:$E$82&gt;'Results Data'!$D$2:$D$82))</f>
        <v/>
      </c>
      <c r="E9" s="3">
        <f>SUMPRODUCT(('Results Data'!$B$2:$B$82=$B9)*('Results Data'!$D$2:$D$82='Results Data'!$E$2:$E$82))+SUMPRODUCT(('Results Data'!$C$2:$C$82=$B9)*('Results Data'!$E$2:$E$82='Results Data'!$D$2:$D$82))</f>
        <v/>
      </c>
      <c r="F9" s="3">
        <f>C9-D9-E9</f>
        <v/>
      </c>
      <c r="G9" s="3">
        <f>SUMIF('Results Data'!$B$2:$B$82,$B9,'Results Data'!$D$2:$D$82)+SUMIF('Results Data'!$C$2:$C$82,$B9,'Results Data'!$E$2:$E$82)</f>
        <v/>
      </c>
      <c r="H9" s="3">
        <f>SUMIF('Results Data'!$B$2:$B$82,$B9,'Results Data'!$E$2:$E$82)+SUMIF('Results Data'!$C$2:$C$82,$B9,'Results Data'!$D$2:$D$82)</f>
        <v/>
      </c>
      <c r="I9" s="3">
        <f>G9-H9</f>
        <v/>
      </c>
      <c r="J9" s="3">
        <f>D9*3+E9</f>
        <v/>
      </c>
    </row>
    <row r="10">
      <c r="A10" s="2">
        <f>ROW()-1</f>
        <v/>
      </c>
      <c r="B10" s="3" t="inlineStr">
        <is>
          <t>Birmingham</t>
        </is>
      </c>
      <c r="C10" s="3">
        <f>COUNTIF('Results Data'!$B$2:$B$82,$B10)+COUNTIF('Results Data'!$C$2:$C$82,$B10)</f>
        <v/>
      </c>
      <c r="D10" s="3">
        <f>SUMPRODUCT(('Results Data'!$B$2:$B$82=$B10)*('Results Data'!$D$2:$D$82&gt;'Results Data'!$E$2:$E$82))+SUMPRODUCT(('Results Data'!$C$2:$C$82=$B10)*('Results Data'!$E$2:$E$82&gt;'Results Data'!$D$2:$D$82))</f>
        <v/>
      </c>
      <c r="E10" s="3">
        <f>SUMPRODUCT(('Results Data'!$B$2:$B$82=$B10)*('Results Data'!$D$2:$D$82='Results Data'!$E$2:$E$82))+SUMPRODUCT(('Results Data'!$C$2:$C$82=$B10)*('Results Data'!$E$2:$E$82='Results Data'!$D$2:$D$82))</f>
        <v/>
      </c>
      <c r="F10" s="3">
        <f>C10-D10-E10</f>
        <v/>
      </c>
      <c r="G10" s="3">
        <f>SUMIF('Results Data'!$B$2:$B$82,$B10,'Results Data'!$D$2:$D$82)+SUMIF('Results Data'!$C$2:$C$82,$B10,'Results Data'!$E$2:$E$82)</f>
        <v/>
      </c>
      <c r="H10" s="3">
        <f>SUMIF('Results Data'!$B$2:$B$82,$B10,'Results Data'!$E$2:$E$82)+SUMIF('Results Data'!$C$2:$C$82,$B10,'Results Data'!$D$2:$D$82)</f>
        <v/>
      </c>
      <c r="I10" s="3">
        <f>G10-H10</f>
        <v/>
      </c>
      <c r="J10" s="3">
        <f>D10*3+E10</f>
        <v/>
      </c>
    </row>
    <row r="11">
      <c r="A11" s="2">
        <f>ROW()-1</f>
        <v/>
      </c>
      <c r="B11" s="3" t="inlineStr">
        <is>
          <t>Stoke</t>
        </is>
      </c>
      <c r="C11" s="3">
        <f>COUNTIF('Results Data'!$B$2:$B$82,$B11)+COUNTIF('Results Data'!$C$2:$C$82,$B11)</f>
        <v/>
      </c>
      <c r="D11" s="3">
        <f>SUMPRODUCT(('Results Data'!$B$2:$B$82=$B11)*('Results Data'!$D$2:$D$82&gt;'Results Data'!$E$2:$E$82))+SUMPRODUCT(('Results Data'!$C$2:$C$82=$B11)*('Results Data'!$E$2:$E$82&gt;'Results Data'!$D$2:$D$82))</f>
        <v/>
      </c>
      <c r="E11" s="3">
        <f>SUMPRODUCT(('Results Data'!$B$2:$B$82=$B11)*('Results Data'!$D$2:$D$82='Results Data'!$E$2:$E$82))+SUMPRODUCT(('Results Data'!$C$2:$C$82=$B11)*('Results Data'!$E$2:$E$82='Results Data'!$D$2:$D$82))</f>
        <v/>
      </c>
      <c r="F11" s="3">
        <f>C11-D11-E11</f>
        <v/>
      </c>
      <c r="G11" s="3">
        <f>SUMIF('Results Data'!$B$2:$B$82,$B11,'Results Data'!$D$2:$D$82)+SUMIF('Results Data'!$C$2:$C$82,$B11,'Results Data'!$E$2:$E$82)</f>
        <v/>
      </c>
      <c r="H11" s="3">
        <f>SUMIF('Results Data'!$B$2:$B$82,$B11,'Results Data'!$E$2:$E$82)+SUMIF('Results Data'!$C$2:$C$82,$B11,'Results Data'!$D$2:$D$82)</f>
        <v/>
      </c>
      <c r="I11" s="3">
        <f>G11-H11</f>
        <v/>
      </c>
      <c r="J11" s="3">
        <f>D11*3+E11</f>
        <v/>
      </c>
    </row>
    <row r="12">
      <c r="A12" s="2">
        <f>ROW()-1</f>
        <v/>
      </c>
      <c r="B12" s="3" t="inlineStr">
        <is>
          <t>Bristol City</t>
        </is>
      </c>
      <c r="C12" s="3">
        <f>COUNTIF('Results Data'!$B$2:$B$82,$B12)+COUNTIF('Results Data'!$C$2:$C$82,$B12)</f>
        <v/>
      </c>
      <c r="D12" s="3">
        <f>SUMPRODUCT(('Results Data'!$B$2:$B$82=$B12)*('Results Data'!$D$2:$D$82&gt;'Results Data'!$E$2:$E$82))+SUMPRODUCT(('Results Data'!$C$2:$C$82=$B12)*('Results Data'!$E$2:$E$82&gt;'Results Data'!$D$2:$D$82))</f>
        <v/>
      </c>
      <c r="E12" s="3">
        <f>SUMPRODUCT(('Results Data'!$B$2:$B$82=$B12)*('Results Data'!$D$2:$D$82='Results Data'!$E$2:$E$82))+SUMPRODUCT(('Results Data'!$C$2:$C$82=$B12)*('Results Data'!$E$2:$E$82='Results Data'!$D$2:$D$82))</f>
        <v/>
      </c>
      <c r="F12" s="3">
        <f>C12-D12-E12</f>
        <v/>
      </c>
      <c r="G12" s="3">
        <f>SUMIF('Results Data'!$B$2:$B$82,$B12,'Results Data'!$D$2:$D$82)+SUMIF('Results Data'!$C$2:$C$82,$B12,'Results Data'!$E$2:$E$82)</f>
        <v/>
      </c>
      <c r="H12" s="3">
        <f>SUMIF('Results Data'!$B$2:$B$82,$B12,'Results Data'!$E$2:$E$82)+SUMIF('Results Data'!$C$2:$C$82,$B12,'Results Data'!$D$2:$D$82)</f>
        <v/>
      </c>
      <c r="I12" s="3">
        <f>G12-H12</f>
        <v/>
      </c>
      <c r="J12" s="3">
        <f>D12*3+E12</f>
        <v/>
      </c>
    </row>
    <row r="13">
      <c r="A13" s="2">
        <f>ROW()-1</f>
        <v/>
      </c>
      <c r="B13" s="3" t="inlineStr">
        <is>
          <t>Norwich</t>
        </is>
      </c>
      <c r="C13" s="3">
        <f>COUNTIF('Results Data'!$B$2:$B$82,$B13)+COUNTIF('Results Data'!$C$2:$C$82,$B13)</f>
        <v/>
      </c>
      <c r="D13" s="3">
        <f>SUMPRODUCT(('Results Data'!$B$2:$B$82=$B13)*('Results Data'!$D$2:$D$82&gt;'Results Data'!$E$2:$E$82))+SUMPRODUCT(('Results Data'!$C$2:$C$82=$B13)*('Results Data'!$E$2:$E$82&gt;'Results Data'!$D$2:$D$82))</f>
        <v/>
      </c>
      <c r="E13" s="3">
        <f>SUMPRODUCT(('Results Data'!$B$2:$B$82=$B13)*('Results Data'!$D$2:$D$82='Results Data'!$E$2:$E$82))+SUMPRODUCT(('Results Data'!$C$2:$C$82=$B13)*('Results Data'!$E$2:$E$82='Results Data'!$D$2:$D$82))</f>
        <v/>
      </c>
      <c r="F13" s="3">
        <f>C13-D13-E13</f>
        <v/>
      </c>
      <c r="G13" s="3">
        <f>SUMIF('Results Data'!$B$2:$B$82,$B13,'Results Data'!$D$2:$D$82)+SUMIF('Results Data'!$C$2:$C$82,$B13,'Results Data'!$E$2:$E$82)</f>
        <v/>
      </c>
      <c r="H13" s="3">
        <f>SUMIF('Results Data'!$B$2:$B$82,$B13,'Results Data'!$E$2:$E$82)+SUMIF('Results Data'!$C$2:$C$82,$B13,'Results Data'!$D$2:$D$82)</f>
        <v/>
      </c>
      <c r="I13" s="3">
        <f>G13-H13</f>
        <v/>
      </c>
      <c r="J13" s="3">
        <f>D13*3+E13</f>
        <v/>
      </c>
    </row>
    <row r="14">
      <c r="A14" s="2">
        <f>ROW()-1</f>
        <v/>
      </c>
      <c r="B14" s="3" t="inlineStr">
        <is>
          <t>Millwall</t>
        </is>
      </c>
      <c r="C14" s="3">
        <f>COUNTIF('Results Data'!$B$2:$B$82,$B14)+COUNTIF('Results Data'!$C$2:$C$82,$B14)</f>
        <v/>
      </c>
      <c r="D14" s="3">
        <f>SUMPRODUCT(('Results Data'!$B$2:$B$82=$B14)*('Results Data'!$D$2:$D$82&gt;'Results Data'!$E$2:$E$82))+SUMPRODUCT(('Results Data'!$C$2:$C$82=$B14)*('Results Data'!$E$2:$E$82&gt;'Results Data'!$D$2:$D$82))</f>
        <v/>
      </c>
      <c r="E14" s="3">
        <f>SUMPRODUCT(('Results Data'!$B$2:$B$82=$B14)*('Results Data'!$D$2:$D$82='Results Data'!$E$2:$E$82))+SUMPRODUCT(('Results Data'!$C$2:$C$82=$B14)*('Results Data'!$E$2:$E$82='Results Data'!$D$2:$D$82))</f>
        <v/>
      </c>
      <c r="F14" s="3">
        <f>C14-D14-E14</f>
        <v/>
      </c>
      <c r="G14" s="3">
        <f>SUMIF('Results Data'!$B$2:$B$82,$B14,'Results Data'!$D$2:$D$82)+SUMIF('Results Data'!$C$2:$C$82,$B14,'Results Data'!$E$2:$E$82)</f>
        <v/>
      </c>
      <c r="H14" s="3">
        <f>SUMIF('Results Data'!$B$2:$B$82,$B14,'Results Data'!$E$2:$E$82)+SUMIF('Results Data'!$C$2:$C$82,$B14,'Results Data'!$D$2:$D$82)</f>
        <v/>
      </c>
      <c r="I14" s="3">
        <f>G14-H14</f>
        <v/>
      </c>
      <c r="J14" s="3">
        <f>D14*3+E14</f>
        <v/>
      </c>
    </row>
    <row r="15">
      <c r="A15" s="2">
        <f>ROW()-1</f>
        <v/>
      </c>
      <c r="B15" s="3" t="inlineStr">
        <is>
          <t>Sheffield United</t>
        </is>
      </c>
      <c r="C15" s="3">
        <f>COUNTIF('Results Data'!$B$2:$B$82,$B15)+COUNTIF('Results Data'!$C$2:$C$82,$B15)</f>
        <v/>
      </c>
      <c r="D15" s="3">
        <f>SUMPRODUCT(('Results Data'!$B$2:$B$82=$B15)*('Results Data'!$D$2:$D$82&gt;'Results Data'!$E$2:$E$82))+SUMPRODUCT(('Results Data'!$C$2:$C$82=$B15)*('Results Data'!$E$2:$E$82&gt;'Results Data'!$D$2:$D$82))</f>
        <v/>
      </c>
      <c r="E15" s="3">
        <f>SUMPRODUCT(('Results Data'!$B$2:$B$82=$B15)*('Results Data'!$D$2:$D$82='Results Data'!$E$2:$E$82))+SUMPRODUCT(('Results Data'!$C$2:$C$82=$B15)*('Results Data'!$E$2:$E$82='Results Data'!$D$2:$D$82))</f>
        <v/>
      </c>
      <c r="F15" s="3">
        <f>C15-D15-E15</f>
        <v/>
      </c>
      <c r="G15" s="3">
        <f>SUMIF('Results Data'!$B$2:$B$82,$B15,'Results Data'!$D$2:$D$82)+SUMIF('Results Data'!$C$2:$C$82,$B15,'Results Data'!$E$2:$E$82)</f>
        <v/>
      </c>
      <c r="H15" s="3">
        <f>SUMIF('Results Data'!$B$2:$B$82,$B15,'Results Data'!$E$2:$E$82)+SUMIF('Results Data'!$C$2:$C$82,$B15,'Results Data'!$D$2:$D$82)</f>
        <v/>
      </c>
      <c r="I15" s="3">
        <f>G15-H15</f>
        <v/>
      </c>
      <c r="J15" s="3">
        <f>D15*3+E15</f>
        <v/>
      </c>
    </row>
    <row r="16">
      <c r="A16" s="2">
        <f>ROW()-1</f>
        <v/>
      </c>
      <c r="B16" s="3" t="inlineStr">
        <is>
          <t>Blackburn</t>
        </is>
      </c>
      <c r="C16" s="3">
        <f>COUNTIF('Results Data'!$B$2:$B$82,$B16)+COUNTIF('Results Data'!$C$2:$C$82,$B16)</f>
        <v/>
      </c>
      <c r="D16" s="3">
        <f>SUMPRODUCT(('Results Data'!$B$2:$B$82=$B16)*('Results Data'!$D$2:$D$82&gt;'Results Data'!$E$2:$E$82))+SUMPRODUCT(('Results Data'!$C$2:$C$82=$B16)*('Results Data'!$E$2:$E$82&gt;'Results Data'!$D$2:$D$82))</f>
        <v/>
      </c>
      <c r="E16" s="3">
        <f>SUMPRODUCT(('Results Data'!$B$2:$B$82=$B16)*('Results Data'!$D$2:$D$82='Results Data'!$E$2:$E$82))+SUMPRODUCT(('Results Data'!$C$2:$C$82=$B16)*('Results Data'!$E$2:$E$82='Results Data'!$D$2:$D$82))</f>
        <v/>
      </c>
      <c r="F16" s="3">
        <f>C16-D16-E16</f>
        <v/>
      </c>
      <c r="G16" s="3">
        <f>SUMIF('Results Data'!$B$2:$B$82,$B16,'Results Data'!$D$2:$D$82)+SUMIF('Results Data'!$C$2:$C$82,$B16,'Results Data'!$E$2:$E$82)</f>
        <v/>
      </c>
      <c r="H16" s="3">
        <f>SUMIF('Results Data'!$B$2:$B$82,$B16,'Results Data'!$E$2:$E$82)+SUMIF('Results Data'!$C$2:$C$82,$B16,'Results Data'!$D$2:$D$82)</f>
        <v/>
      </c>
      <c r="I16" s="3">
        <f>G16-H16</f>
        <v/>
      </c>
      <c r="J16" s="3">
        <f>D16*3+E16</f>
        <v/>
      </c>
    </row>
    <row r="17">
      <c r="A17" s="2">
        <f>ROW()-1</f>
        <v/>
      </c>
      <c r="B17" s="3" t="inlineStr">
        <is>
          <t>Lincoln</t>
        </is>
      </c>
      <c r="C17" s="3">
        <f>COUNTIF('Results Data'!$B$2:$B$82,$B17)+COUNTIF('Results Data'!$C$2:$C$82,$B17)</f>
        <v/>
      </c>
      <c r="D17" s="3">
        <f>SUMPRODUCT(('Results Data'!$B$2:$B$82=$B17)*('Results Data'!$D$2:$D$82&gt;'Results Data'!$E$2:$E$82))+SUMPRODUCT(('Results Data'!$C$2:$C$82=$B17)*('Results Data'!$E$2:$E$82&gt;'Results Data'!$D$2:$D$82))</f>
        <v/>
      </c>
      <c r="E17" s="3">
        <f>SUMPRODUCT(('Results Data'!$B$2:$B$82=$B17)*('Results Data'!$D$2:$D$82='Results Data'!$E$2:$E$82))+SUMPRODUCT(('Results Data'!$C$2:$C$82=$B17)*('Results Data'!$E$2:$E$82='Results Data'!$D$2:$D$82))</f>
        <v/>
      </c>
      <c r="F17" s="3">
        <f>C17-D17-E17</f>
        <v/>
      </c>
      <c r="G17" s="3">
        <f>SUMIF('Results Data'!$B$2:$B$82,$B17,'Results Data'!$D$2:$D$82)+SUMIF('Results Data'!$C$2:$C$82,$B17,'Results Data'!$E$2:$E$82)</f>
        <v/>
      </c>
      <c r="H17" s="3">
        <f>SUMIF('Results Data'!$B$2:$B$82,$B17,'Results Data'!$E$2:$E$82)+SUMIF('Results Data'!$C$2:$C$82,$B17,'Results Data'!$D$2:$D$82)</f>
        <v/>
      </c>
      <c r="I17" s="3">
        <f>G17-H17</f>
        <v/>
      </c>
      <c r="J17" s="3">
        <f>D17*3+E17</f>
        <v/>
      </c>
    </row>
    <row r="18">
      <c r="A18" s="2">
        <f>ROW()-1</f>
        <v/>
      </c>
      <c r="B18" s="3" t="inlineStr">
        <is>
          <t>Watford</t>
        </is>
      </c>
      <c r="C18" s="3">
        <f>COUNTIF('Results Data'!$B$2:$B$82,$B18)+COUNTIF('Results Data'!$C$2:$C$82,$B18)</f>
        <v/>
      </c>
      <c r="D18" s="3">
        <f>SUMPRODUCT(('Results Data'!$B$2:$B$82=$B18)*('Results Data'!$D$2:$D$82&gt;'Results Data'!$E$2:$E$82))+SUMPRODUCT(('Results Data'!$C$2:$C$82=$B18)*('Results Data'!$E$2:$E$82&gt;'Results Data'!$D$2:$D$82))</f>
        <v/>
      </c>
      <c r="E18" s="3">
        <f>SUMPRODUCT(('Results Data'!$B$2:$B$82=$B18)*('Results Data'!$D$2:$D$82='Results Data'!$E$2:$E$82))+SUMPRODUCT(('Results Data'!$C$2:$C$82=$B18)*('Results Data'!$E$2:$E$82='Results Data'!$D$2:$D$82))</f>
        <v/>
      </c>
      <c r="F18" s="3">
        <f>C18-D18-E18</f>
        <v/>
      </c>
      <c r="G18" s="3">
        <f>SUMIF('Results Data'!$B$2:$B$82,$B18,'Results Data'!$D$2:$D$82)+SUMIF('Results Data'!$C$2:$C$82,$B18,'Results Data'!$E$2:$E$82)</f>
        <v/>
      </c>
      <c r="H18" s="3">
        <f>SUMIF('Results Data'!$B$2:$B$82,$B18,'Results Data'!$E$2:$E$82)+SUMIF('Results Data'!$C$2:$C$82,$B18,'Results Data'!$D$2:$D$82)</f>
        <v/>
      </c>
      <c r="I18" s="3">
        <f>G18-H18</f>
        <v/>
      </c>
      <c r="J18" s="3">
        <f>D18*3+E18</f>
        <v/>
      </c>
    </row>
    <row r="19">
      <c r="A19" s="2">
        <f>ROW()-1</f>
        <v/>
      </c>
      <c r="B19" s="3" t="inlineStr">
        <is>
          <t>Portsmouth</t>
        </is>
      </c>
      <c r="C19" s="3">
        <f>COUNTIF('Results Data'!$B$2:$B$82,$B19)+COUNTIF('Results Data'!$C$2:$C$82,$B19)</f>
        <v/>
      </c>
      <c r="D19" s="3">
        <f>SUMPRODUCT(('Results Data'!$B$2:$B$82=$B19)*('Results Data'!$D$2:$D$82&gt;'Results Data'!$E$2:$E$82))+SUMPRODUCT(('Results Data'!$C$2:$C$82=$B19)*('Results Data'!$E$2:$E$82&gt;'Results Data'!$D$2:$D$82))</f>
        <v/>
      </c>
      <c r="E19" s="3">
        <f>SUMPRODUCT(('Results Data'!$B$2:$B$82=$B19)*('Results Data'!$D$2:$D$82='Results Data'!$E$2:$E$82))+SUMPRODUCT(('Results Data'!$C$2:$C$82=$B19)*('Results Data'!$E$2:$E$82='Results Data'!$D$2:$D$82))</f>
        <v/>
      </c>
      <c r="F19" s="3">
        <f>C19-D19-E19</f>
        <v/>
      </c>
      <c r="G19" s="3">
        <f>SUMIF('Results Data'!$B$2:$B$82,$B19,'Results Data'!$D$2:$D$82)+SUMIF('Results Data'!$C$2:$C$82,$B19,'Results Data'!$E$2:$E$82)</f>
        <v/>
      </c>
      <c r="H19" s="3">
        <f>SUMIF('Results Data'!$B$2:$B$82,$B19,'Results Data'!$E$2:$E$82)+SUMIF('Results Data'!$C$2:$C$82,$B19,'Results Data'!$D$2:$D$82)</f>
        <v/>
      </c>
      <c r="I19" s="3">
        <f>G19-H19</f>
        <v/>
      </c>
      <c r="J19" s="3">
        <f>D19*3+E19</f>
        <v/>
      </c>
    </row>
    <row r="20">
      <c r="A20" s="2">
        <f>ROW()-1</f>
        <v/>
      </c>
      <c r="B20" s="3" t="inlineStr">
        <is>
          <t>Wrexham</t>
        </is>
      </c>
      <c r="C20" s="3">
        <f>COUNTIF('Results Data'!$B$2:$B$82,$B20)+COUNTIF('Results Data'!$C$2:$C$82,$B20)</f>
        <v/>
      </c>
      <c r="D20" s="3">
        <f>SUMPRODUCT(('Results Data'!$B$2:$B$82=$B20)*('Results Data'!$D$2:$D$82&gt;'Results Data'!$E$2:$E$82))+SUMPRODUCT(('Results Data'!$C$2:$C$82=$B20)*('Results Data'!$E$2:$E$82&gt;'Results Data'!$D$2:$D$82))</f>
        <v/>
      </c>
      <c r="E20" s="3">
        <f>SUMPRODUCT(('Results Data'!$B$2:$B$82=$B20)*('Results Data'!$D$2:$D$82='Results Data'!$E$2:$E$82))+SUMPRODUCT(('Results Data'!$C$2:$C$82=$B20)*('Results Data'!$E$2:$E$82='Results Data'!$D$2:$D$82))</f>
        <v/>
      </c>
      <c r="F20" s="3">
        <f>C20-D20-E20</f>
        <v/>
      </c>
      <c r="G20" s="3">
        <f>SUMIF('Results Data'!$B$2:$B$82,$B20,'Results Data'!$D$2:$D$82)+SUMIF('Results Data'!$C$2:$C$82,$B20,'Results Data'!$E$2:$E$82)</f>
        <v/>
      </c>
      <c r="H20" s="3">
        <f>SUMIF('Results Data'!$B$2:$B$82,$B20,'Results Data'!$E$2:$E$82)+SUMIF('Results Data'!$C$2:$C$82,$B20,'Results Data'!$D$2:$D$82)</f>
        <v/>
      </c>
      <c r="I20" s="3">
        <f>G20-H20</f>
        <v/>
      </c>
      <c r="J20" s="3">
        <f>D20*3+E20</f>
        <v/>
      </c>
    </row>
    <row r="21">
      <c r="A21" s="2">
        <f>ROW()-1</f>
        <v/>
      </c>
      <c r="B21" s="3" t="inlineStr">
        <is>
          <t>Bolton Wanderers</t>
        </is>
      </c>
      <c r="C21" s="3">
        <f>COUNTIF('Results Data'!$B$2:$B$82,$B21)+COUNTIF('Results Data'!$C$2:$C$82,$B21)</f>
        <v/>
      </c>
      <c r="D21" s="3">
        <f>SUMPRODUCT(('Results Data'!$B$2:$B$82=$B21)*('Results Data'!$D$2:$D$82&gt;'Results Data'!$E$2:$E$82))+SUMPRODUCT(('Results Data'!$C$2:$C$82=$B21)*('Results Data'!$E$2:$E$82&gt;'Results Data'!$D$2:$D$82))</f>
        <v/>
      </c>
      <c r="E21" s="3">
        <f>SUMPRODUCT(('Results Data'!$B$2:$B$82=$B21)*('Results Data'!$D$2:$D$82='Results Data'!$E$2:$E$82))+SUMPRODUCT(('Results Data'!$C$2:$C$82=$B21)*('Results Data'!$E$2:$E$82='Results Data'!$D$2:$D$82))</f>
        <v/>
      </c>
      <c r="F21" s="3">
        <f>C21-D21-E21</f>
        <v/>
      </c>
      <c r="G21" s="3">
        <f>SUMIF('Results Data'!$B$2:$B$82,$B21,'Results Data'!$D$2:$D$82)+SUMIF('Results Data'!$C$2:$C$82,$B21,'Results Data'!$E$2:$E$82)</f>
        <v/>
      </c>
      <c r="H21" s="3">
        <f>SUMIF('Results Data'!$B$2:$B$82,$B21,'Results Data'!$E$2:$E$82)+SUMIF('Results Data'!$C$2:$C$82,$B21,'Results Data'!$D$2:$D$82)</f>
        <v/>
      </c>
      <c r="I21" s="3">
        <f>G21-H21</f>
        <v/>
      </c>
      <c r="J21" s="3">
        <f>D21*3+E21</f>
        <v/>
      </c>
    </row>
    <row r="22">
      <c r="A22" s="2">
        <f>ROW()-1</f>
        <v/>
      </c>
      <c r="B22" s="3" t="inlineStr">
        <is>
          <t>Cardiff</t>
        </is>
      </c>
      <c r="C22" s="3">
        <f>COUNTIF('Results Data'!$B$2:$B$82,$B22)+COUNTIF('Results Data'!$C$2:$C$82,$B22)</f>
        <v/>
      </c>
      <c r="D22" s="3">
        <f>SUMPRODUCT(('Results Data'!$B$2:$B$82=$B22)*('Results Data'!$D$2:$D$82&gt;'Results Data'!$E$2:$E$82))+SUMPRODUCT(('Results Data'!$C$2:$C$82=$B22)*('Results Data'!$E$2:$E$82&gt;'Results Data'!$D$2:$D$82))</f>
        <v/>
      </c>
      <c r="E22" s="3">
        <f>SUMPRODUCT(('Results Data'!$B$2:$B$82=$B22)*('Results Data'!$D$2:$D$82='Results Data'!$E$2:$E$82))+SUMPRODUCT(('Results Data'!$C$2:$C$82=$B22)*('Results Data'!$E$2:$E$82='Results Data'!$D$2:$D$82))</f>
        <v/>
      </c>
      <c r="F22" s="3">
        <f>C22-D22-E22</f>
        <v/>
      </c>
      <c r="G22" s="3">
        <f>SUMIF('Results Data'!$B$2:$B$82,$B22,'Results Data'!$D$2:$D$82)+SUMIF('Results Data'!$C$2:$C$82,$B22,'Results Data'!$E$2:$E$82)</f>
        <v/>
      </c>
      <c r="H22" s="3">
        <f>SUMIF('Results Data'!$B$2:$B$82,$B22,'Results Data'!$E$2:$E$82)+SUMIF('Results Data'!$C$2:$C$82,$B22,'Results Data'!$D$2:$D$82)</f>
        <v/>
      </c>
      <c r="I22" s="3">
        <f>G22-H22</f>
        <v/>
      </c>
      <c r="J22" s="3">
        <f>D22*3+E22</f>
        <v/>
      </c>
    </row>
    <row r="23">
      <c r="A23" s="2">
        <f>ROW()-1</f>
        <v/>
      </c>
      <c r="B23" s="3" t="inlineStr">
        <is>
          <t>Derby</t>
        </is>
      </c>
      <c r="C23" s="3">
        <f>COUNTIF('Results Data'!$B$2:$B$82,$B23)+COUNTIF('Results Data'!$C$2:$C$82,$B23)</f>
        <v/>
      </c>
      <c r="D23" s="3">
        <f>SUMPRODUCT(('Results Data'!$B$2:$B$82=$B23)*('Results Data'!$D$2:$D$82&gt;'Results Data'!$E$2:$E$82))+SUMPRODUCT(('Results Data'!$C$2:$C$82=$B23)*('Results Data'!$E$2:$E$82&gt;'Results Data'!$D$2:$D$82))</f>
        <v/>
      </c>
      <c r="E23" s="3">
        <f>SUMPRODUCT(('Results Data'!$B$2:$B$82=$B23)*('Results Data'!$D$2:$D$82='Results Data'!$E$2:$E$82))+SUMPRODUCT(('Results Data'!$C$2:$C$82=$B23)*('Results Data'!$E$2:$E$82='Results Data'!$D$2:$D$82))</f>
        <v/>
      </c>
      <c r="F23" s="3">
        <f>C23-D23-E23</f>
        <v/>
      </c>
      <c r="G23" s="3">
        <f>SUMIF('Results Data'!$B$2:$B$82,$B23,'Results Data'!$D$2:$D$82)+SUMIF('Results Data'!$C$2:$C$82,$B23,'Results Data'!$E$2:$E$82)</f>
        <v/>
      </c>
      <c r="H23" s="3">
        <f>SUMIF('Results Data'!$B$2:$B$82,$B23,'Results Data'!$E$2:$E$82)+SUMIF('Results Data'!$C$2:$C$82,$B23,'Results Data'!$D$2:$D$82)</f>
        <v/>
      </c>
      <c r="I23" s="3">
        <f>G23-H23</f>
        <v/>
      </c>
      <c r="J23" s="3">
        <f>D23*3+E23</f>
        <v/>
      </c>
    </row>
    <row r="24">
      <c r="A24" s="2">
        <f>ROW()-1</f>
        <v/>
      </c>
      <c r="B24" s="3" t="inlineStr">
        <is>
          <t>Preston North End</t>
        </is>
      </c>
      <c r="C24" s="3">
        <f>COUNTIF('Results Data'!$B$2:$B$82,$B24)+COUNTIF('Results Data'!$C$2:$C$82,$B24)</f>
        <v/>
      </c>
      <c r="D24" s="3">
        <f>SUMPRODUCT(('Results Data'!$B$2:$B$82=$B24)*('Results Data'!$D$2:$D$82&gt;'Results Data'!$E$2:$E$82))+SUMPRODUCT(('Results Data'!$C$2:$C$82=$B24)*('Results Data'!$E$2:$E$82&gt;'Results Data'!$D$2:$D$82))</f>
        <v/>
      </c>
      <c r="E24" s="3">
        <f>SUMPRODUCT(('Results Data'!$B$2:$B$82=$B24)*('Results Data'!$D$2:$D$82='Results Data'!$E$2:$E$82))+SUMPRODUCT(('Results Data'!$C$2:$C$82=$B24)*('Results Data'!$E$2:$E$82='Results Data'!$D$2:$D$82))</f>
        <v/>
      </c>
      <c r="F24" s="3">
        <f>C24-D24-E24</f>
        <v/>
      </c>
      <c r="G24" s="3">
        <f>SUMIF('Results Data'!$B$2:$B$82,$B24,'Results Data'!$D$2:$D$82)+SUMIF('Results Data'!$C$2:$C$82,$B24,'Results Data'!$E$2:$E$82)</f>
        <v/>
      </c>
      <c r="H24" s="3">
        <f>SUMIF('Results Data'!$B$2:$B$82,$B24,'Results Data'!$E$2:$E$82)+SUMIF('Results Data'!$C$2:$C$82,$B24,'Results Data'!$D$2:$D$82)</f>
        <v/>
      </c>
      <c r="I24" s="3">
        <f>G24-H24</f>
        <v/>
      </c>
      <c r="J24" s="3">
        <f>D24*3+E24</f>
        <v/>
      </c>
    </row>
    <row r="25">
      <c r="A25" s="2">
        <f>ROW()-1</f>
        <v/>
      </c>
      <c r="B25" s="3" t="inlineStr">
        <is>
          <t>Burnley</t>
        </is>
      </c>
      <c r="C25" s="3">
        <f>COUNTIF('Results Data'!$B$2:$B$82,$B25)+COUNTIF('Results Data'!$C$2:$C$82,$B25)</f>
        <v/>
      </c>
      <c r="D25" s="3">
        <f>SUMPRODUCT(('Results Data'!$B$2:$B$82=$B25)*('Results Data'!$D$2:$D$82&gt;'Results Data'!$E$2:$E$82))+SUMPRODUCT(('Results Data'!$C$2:$C$82=$B25)*('Results Data'!$E$2:$E$82&gt;'Results Data'!$D$2:$D$82))</f>
        <v/>
      </c>
      <c r="E25" s="3">
        <f>SUMPRODUCT(('Results Data'!$B$2:$B$82=$B25)*('Results Data'!$D$2:$D$82='Results Data'!$E$2:$E$82))+SUMPRODUCT(('Results Data'!$C$2:$C$82=$B25)*('Results Data'!$E$2:$E$82='Results Data'!$D$2:$D$82))</f>
        <v/>
      </c>
      <c r="F25" s="3">
        <f>C25-D25-E25</f>
        <v/>
      </c>
      <c r="G25" s="3">
        <f>SUMIF('Results Data'!$B$2:$B$82,$B25,'Results Data'!$D$2:$D$82)+SUMIF('Results Data'!$C$2:$C$82,$B25,'Results Data'!$E$2:$E$82)</f>
        <v/>
      </c>
      <c r="H25" s="3">
        <f>SUMIF('Results Data'!$B$2:$B$82,$B25,'Results Data'!$E$2:$E$82)+SUMIF('Results Data'!$C$2:$C$82,$B25,'Results Data'!$D$2:$D$82)</f>
        <v/>
      </c>
      <c r="I25" s="3">
        <f>G25-H25</f>
        <v/>
      </c>
      <c r="J25" s="3">
        <f>D25*3+E25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4" customWidth="1" min="2" max="2"/>
    <col width="4" customWidth="1" min="3" max="3"/>
    <col width="4" customWidth="1" min="4" max="4"/>
    <col width="6" customWidth="1" min="5" max="5"/>
    <col width="6" customWidth="1" min="6" max="6"/>
    <col width="6" customWidth="1" min="7" max="7"/>
    <col width="6" customWidth="1" min="8" max="8"/>
  </cols>
  <sheetData>
    <row r="1" ht="30" customHeight="1">
      <c r="A1" s="1" t="inlineStr">
        <is>
          <t>Team</t>
        </is>
      </c>
      <c r="B1" s="1" t="inlineStr">
        <is>
          <t>Matches Played</t>
        </is>
      </c>
      <c r="C1" s="1" t="inlineStr">
        <is>
          <t>Total Goals For</t>
        </is>
      </c>
      <c r="D1" s="1" t="inlineStr">
        <is>
          <t>Total Goals Against</t>
        </is>
      </c>
      <c r="E1" s="1" t="inlineStr">
        <is>
          <t>Avg xG Delta (For)</t>
        </is>
      </c>
      <c r="F1" s="1" t="inlineStr">
        <is>
          <t>Avg xG Delta (Against)</t>
        </is>
      </c>
      <c r="G1" s="1" t="inlineStr">
        <is>
          <t>Current Form (6, For)</t>
        </is>
      </c>
      <c r="H1" s="1" t="inlineStr">
        <is>
          <t>Current Form (6, Against)</t>
        </is>
      </c>
    </row>
    <row r="2">
      <c r="A2" s="3" t="inlineStr">
        <is>
          <t>Birmingham</t>
        </is>
      </c>
      <c r="B2" s="3">
        <f>'Birmingham'!$E$11</f>
        <v/>
      </c>
      <c r="C2" s="3">
        <f>'Birmingham'!$E$12</f>
        <v/>
      </c>
      <c r="D2" s="3">
        <f>'Birmingham'!$E$13</f>
        <v/>
      </c>
      <c r="E2" s="4">
        <f>'Birmingham'!$E$14</f>
        <v/>
      </c>
      <c r="F2" s="4">
        <f>'Birmingham'!$E$15</f>
        <v/>
      </c>
      <c r="G2" s="4">
        <f>'Birmingham'!$E$18</f>
        <v/>
      </c>
      <c r="H2" s="4">
        <f>'Birmingham'!$E$19</f>
        <v/>
      </c>
    </row>
    <row r="3">
      <c r="A3" s="3" t="inlineStr">
        <is>
          <t>Blackburn</t>
        </is>
      </c>
      <c r="B3" s="3">
        <f>'Blackburn'!$E$11</f>
        <v/>
      </c>
      <c r="C3" s="3">
        <f>'Blackburn'!$E$12</f>
        <v/>
      </c>
      <c r="D3" s="3">
        <f>'Blackburn'!$E$13</f>
        <v/>
      </c>
      <c r="E3" s="4">
        <f>'Blackburn'!$E$14</f>
        <v/>
      </c>
      <c r="F3" s="4">
        <f>'Blackburn'!$E$15</f>
        <v/>
      </c>
      <c r="G3" s="4">
        <f>'Blackburn'!$E$18</f>
        <v/>
      </c>
      <c r="H3" s="4">
        <f>'Blackburn'!$E$19</f>
        <v/>
      </c>
    </row>
    <row r="4">
      <c r="A4" s="3" t="inlineStr">
        <is>
          <t>Bolton Wanderers</t>
        </is>
      </c>
      <c r="B4" s="3">
        <f>'Bolton Wanderers'!$E$11</f>
        <v/>
      </c>
      <c r="C4" s="3">
        <f>'Bolton Wanderers'!$E$12</f>
        <v/>
      </c>
      <c r="D4" s="3">
        <f>'Bolton Wanderers'!$E$13</f>
        <v/>
      </c>
      <c r="E4" s="4">
        <f>'Bolton Wanderers'!$E$14</f>
        <v/>
      </c>
      <c r="F4" s="4">
        <f>'Bolton Wanderers'!$E$15</f>
        <v/>
      </c>
      <c r="G4" s="4">
        <f>'Bolton Wanderers'!$E$18</f>
        <v/>
      </c>
      <c r="H4" s="4">
        <f>'Bolton Wanderers'!$E$19</f>
        <v/>
      </c>
    </row>
    <row r="5">
      <c r="A5" s="3" t="inlineStr">
        <is>
          <t>Bristol City</t>
        </is>
      </c>
      <c r="B5" s="3">
        <f>'Bristol City'!$E$10</f>
        <v/>
      </c>
      <c r="C5" s="3">
        <f>'Bristol City'!$E$11</f>
        <v/>
      </c>
      <c r="D5" s="3">
        <f>'Bristol City'!$E$12</f>
        <v/>
      </c>
      <c r="E5" s="4">
        <f>'Bristol City'!$E$13</f>
        <v/>
      </c>
      <c r="F5" s="4">
        <f>'Bristol City'!$E$14</f>
        <v/>
      </c>
      <c r="G5" s="4">
        <f>'Bristol City'!$E$17</f>
        <v/>
      </c>
      <c r="H5" s="4">
        <f>'Bristol City'!$E$18</f>
        <v/>
      </c>
    </row>
    <row r="6">
      <c r="A6" s="3" t="inlineStr">
        <is>
          <t>Burnley</t>
        </is>
      </c>
      <c r="B6" s="3">
        <f>'Burnley'!$E$11</f>
        <v/>
      </c>
      <c r="C6" s="3">
        <f>'Burnley'!$E$12</f>
        <v/>
      </c>
      <c r="D6" s="3">
        <f>'Burnley'!$E$13</f>
        <v/>
      </c>
      <c r="E6" s="4">
        <f>'Burnley'!$E$14</f>
        <v/>
      </c>
      <c r="F6" s="4">
        <f>'Burnley'!$E$15</f>
        <v/>
      </c>
      <c r="G6" s="4">
        <f>'Burnley'!$E$18</f>
        <v/>
      </c>
      <c r="H6" s="4">
        <f>'Burnley'!$E$19</f>
        <v/>
      </c>
    </row>
    <row r="7">
      <c r="A7" s="3" t="inlineStr">
        <is>
          <t>Cardiff</t>
        </is>
      </c>
      <c r="B7" s="3">
        <f>'Cardiff'!$E$11</f>
        <v/>
      </c>
      <c r="C7" s="3">
        <f>'Cardiff'!$E$12</f>
        <v/>
      </c>
      <c r="D7" s="3">
        <f>'Cardiff'!$E$13</f>
        <v/>
      </c>
      <c r="E7" s="4">
        <f>'Cardiff'!$E$14</f>
        <v/>
      </c>
      <c r="F7" s="4">
        <f>'Cardiff'!$E$15</f>
        <v/>
      </c>
      <c r="G7" s="4">
        <f>'Cardiff'!$E$18</f>
        <v/>
      </c>
      <c r="H7" s="4">
        <f>'Cardiff'!$E$19</f>
        <v/>
      </c>
    </row>
    <row r="8">
      <c r="A8" s="3" t="inlineStr">
        <is>
          <t>Charlton</t>
        </is>
      </c>
      <c r="B8" s="3">
        <f>'Charlton'!$E$11</f>
        <v/>
      </c>
      <c r="C8" s="3">
        <f>'Charlton'!$E$12</f>
        <v/>
      </c>
      <c r="D8" s="3">
        <f>'Charlton'!$E$13</f>
        <v/>
      </c>
      <c r="E8" s="4">
        <f>'Charlton'!$E$14</f>
        <v/>
      </c>
      <c r="F8" s="4">
        <f>'Charlton'!$E$15</f>
        <v/>
      </c>
      <c r="G8" s="4">
        <f>'Charlton'!$E$18</f>
        <v/>
      </c>
      <c r="H8" s="4">
        <f>'Charlton'!$E$19</f>
        <v/>
      </c>
    </row>
    <row r="9">
      <c r="A9" s="3" t="inlineStr">
        <is>
          <t>Derby</t>
        </is>
      </c>
      <c r="B9" s="3">
        <f>'Derby'!$E$11</f>
        <v/>
      </c>
      <c r="C9" s="3">
        <f>'Derby'!$E$12</f>
        <v/>
      </c>
      <c r="D9" s="3">
        <f>'Derby'!$E$13</f>
        <v/>
      </c>
      <c r="E9" s="4">
        <f>'Derby'!$E$14</f>
        <v/>
      </c>
      <c r="F9" s="4">
        <f>'Derby'!$E$15</f>
        <v/>
      </c>
      <c r="G9" s="4">
        <f>'Derby'!$E$18</f>
        <v/>
      </c>
      <c r="H9" s="4">
        <f>'Derby'!$E$19</f>
        <v/>
      </c>
    </row>
    <row r="10">
      <c r="A10" s="3" t="inlineStr">
        <is>
          <t>Lincoln</t>
        </is>
      </c>
      <c r="B10" s="3">
        <f>'Lincoln'!$E$10</f>
        <v/>
      </c>
      <c r="C10" s="3">
        <f>'Lincoln'!$E$11</f>
        <v/>
      </c>
      <c r="D10" s="3">
        <f>'Lincoln'!$E$12</f>
        <v/>
      </c>
      <c r="E10" s="4">
        <f>'Lincoln'!$E$13</f>
        <v/>
      </c>
      <c r="F10" s="4">
        <f>'Lincoln'!$E$14</f>
        <v/>
      </c>
      <c r="G10" s="4">
        <f>'Lincoln'!$E$17</f>
        <v/>
      </c>
      <c r="H10" s="4">
        <f>'Lincoln'!$E$18</f>
        <v/>
      </c>
    </row>
    <row r="11">
      <c r="A11" s="3" t="inlineStr">
        <is>
          <t>Middlesbrough</t>
        </is>
      </c>
      <c r="B11" s="3">
        <f>'Middlesbrough'!$E$10</f>
        <v/>
      </c>
      <c r="C11" s="3">
        <f>'Middlesbrough'!$E$11</f>
        <v/>
      </c>
      <c r="D11" s="3">
        <f>'Middlesbrough'!$E$12</f>
        <v/>
      </c>
      <c r="E11" s="4">
        <f>'Middlesbrough'!$E$13</f>
        <v/>
      </c>
      <c r="F11" s="4">
        <f>'Middlesbrough'!$E$14</f>
        <v/>
      </c>
      <c r="G11" s="4">
        <f>'Middlesbrough'!$E$17</f>
        <v/>
      </c>
      <c r="H11" s="4">
        <f>'Middlesbrough'!$E$18</f>
        <v/>
      </c>
    </row>
    <row r="12">
      <c r="A12" s="3" t="inlineStr">
        <is>
          <t>Millwall</t>
        </is>
      </c>
      <c r="B12" s="3">
        <f>'Millwall'!$E$10</f>
        <v/>
      </c>
      <c r="C12" s="3">
        <f>'Millwall'!$E$11</f>
        <v/>
      </c>
      <c r="D12" s="3">
        <f>'Millwall'!$E$12</f>
        <v/>
      </c>
      <c r="E12" s="4">
        <f>'Millwall'!$E$13</f>
        <v/>
      </c>
      <c r="F12" s="4">
        <f>'Millwall'!$E$14</f>
        <v/>
      </c>
      <c r="G12" s="4">
        <f>'Millwall'!$E$17</f>
        <v/>
      </c>
      <c r="H12" s="4">
        <f>'Millwall'!$E$18</f>
        <v/>
      </c>
    </row>
    <row r="13">
      <c r="A13" s="3" t="inlineStr">
        <is>
          <t>Norwich</t>
        </is>
      </c>
      <c r="B13" s="3">
        <f>'Norwich'!$E$11</f>
        <v/>
      </c>
      <c r="C13" s="3">
        <f>'Norwich'!$E$12</f>
        <v/>
      </c>
      <c r="D13" s="3">
        <f>'Norwich'!$E$13</f>
        <v/>
      </c>
      <c r="E13" s="4">
        <f>'Norwich'!$E$14</f>
        <v/>
      </c>
      <c r="F13" s="4">
        <f>'Norwich'!$E$15</f>
        <v/>
      </c>
      <c r="G13" s="4">
        <f>'Norwich'!$E$18</f>
        <v/>
      </c>
      <c r="H13" s="4">
        <f>'Norwich'!$E$19</f>
        <v/>
      </c>
    </row>
    <row r="14">
      <c r="A14" s="3" t="inlineStr">
        <is>
          <t>Portsmouth</t>
        </is>
      </c>
      <c r="B14" s="3">
        <f>'Portsmouth'!$E$10</f>
        <v/>
      </c>
      <c r="C14" s="3">
        <f>'Portsmouth'!$E$11</f>
        <v/>
      </c>
      <c r="D14" s="3">
        <f>'Portsmouth'!$E$12</f>
        <v/>
      </c>
      <c r="E14" s="4">
        <f>'Portsmouth'!$E$13</f>
        <v/>
      </c>
      <c r="F14" s="4">
        <f>'Portsmouth'!$E$14</f>
        <v/>
      </c>
      <c r="G14" s="4">
        <f>'Portsmouth'!$E$17</f>
        <v/>
      </c>
      <c r="H14" s="4">
        <f>'Portsmouth'!$E$18</f>
        <v/>
      </c>
    </row>
    <row r="15">
      <c r="A15" s="3" t="inlineStr">
        <is>
          <t>Preston North End</t>
        </is>
      </c>
      <c r="B15" s="3">
        <f>'Preston North End'!$E$11</f>
        <v/>
      </c>
      <c r="C15" s="3">
        <f>'Preston North End'!$E$12</f>
        <v/>
      </c>
      <c r="D15" s="3">
        <f>'Preston North End'!$E$13</f>
        <v/>
      </c>
      <c r="E15" s="4">
        <f>'Preston North End'!$E$14</f>
        <v/>
      </c>
      <c r="F15" s="4">
        <f>'Preston North End'!$E$15</f>
        <v/>
      </c>
      <c r="G15" s="4">
        <f>'Preston North End'!$E$18</f>
        <v/>
      </c>
      <c r="H15" s="4">
        <f>'Preston North End'!$E$19</f>
        <v/>
      </c>
    </row>
    <row r="16">
      <c r="A16" s="3" t="inlineStr">
        <is>
          <t>Queens Park Rangers</t>
        </is>
      </c>
      <c r="B16" s="3">
        <f>'Queens Park Rangers'!$E$11</f>
        <v/>
      </c>
      <c r="C16" s="3">
        <f>'Queens Park Rangers'!$E$12</f>
        <v/>
      </c>
      <c r="D16" s="3">
        <f>'Queens Park Rangers'!$E$13</f>
        <v/>
      </c>
      <c r="E16" s="4">
        <f>'Queens Park Rangers'!$E$14</f>
        <v/>
      </c>
      <c r="F16" s="4">
        <f>'Queens Park Rangers'!$E$15</f>
        <v/>
      </c>
      <c r="G16" s="4">
        <f>'Queens Park Rangers'!$E$18</f>
        <v/>
      </c>
      <c r="H16" s="4">
        <f>'Queens Park Rangers'!$E$19</f>
        <v/>
      </c>
    </row>
    <row r="17">
      <c r="A17" s="3" t="inlineStr">
        <is>
          <t>Sheffield United</t>
        </is>
      </c>
      <c r="B17" s="3">
        <f>'Sheffield United'!$E$11</f>
        <v/>
      </c>
      <c r="C17" s="3">
        <f>'Sheffield United'!$E$12</f>
        <v/>
      </c>
      <c r="D17" s="3">
        <f>'Sheffield United'!$E$13</f>
        <v/>
      </c>
      <c r="E17" s="4">
        <f>'Sheffield United'!$E$14</f>
        <v/>
      </c>
      <c r="F17" s="4">
        <f>'Sheffield United'!$E$15</f>
        <v/>
      </c>
      <c r="G17" s="4">
        <f>'Sheffield United'!$E$18</f>
        <v/>
      </c>
      <c r="H17" s="4">
        <f>'Sheffield United'!$E$19</f>
        <v/>
      </c>
    </row>
    <row r="18">
      <c r="A18" s="3" t="inlineStr">
        <is>
          <t>Southampton</t>
        </is>
      </c>
      <c r="B18" s="3">
        <f>'Southampton'!$E$11</f>
        <v/>
      </c>
      <c r="C18" s="3">
        <f>'Southampton'!$E$12</f>
        <v/>
      </c>
      <c r="D18" s="3">
        <f>'Southampton'!$E$13</f>
        <v/>
      </c>
      <c r="E18" s="4">
        <f>'Southampton'!$E$14</f>
        <v/>
      </c>
      <c r="F18" s="4">
        <f>'Southampton'!$E$15</f>
        <v/>
      </c>
      <c r="G18" s="4">
        <f>'Southampton'!$E$18</f>
        <v/>
      </c>
      <c r="H18" s="4">
        <f>'Southampton'!$E$19</f>
        <v/>
      </c>
    </row>
    <row r="19">
      <c r="A19" s="3" t="inlineStr">
        <is>
          <t>Stoke</t>
        </is>
      </c>
      <c r="B19" s="3">
        <f>'Stoke'!$E$11</f>
        <v/>
      </c>
      <c r="C19" s="3">
        <f>'Stoke'!$E$12</f>
        <v/>
      </c>
      <c r="D19" s="3">
        <f>'Stoke'!$E$13</f>
        <v/>
      </c>
      <c r="E19" s="4">
        <f>'Stoke'!$E$14</f>
        <v/>
      </c>
      <c r="F19" s="4">
        <f>'Stoke'!$E$15</f>
        <v/>
      </c>
      <c r="G19" s="4">
        <f>'Stoke'!$E$18</f>
        <v/>
      </c>
      <c r="H19" s="4">
        <f>'Stoke'!$E$19</f>
        <v/>
      </c>
    </row>
    <row r="20">
      <c r="A20" s="3" t="inlineStr">
        <is>
          <t>Swansea</t>
        </is>
      </c>
      <c r="B20" s="3">
        <f>'Swansea'!$E$11</f>
        <v/>
      </c>
      <c r="C20" s="3">
        <f>'Swansea'!$E$12</f>
        <v/>
      </c>
      <c r="D20" s="3">
        <f>'Swansea'!$E$13</f>
        <v/>
      </c>
      <c r="E20" s="4">
        <f>'Swansea'!$E$14</f>
        <v/>
      </c>
      <c r="F20" s="4">
        <f>'Swansea'!$E$15</f>
        <v/>
      </c>
      <c r="G20" s="4">
        <f>'Swansea'!$E$18</f>
        <v/>
      </c>
      <c r="H20" s="4">
        <f>'Swansea'!$E$19</f>
        <v/>
      </c>
    </row>
    <row r="21">
      <c r="A21" s="3" t="inlineStr">
        <is>
          <t>Watford</t>
        </is>
      </c>
      <c r="B21" s="3">
        <f>'Watford'!$E$11</f>
        <v/>
      </c>
      <c r="C21" s="3">
        <f>'Watford'!$E$12</f>
        <v/>
      </c>
      <c r="D21" s="3">
        <f>'Watford'!$E$13</f>
        <v/>
      </c>
      <c r="E21" s="4">
        <f>'Watford'!$E$14</f>
        <v/>
      </c>
      <c r="F21" s="4">
        <f>'Watford'!$E$15</f>
        <v/>
      </c>
      <c r="G21" s="4">
        <f>'Watford'!$E$18</f>
        <v/>
      </c>
      <c r="H21" s="4">
        <f>'Watford'!$E$19</f>
        <v/>
      </c>
    </row>
    <row r="22">
      <c r="A22" s="3" t="inlineStr">
        <is>
          <t>West Bromwich Albion</t>
        </is>
      </c>
      <c r="B22" s="3">
        <f>'West Bromwich Albion'!$E$11</f>
        <v/>
      </c>
      <c r="C22" s="3">
        <f>'West Bromwich Albion'!$E$12</f>
        <v/>
      </c>
      <c r="D22" s="3">
        <f>'West Bromwich Albion'!$E$13</f>
        <v/>
      </c>
      <c r="E22" s="4">
        <f>'West Bromwich Albion'!$E$14</f>
        <v/>
      </c>
      <c r="F22" s="4">
        <f>'West Bromwich Albion'!$E$15</f>
        <v/>
      </c>
      <c r="G22" s="4">
        <f>'West Bromwich Albion'!$E$18</f>
        <v/>
      </c>
      <c r="H22" s="4">
        <f>'West Bromwich Albion'!$E$19</f>
        <v/>
      </c>
    </row>
    <row r="23">
      <c r="A23" s="3" t="inlineStr">
        <is>
          <t>West Ham</t>
        </is>
      </c>
      <c r="B23" s="3">
        <f>'West Ham'!$E$11</f>
        <v/>
      </c>
      <c r="C23" s="3">
        <f>'West Ham'!$E$12</f>
        <v/>
      </c>
      <c r="D23" s="3">
        <f>'West Ham'!$E$13</f>
        <v/>
      </c>
      <c r="E23" s="4">
        <f>'West Ham'!$E$14</f>
        <v/>
      </c>
      <c r="F23" s="4">
        <f>'West Ham'!$E$15</f>
        <v/>
      </c>
      <c r="G23" s="4">
        <f>'West Ham'!$E$18</f>
        <v/>
      </c>
      <c r="H23" s="4">
        <f>'West Ham'!$E$19</f>
        <v/>
      </c>
    </row>
    <row r="24">
      <c r="A24" s="3" t="inlineStr">
        <is>
          <t>Wolves</t>
        </is>
      </c>
      <c r="B24" s="3">
        <f>'Wolves'!$E$10</f>
        <v/>
      </c>
      <c r="C24" s="3">
        <f>'Wolves'!$E$11</f>
        <v/>
      </c>
      <c r="D24" s="3">
        <f>'Wolves'!$E$12</f>
        <v/>
      </c>
      <c r="E24" s="4">
        <f>'Wolves'!$E$13</f>
        <v/>
      </c>
      <c r="F24" s="4">
        <f>'Wolves'!$E$14</f>
        <v/>
      </c>
      <c r="G24" s="4">
        <f>'Wolves'!$E$17</f>
        <v/>
      </c>
      <c r="H24" s="4">
        <f>'Wolves'!$E$18</f>
        <v/>
      </c>
    </row>
    <row r="25">
      <c r="A25" s="3" t="inlineStr">
        <is>
          <t>Wrexham</t>
        </is>
      </c>
      <c r="B25" s="3">
        <f>'Wrexham'!$E$11</f>
        <v/>
      </c>
      <c r="C25" s="3">
        <f>'Wrexham'!$E$12</f>
        <v/>
      </c>
      <c r="D25" s="3">
        <f>'Wrexham'!$E$13</f>
        <v/>
      </c>
      <c r="E25" s="4">
        <f>'Wrexham'!$E$14</f>
        <v/>
      </c>
      <c r="F25" s="4">
        <f>'Wrexham'!$E$15</f>
        <v/>
      </c>
      <c r="G25" s="4">
        <f>'Wrexham'!$E$18</f>
        <v/>
      </c>
      <c r="H25" s="4">
        <f>'Wrexham'!$E$19</f>
        <v/>
      </c>
    </row>
  </sheetData>
  <conditionalFormatting sqref="E2:E25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F2:F25">
    <cfRule type="colorScale" priority="2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G2:G25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H2:H25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</cols>
  <sheetData>
    <row r="1" ht="30" customHeight="1">
      <c r="A1" s="1" t="inlineStr">
        <is>
          <t>Team</t>
        </is>
      </c>
      <c r="B1" s="1" t="inlineStr">
        <is>
          <t>Average</t>
        </is>
      </c>
      <c r="C1" s="1" t="inlineStr">
        <is>
          <t>MW1</t>
        </is>
      </c>
      <c r="D1" s="1" t="inlineStr">
        <is>
          <t>MW2</t>
        </is>
      </c>
      <c r="E1" s="1" t="inlineStr">
        <is>
          <t>MW3</t>
        </is>
      </c>
      <c r="F1" s="1" t="inlineStr">
        <is>
          <t>MW4</t>
        </is>
      </c>
      <c r="G1" s="1" t="inlineStr">
        <is>
          <t>MW5</t>
        </is>
      </c>
      <c r="H1" s="1" t="inlineStr">
        <is>
          <t>MW6</t>
        </is>
      </c>
      <c r="I1" s="1" t="inlineStr">
        <is>
          <t>MW7</t>
        </is>
      </c>
    </row>
    <row r="2">
      <c r="A2" s="3" t="inlineStr">
        <is>
          <t>Derby</t>
        </is>
      </c>
      <c r="B2" s="5">
        <f>'Derby'!$E$16</f>
        <v/>
      </c>
      <c r="C2" s="4">
        <f>'Derby'!$N$2</f>
        <v/>
      </c>
      <c r="D2" s="4">
        <f>'Derby'!$N$3</f>
        <v/>
      </c>
      <c r="E2" s="4">
        <f>'Derby'!$N$4</f>
        <v/>
      </c>
      <c r="F2" s="4">
        <f>'Derby'!$N$5</f>
        <v/>
      </c>
      <c r="G2" s="4">
        <f>'Derby'!$N$6</f>
        <v/>
      </c>
      <c r="H2" s="4">
        <f>'Derby'!$N$7</f>
        <v/>
      </c>
      <c r="I2" s="4">
        <f>'Derby'!$N$8</f>
        <v/>
      </c>
    </row>
    <row r="3">
      <c r="A3" s="3" t="inlineStr">
        <is>
          <t>Sheffield United</t>
        </is>
      </c>
      <c r="B3" s="5">
        <f>'Sheffield United'!$E$16</f>
        <v/>
      </c>
      <c r="C3" s="4">
        <f>'Sheffield United'!$N$2</f>
        <v/>
      </c>
      <c r="D3" s="4">
        <f>'Sheffield United'!$N$3</f>
        <v/>
      </c>
      <c r="E3" s="4">
        <f>'Sheffield United'!$N$4</f>
        <v/>
      </c>
      <c r="F3" s="4">
        <f>'Sheffield United'!$N$5</f>
        <v/>
      </c>
      <c r="G3" s="4">
        <f>'Sheffield United'!$N$6</f>
        <v/>
      </c>
      <c r="H3" s="4">
        <f>'Sheffield United'!$N$7</f>
        <v/>
      </c>
      <c r="I3" s="4">
        <f>'Sheffield United'!$N$8</f>
        <v/>
      </c>
    </row>
    <row r="4">
      <c r="A4" s="3" t="inlineStr">
        <is>
          <t>Watford</t>
        </is>
      </c>
      <c r="B4" s="5">
        <f>'Watford'!$E$16</f>
        <v/>
      </c>
      <c r="C4" s="4">
        <f>'Watford'!$N$2</f>
        <v/>
      </c>
      <c r="D4" s="4">
        <f>'Watford'!$N$3</f>
        <v/>
      </c>
      <c r="E4" s="4">
        <f>'Watford'!$N$4</f>
        <v/>
      </c>
      <c r="F4" s="4">
        <f>'Watford'!$N$5</f>
        <v/>
      </c>
      <c r="G4" s="4">
        <f>'Watford'!$N$6</f>
        <v/>
      </c>
      <c r="H4" s="4">
        <f>'Watford'!$N$7</f>
        <v/>
      </c>
      <c r="I4" s="4">
        <f>'Watford'!$N$8</f>
        <v/>
      </c>
    </row>
    <row r="5">
      <c r="A5" s="3" t="inlineStr">
        <is>
          <t>West Bromwich Albion</t>
        </is>
      </c>
      <c r="B5" s="5">
        <f>'West Bromwich Albion'!$E$16</f>
        <v/>
      </c>
      <c r="C5" s="4">
        <f>'West Bromwich Albion'!$N$2</f>
        <v/>
      </c>
      <c r="D5" s="4">
        <f>'West Bromwich Albion'!$N$3</f>
        <v/>
      </c>
      <c r="E5" s="4">
        <f>'West Bromwich Albion'!$N$4</f>
        <v/>
      </c>
      <c r="F5" s="4">
        <f>'West Bromwich Albion'!$N$5</f>
        <v/>
      </c>
      <c r="G5" s="4">
        <f>'West Bromwich Albion'!$N$6</f>
        <v/>
      </c>
      <c r="H5" s="4">
        <f>'West Bromwich Albion'!$N$7</f>
        <v/>
      </c>
      <c r="I5" s="4">
        <f>'West Bromwich Albion'!$N$8</f>
        <v/>
      </c>
    </row>
    <row r="6">
      <c r="A6" s="3" t="inlineStr">
        <is>
          <t>Charlton</t>
        </is>
      </c>
      <c r="B6" s="5">
        <f>'Charlton'!$E$16</f>
        <v/>
      </c>
      <c r="C6" s="4">
        <f>'Charlton'!$N$2</f>
        <v/>
      </c>
      <c r="D6" s="4">
        <f>'Charlton'!$N$3</f>
        <v/>
      </c>
      <c r="E6" s="4">
        <f>'Charlton'!$N$4</f>
        <v/>
      </c>
      <c r="F6" s="4">
        <f>'Charlton'!$N$5</f>
        <v/>
      </c>
      <c r="G6" s="4">
        <f>'Charlton'!$N$6</f>
        <v/>
      </c>
      <c r="H6" s="4">
        <f>'Charlton'!$N$7</f>
        <v/>
      </c>
      <c r="I6" s="4">
        <f>'Charlton'!$N$8</f>
        <v/>
      </c>
    </row>
    <row r="7">
      <c r="A7" s="3" t="inlineStr">
        <is>
          <t>Bolton Wanderers</t>
        </is>
      </c>
      <c r="B7" s="5">
        <f>'Bolton Wanderers'!$E$16</f>
        <v/>
      </c>
      <c r="C7" s="4">
        <f>'Bolton Wanderers'!$N$2</f>
        <v/>
      </c>
      <c r="D7" s="4">
        <f>'Bolton Wanderers'!$N$3</f>
        <v/>
      </c>
      <c r="E7" s="4">
        <f>'Bolton Wanderers'!$N$4</f>
        <v/>
      </c>
      <c r="F7" s="4">
        <f>'Bolton Wanderers'!$N$5</f>
        <v/>
      </c>
      <c r="G7" s="4">
        <f>'Bolton Wanderers'!$N$6</f>
        <v/>
      </c>
      <c r="H7" s="4">
        <f>'Bolton Wanderers'!$N$7</f>
        <v/>
      </c>
      <c r="I7" s="4">
        <f>'Bolton Wanderers'!$N$8</f>
        <v/>
      </c>
    </row>
    <row r="8">
      <c r="A8" s="3" t="inlineStr">
        <is>
          <t>Burnley</t>
        </is>
      </c>
      <c r="B8" s="5">
        <f>'Burnley'!$E$16</f>
        <v/>
      </c>
      <c r="C8" s="4">
        <f>'Burnley'!$N$2</f>
        <v/>
      </c>
      <c r="D8" s="4">
        <f>'Burnley'!$N$3</f>
        <v/>
      </c>
      <c r="E8" s="4">
        <f>'Burnley'!$N$4</f>
        <v/>
      </c>
      <c r="F8" s="4">
        <f>'Burnley'!$N$5</f>
        <v/>
      </c>
      <c r="G8" s="4">
        <f>'Burnley'!$N$6</f>
        <v/>
      </c>
      <c r="H8" s="4">
        <f>'Burnley'!$N$7</f>
        <v/>
      </c>
      <c r="I8" s="4">
        <f>'Burnley'!$N$8</f>
        <v/>
      </c>
    </row>
    <row r="9">
      <c r="A9" s="3" t="inlineStr">
        <is>
          <t>Blackburn</t>
        </is>
      </c>
      <c r="B9" s="5">
        <f>'Blackburn'!$E$16</f>
        <v/>
      </c>
      <c r="C9" s="4">
        <f>'Blackburn'!$N$2</f>
        <v/>
      </c>
      <c r="D9" s="4">
        <f>'Blackburn'!$N$3</f>
        <v/>
      </c>
      <c r="E9" s="4">
        <f>'Blackburn'!$N$4</f>
        <v/>
      </c>
      <c r="F9" s="4">
        <f>'Blackburn'!$N$5</f>
        <v/>
      </c>
      <c r="G9" s="4">
        <f>'Blackburn'!$N$6</f>
        <v/>
      </c>
      <c r="H9" s="4">
        <f>'Blackburn'!$N$7</f>
        <v/>
      </c>
      <c r="I9" s="4">
        <f>'Blackburn'!$N$8</f>
        <v/>
      </c>
    </row>
    <row r="10">
      <c r="A10" s="3" t="inlineStr">
        <is>
          <t>Southampton</t>
        </is>
      </c>
      <c r="B10" s="5">
        <f>'Southampton'!$E$16</f>
        <v/>
      </c>
      <c r="C10" s="4">
        <f>'Southampton'!$N$2</f>
        <v/>
      </c>
      <c r="D10" s="4">
        <f>'Southampton'!$N$3</f>
        <v/>
      </c>
      <c r="E10" s="4">
        <f>'Southampton'!$N$4</f>
        <v/>
      </c>
      <c r="F10" s="4">
        <f>'Southampton'!$N$5</f>
        <v/>
      </c>
      <c r="G10" s="4">
        <f>'Southampton'!$N$6</f>
        <v/>
      </c>
      <c r="H10" s="4">
        <f>'Southampton'!$N$7</f>
        <v/>
      </c>
      <c r="I10" s="4">
        <f>'Southampton'!$N$8</f>
        <v/>
      </c>
    </row>
    <row r="11">
      <c r="A11" s="3" t="inlineStr">
        <is>
          <t>Stoke</t>
        </is>
      </c>
      <c r="B11" s="5">
        <f>'Stoke'!$E$16</f>
        <v/>
      </c>
      <c r="C11" s="4">
        <f>'Stoke'!$N$2</f>
        <v/>
      </c>
      <c r="D11" s="4">
        <f>'Stoke'!$N$3</f>
        <v/>
      </c>
      <c r="E11" s="4">
        <f>'Stoke'!$N$4</f>
        <v/>
      </c>
      <c r="F11" s="4">
        <f>'Stoke'!$N$5</f>
        <v/>
      </c>
      <c r="G11" s="4">
        <f>'Stoke'!$N$6</f>
        <v/>
      </c>
      <c r="H11" s="4">
        <f>'Stoke'!$N$7</f>
        <v/>
      </c>
      <c r="I11" s="4">
        <f>'Stoke'!$N$8</f>
        <v/>
      </c>
    </row>
    <row r="12">
      <c r="A12" s="3" t="inlineStr">
        <is>
          <t>Bristol City</t>
        </is>
      </c>
      <c r="B12" s="5">
        <f>'Bristol City'!$E$15</f>
        <v/>
      </c>
      <c r="C12" s="4">
        <f>'Bristol City'!$N$2</f>
        <v/>
      </c>
      <c r="D12" s="4">
        <f>'Bristol City'!$N$3</f>
        <v/>
      </c>
      <c r="E12" s="4">
        <f>'Bristol City'!$N$4</f>
        <v/>
      </c>
      <c r="F12" s="4">
        <f>'Bristol City'!$N$5</f>
        <v/>
      </c>
      <c r="G12" s="4">
        <f>'Bristol City'!$N$6</f>
        <v/>
      </c>
      <c r="H12" s="4">
        <f>'Bristol City'!$N$7</f>
        <v/>
      </c>
      <c r="I12" s="3" t="n"/>
    </row>
    <row r="13">
      <c r="A13" s="3" t="inlineStr">
        <is>
          <t>Portsmouth</t>
        </is>
      </c>
      <c r="B13" s="5">
        <f>'Portsmouth'!$E$15</f>
        <v/>
      </c>
      <c r="C13" s="4">
        <f>'Portsmouth'!$N$2</f>
        <v/>
      </c>
      <c r="D13" s="4">
        <f>'Portsmouth'!$N$3</f>
        <v/>
      </c>
      <c r="E13" s="4">
        <f>'Portsmouth'!$N$4</f>
        <v/>
      </c>
      <c r="F13" s="4">
        <f>'Portsmouth'!$N$5</f>
        <v/>
      </c>
      <c r="G13" s="4">
        <f>'Portsmouth'!$N$6</f>
        <v/>
      </c>
      <c r="H13" s="4">
        <f>'Portsmouth'!$N$7</f>
        <v/>
      </c>
      <c r="I13" s="3" t="n"/>
    </row>
    <row r="14">
      <c r="A14" s="3" t="inlineStr">
        <is>
          <t>Wrexham</t>
        </is>
      </c>
      <c r="B14" s="5">
        <f>'Wrexham'!$E$16</f>
        <v/>
      </c>
      <c r="C14" s="4">
        <f>'Wrexham'!$N$2</f>
        <v/>
      </c>
      <c r="D14" s="4">
        <f>'Wrexham'!$N$3</f>
        <v/>
      </c>
      <c r="E14" s="4">
        <f>'Wrexham'!$N$4</f>
        <v/>
      </c>
      <c r="F14" s="4">
        <f>'Wrexham'!$N$5</f>
        <v/>
      </c>
      <c r="G14" s="4">
        <f>'Wrexham'!$N$6</f>
        <v/>
      </c>
      <c r="H14" s="4">
        <f>'Wrexham'!$N$7</f>
        <v/>
      </c>
      <c r="I14" s="4">
        <f>'Wrexham'!$N$8</f>
        <v/>
      </c>
    </row>
    <row r="15">
      <c r="A15" s="3" t="inlineStr">
        <is>
          <t>Norwich</t>
        </is>
      </c>
      <c r="B15" s="5">
        <f>'Norwich'!$E$16</f>
        <v/>
      </c>
      <c r="C15" s="4">
        <f>'Norwich'!$N$2</f>
        <v/>
      </c>
      <c r="D15" s="4">
        <f>'Norwich'!$N$3</f>
        <v/>
      </c>
      <c r="E15" s="4">
        <f>'Norwich'!$N$4</f>
        <v/>
      </c>
      <c r="F15" s="4">
        <f>'Norwich'!$N$5</f>
        <v/>
      </c>
      <c r="G15" s="4">
        <f>'Norwich'!$N$6</f>
        <v/>
      </c>
      <c r="H15" s="4">
        <f>'Norwich'!$N$7</f>
        <v/>
      </c>
      <c r="I15" s="4">
        <f>'Norwich'!$N$8</f>
        <v/>
      </c>
    </row>
    <row r="16">
      <c r="A16" s="3" t="inlineStr">
        <is>
          <t>Wolves</t>
        </is>
      </c>
      <c r="B16" s="5">
        <f>'Wolves'!$E$15</f>
        <v/>
      </c>
      <c r="C16" s="4">
        <f>'Wolves'!$N$2</f>
        <v/>
      </c>
      <c r="D16" s="4">
        <f>'Wolves'!$N$3</f>
        <v/>
      </c>
      <c r="E16" s="4">
        <f>'Wolves'!$N$4</f>
        <v/>
      </c>
      <c r="F16" s="4">
        <f>'Wolves'!$N$5</f>
        <v/>
      </c>
      <c r="G16" s="4">
        <f>'Wolves'!$N$6</f>
        <v/>
      </c>
      <c r="H16" s="4">
        <f>'Wolves'!$N$7</f>
        <v/>
      </c>
      <c r="I16" s="3" t="n"/>
    </row>
    <row r="17">
      <c r="A17" s="3" t="inlineStr">
        <is>
          <t>Middlesbrough</t>
        </is>
      </c>
      <c r="B17" s="5">
        <f>'Middlesbrough'!$E$15</f>
        <v/>
      </c>
      <c r="C17" s="4">
        <f>'Middlesbrough'!$N$2</f>
        <v/>
      </c>
      <c r="D17" s="4">
        <f>'Middlesbrough'!$N$3</f>
        <v/>
      </c>
      <c r="E17" s="4">
        <f>'Middlesbrough'!$N$4</f>
        <v/>
      </c>
      <c r="F17" s="4">
        <f>'Middlesbrough'!$N$5</f>
        <v/>
      </c>
      <c r="G17" s="4">
        <f>'Middlesbrough'!$N$6</f>
        <v/>
      </c>
      <c r="H17" s="4">
        <f>'Middlesbrough'!$N$7</f>
        <v/>
      </c>
      <c r="I17" s="3" t="n"/>
    </row>
    <row r="18">
      <c r="A18" s="3" t="inlineStr">
        <is>
          <t>Queens Park Rangers</t>
        </is>
      </c>
      <c r="B18" s="5">
        <f>'Queens Park Rangers'!$E$16</f>
        <v/>
      </c>
      <c r="C18" s="4">
        <f>'Queens Park Rangers'!$N$2</f>
        <v/>
      </c>
      <c r="D18" s="4">
        <f>'Queens Park Rangers'!$N$3</f>
        <v/>
      </c>
      <c r="E18" s="4">
        <f>'Queens Park Rangers'!$N$4</f>
        <v/>
      </c>
      <c r="F18" s="4">
        <f>'Queens Park Rangers'!$N$5</f>
        <v/>
      </c>
      <c r="G18" s="4">
        <f>'Queens Park Rangers'!$N$6</f>
        <v/>
      </c>
      <c r="H18" s="4">
        <f>'Queens Park Rangers'!$N$7</f>
        <v/>
      </c>
      <c r="I18" s="4">
        <f>'Queens Park Rangers'!$N$8</f>
        <v/>
      </c>
    </row>
    <row r="19">
      <c r="A19" s="3" t="inlineStr">
        <is>
          <t>Cardiff</t>
        </is>
      </c>
      <c r="B19" s="5">
        <f>'Cardiff'!$E$16</f>
        <v/>
      </c>
      <c r="C19" s="4">
        <f>'Cardiff'!$N$2</f>
        <v/>
      </c>
      <c r="D19" s="4">
        <f>'Cardiff'!$N$3</f>
        <v/>
      </c>
      <c r="E19" s="4">
        <f>'Cardiff'!$N$4</f>
        <v/>
      </c>
      <c r="F19" s="4">
        <f>'Cardiff'!$N$5</f>
        <v/>
      </c>
      <c r="G19" s="4">
        <f>'Cardiff'!$N$6</f>
        <v/>
      </c>
      <c r="H19" s="4">
        <f>'Cardiff'!$N$7</f>
        <v/>
      </c>
      <c r="I19" s="4">
        <f>'Cardiff'!$N$8</f>
        <v/>
      </c>
    </row>
    <row r="20">
      <c r="A20" s="3" t="inlineStr">
        <is>
          <t>West Ham</t>
        </is>
      </c>
      <c r="B20" s="5">
        <f>'West Ham'!$E$16</f>
        <v/>
      </c>
      <c r="C20" s="4">
        <f>'West Ham'!$N$2</f>
        <v/>
      </c>
      <c r="D20" s="4">
        <f>'West Ham'!$N$3</f>
        <v/>
      </c>
      <c r="E20" s="4">
        <f>'West Ham'!$N$4</f>
        <v/>
      </c>
      <c r="F20" s="4">
        <f>'West Ham'!$N$5</f>
        <v/>
      </c>
      <c r="G20" s="4">
        <f>'West Ham'!$N$6</f>
        <v/>
      </c>
      <c r="H20" s="4">
        <f>'West Ham'!$N$7</f>
        <v/>
      </c>
      <c r="I20" s="4">
        <f>'West Ham'!$N$8</f>
        <v/>
      </c>
    </row>
    <row r="21">
      <c r="A21" s="3" t="inlineStr">
        <is>
          <t>Birmingham</t>
        </is>
      </c>
      <c r="B21" s="5">
        <f>'Birmingham'!$E$16</f>
        <v/>
      </c>
      <c r="C21" s="4">
        <f>'Birmingham'!$N$2</f>
        <v/>
      </c>
      <c r="D21" s="4">
        <f>'Birmingham'!$N$3</f>
        <v/>
      </c>
      <c r="E21" s="4">
        <f>'Birmingham'!$N$4</f>
        <v/>
      </c>
      <c r="F21" s="4">
        <f>'Birmingham'!$N$5</f>
        <v/>
      </c>
      <c r="G21" s="4">
        <f>'Birmingham'!$N$6</f>
        <v/>
      </c>
      <c r="H21" s="4">
        <f>'Birmingham'!$N$7</f>
        <v/>
      </c>
      <c r="I21" s="4">
        <f>'Birmingham'!$N$8</f>
        <v/>
      </c>
    </row>
    <row r="22">
      <c r="A22" s="3" t="inlineStr">
        <is>
          <t>Preston North End</t>
        </is>
      </c>
      <c r="B22" s="5">
        <f>'Preston North End'!$E$16</f>
        <v/>
      </c>
      <c r="C22" s="4">
        <f>'Preston North End'!$N$2</f>
        <v/>
      </c>
      <c r="D22" s="4">
        <f>'Preston North End'!$N$3</f>
        <v/>
      </c>
      <c r="E22" s="4">
        <f>'Preston North End'!$N$4</f>
        <v/>
      </c>
      <c r="F22" s="4">
        <f>'Preston North End'!$N$5</f>
        <v/>
      </c>
      <c r="G22" s="4">
        <f>'Preston North End'!$N$6</f>
        <v/>
      </c>
      <c r="H22" s="4">
        <f>'Preston North End'!$N$7</f>
        <v/>
      </c>
      <c r="I22" s="4">
        <f>'Preston North End'!$N$8</f>
        <v/>
      </c>
    </row>
    <row r="23">
      <c r="A23" s="3" t="inlineStr">
        <is>
          <t>Millwall</t>
        </is>
      </c>
      <c r="B23" s="5">
        <f>'Millwall'!$E$15</f>
        <v/>
      </c>
      <c r="C23" s="4">
        <f>'Millwall'!$N$2</f>
        <v/>
      </c>
      <c r="D23" s="4">
        <f>'Millwall'!$N$3</f>
        <v/>
      </c>
      <c r="E23" s="4">
        <f>'Millwall'!$N$4</f>
        <v/>
      </c>
      <c r="F23" s="4">
        <f>'Millwall'!$N$5</f>
        <v/>
      </c>
      <c r="G23" s="4">
        <f>'Millwall'!$N$6</f>
        <v/>
      </c>
      <c r="H23" s="4">
        <f>'Millwall'!$N$7</f>
        <v/>
      </c>
      <c r="I23" s="3" t="n"/>
    </row>
    <row r="24">
      <c r="A24" s="3" t="inlineStr">
        <is>
          <t>Swansea</t>
        </is>
      </c>
      <c r="B24" s="5">
        <f>'Swansea'!$E$16</f>
        <v/>
      </c>
      <c r="C24" s="4">
        <f>'Swansea'!$N$2</f>
        <v/>
      </c>
      <c r="D24" s="4">
        <f>'Swansea'!$N$3</f>
        <v/>
      </c>
      <c r="E24" s="4">
        <f>'Swansea'!$N$4</f>
        <v/>
      </c>
      <c r="F24" s="4">
        <f>'Swansea'!$N$5</f>
        <v/>
      </c>
      <c r="G24" s="4">
        <f>'Swansea'!$N$6</f>
        <v/>
      </c>
      <c r="H24" s="4">
        <f>'Swansea'!$N$7</f>
        <v/>
      </c>
      <c r="I24" s="4">
        <f>'Swansea'!$N$8</f>
        <v/>
      </c>
    </row>
    <row r="25">
      <c r="A25" s="3" t="inlineStr">
        <is>
          <t>Lincoln</t>
        </is>
      </c>
      <c r="B25" s="5">
        <f>'Lincoln'!$E$15</f>
        <v/>
      </c>
      <c r="C25" s="4">
        <f>'Lincoln'!$N$2</f>
        <v/>
      </c>
      <c r="D25" s="4">
        <f>'Lincoln'!$N$3</f>
        <v/>
      </c>
      <c r="E25" s="4">
        <f>'Lincoln'!$N$4</f>
        <v/>
      </c>
      <c r="F25" s="4">
        <f>'Lincoln'!$N$5</f>
        <v/>
      </c>
      <c r="G25" s="4">
        <f>'Lincoln'!$N$6</f>
        <v/>
      </c>
      <c r="H25" s="4">
        <f>'Lincoln'!$N$7</f>
        <v/>
      </c>
      <c r="I25" s="3" t="n"/>
    </row>
  </sheetData>
  <conditionalFormatting sqref="B2:I25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</cols>
  <sheetData>
    <row r="1" ht="30" customHeight="1">
      <c r="A1" s="1" t="inlineStr">
        <is>
          <t>Team</t>
        </is>
      </c>
      <c r="B1" s="1" t="inlineStr">
        <is>
          <t>Average</t>
        </is>
      </c>
      <c r="C1" s="1" t="inlineStr">
        <is>
          <t>MW1</t>
        </is>
      </c>
      <c r="D1" s="1" t="inlineStr">
        <is>
          <t>MW2</t>
        </is>
      </c>
      <c r="E1" s="1" t="inlineStr">
        <is>
          <t>MW3</t>
        </is>
      </c>
      <c r="F1" s="1" t="inlineStr">
        <is>
          <t>MW4</t>
        </is>
      </c>
      <c r="G1" s="1" t="inlineStr">
        <is>
          <t>MW5</t>
        </is>
      </c>
      <c r="H1" s="1" t="inlineStr">
        <is>
          <t>MW6</t>
        </is>
      </c>
      <c r="I1" s="1" t="inlineStr">
        <is>
          <t>MW7</t>
        </is>
      </c>
    </row>
    <row r="2">
      <c r="A2" s="3" t="inlineStr">
        <is>
          <t>Charlton</t>
        </is>
      </c>
      <c r="B2" s="5">
        <f>'Charlton'!$E$17</f>
        <v/>
      </c>
      <c r="C2" s="4">
        <f>'Charlton'!$O$2</f>
        <v/>
      </c>
      <c r="D2" s="4">
        <f>'Charlton'!$O$3</f>
        <v/>
      </c>
      <c r="E2" s="4">
        <f>'Charlton'!$O$4</f>
        <v/>
      </c>
      <c r="F2" s="4">
        <f>'Charlton'!$O$5</f>
        <v/>
      </c>
      <c r="G2" s="4">
        <f>'Charlton'!$O$6</f>
        <v/>
      </c>
      <c r="H2" s="4">
        <f>'Charlton'!$O$7</f>
        <v/>
      </c>
      <c r="I2" s="4">
        <f>'Charlton'!$O$8</f>
        <v/>
      </c>
    </row>
    <row r="3">
      <c r="A3" s="3" t="inlineStr">
        <is>
          <t>Wrexham</t>
        </is>
      </c>
      <c r="B3" s="5">
        <f>'Wrexham'!$E$17</f>
        <v/>
      </c>
      <c r="C3" s="4">
        <f>'Wrexham'!$O$2</f>
        <v/>
      </c>
      <c r="D3" s="4">
        <f>'Wrexham'!$O$3</f>
        <v/>
      </c>
      <c r="E3" s="4">
        <f>'Wrexham'!$O$4</f>
        <v/>
      </c>
      <c r="F3" s="4">
        <f>'Wrexham'!$O$5</f>
        <v/>
      </c>
      <c r="G3" s="4">
        <f>'Wrexham'!$O$6</f>
        <v/>
      </c>
      <c r="H3" s="4">
        <f>'Wrexham'!$O$7</f>
        <v/>
      </c>
      <c r="I3" s="4">
        <f>'Wrexham'!$O$8</f>
        <v/>
      </c>
    </row>
    <row r="4">
      <c r="A4" s="3" t="inlineStr">
        <is>
          <t>Lincoln</t>
        </is>
      </c>
      <c r="B4" s="5">
        <f>'Lincoln'!$E$16</f>
        <v/>
      </c>
      <c r="C4" s="4">
        <f>'Lincoln'!$O$2</f>
        <v/>
      </c>
      <c r="D4" s="4">
        <f>'Lincoln'!$O$3</f>
        <v/>
      </c>
      <c r="E4" s="4">
        <f>'Lincoln'!$O$4</f>
        <v/>
      </c>
      <c r="F4" s="4">
        <f>'Lincoln'!$O$5</f>
        <v/>
      </c>
      <c r="G4" s="4">
        <f>'Lincoln'!$O$6</f>
        <v/>
      </c>
      <c r="H4" s="4">
        <f>'Lincoln'!$O$7</f>
        <v/>
      </c>
      <c r="I4" s="3" t="n"/>
    </row>
    <row r="5">
      <c r="A5" s="3" t="inlineStr">
        <is>
          <t>Blackburn</t>
        </is>
      </c>
      <c r="B5" s="5">
        <f>'Blackburn'!$E$17</f>
        <v/>
      </c>
      <c r="C5" s="4">
        <f>'Blackburn'!$O$2</f>
        <v/>
      </c>
      <c r="D5" s="4">
        <f>'Blackburn'!$O$3</f>
        <v/>
      </c>
      <c r="E5" s="4">
        <f>'Blackburn'!$O$4</f>
        <v/>
      </c>
      <c r="F5" s="4">
        <f>'Blackburn'!$O$5</f>
        <v/>
      </c>
      <c r="G5" s="4">
        <f>'Blackburn'!$O$6</f>
        <v/>
      </c>
      <c r="H5" s="4">
        <f>'Blackburn'!$O$7</f>
        <v/>
      </c>
      <c r="I5" s="4">
        <f>'Blackburn'!$O$8</f>
        <v/>
      </c>
    </row>
    <row r="6">
      <c r="A6" s="3" t="inlineStr">
        <is>
          <t>Sheffield United</t>
        </is>
      </c>
      <c r="B6" s="5">
        <f>'Sheffield United'!$E$17</f>
        <v/>
      </c>
      <c r="C6" s="4">
        <f>'Sheffield United'!$O$2</f>
        <v/>
      </c>
      <c r="D6" s="4">
        <f>'Sheffield United'!$O$3</f>
        <v/>
      </c>
      <c r="E6" s="4">
        <f>'Sheffield United'!$O$4</f>
        <v/>
      </c>
      <c r="F6" s="4">
        <f>'Sheffield United'!$O$5</f>
        <v/>
      </c>
      <c r="G6" s="4">
        <f>'Sheffield United'!$O$6</f>
        <v/>
      </c>
      <c r="H6" s="4">
        <f>'Sheffield United'!$O$7</f>
        <v/>
      </c>
      <c r="I6" s="4">
        <f>'Sheffield United'!$O$8</f>
        <v/>
      </c>
    </row>
    <row r="7">
      <c r="A7" s="3" t="inlineStr">
        <is>
          <t>Queens Park Rangers</t>
        </is>
      </c>
      <c r="B7" s="5">
        <f>'Queens Park Rangers'!$E$17</f>
        <v/>
      </c>
      <c r="C7" s="4">
        <f>'Queens Park Rangers'!$O$2</f>
        <v/>
      </c>
      <c r="D7" s="4">
        <f>'Queens Park Rangers'!$O$3</f>
        <v/>
      </c>
      <c r="E7" s="4">
        <f>'Queens Park Rangers'!$O$4</f>
        <v/>
      </c>
      <c r="F7" s="4">
        <f>'Queens Park Rangers'!$O$5</f>
        <v/>
      </c>
      <c r="G7" s="4">
        <f>'Queens Park Rangers'!$O$6</f>
        <v/>
      </c>
      <c r="H7" s="4">
        <f>'Queens Park Rangers'!$O$7</f>
        <v/>
      </c>
      <c r="I7" s="4">
        <f>'Queens Park Rangers'!$O$8</f>
        <v/>
      </c>
    </row>
    <row r="8">
      <c r="A8" s="3" t="inlineStr">
        <is>
          <t>West Bromwich Albion</t>
        </is>
      </c>
      <c r="B8" s="5">
        <f>'West Bromwich Albion'!$E$17</f>
        <v/>
      </c>
      <c r="C8" s="4">
        <f>'West Bromwich Albion'!$O$2</f>
        <v/>
      </c>
      <c r="D8" s="4">
        <f>'West Bromwich Albion'!$O$3</f>
        <v/>
      </c>
      <c r="E8" s="4">
        <f>'West Bromwich Albion'!$O$4</f>
        <v/>
      </c>
      <c r="F8" s="4">
        <f>'West Bromwich Albion'!$O$5</f>
        <v/>
      </c>
      <c r="G8" s="4">
        <f>'West Bromwich Albion'!$O$6</f>
        <v/>
      </c>
      <c r="H8" s="4">
        <f>'West Bromwich Albion'!$O$7</f>
        <v/>
      </c>
      <c r="I8" s="4">
        <f>'West Bromwich Albion'!$O$8</f>
        <v/>
      </c>
    </row>
    <row r="9">
      <c r="A9" s="3" t="inlineStr">
        <is>
          <t>Preston North End</t>
        </is>
      </c>
      <c r="B9" s="5">
        <f>'Preston North End'!$E$17</f>
        <v/>
      </c>
      <c r="C9" s="4">
        <f>'Preston North End'!$O$2</f>
        <v/>
      </c>
      <c r="D9" s="4">
        <f>'Preston North End'!$O$3</f>
        <v/>
      </c>
      <c r="E9" s="4">
        <f>'Preston North End'!$O$4</f>
        <v/>
      </c>
      <c r="F9" s="4">
        <f>'Preston North End'!$O$5</f>
        <v/>
      </c>
      <c r="G9" s="4">
        <f>'Preston North End'!$O$6</f>
        <v/>
      </c>
      <c r="H9" s="4">
        <f>'Preston North End'!$O$7</f>
        <v/>
      </c>
      <c r="I9" s="4">
        <f>'Preston North End'!$O$8</f>
        <v/>
      </c>
    </row>
    <row r="10">
      <c r="A10" s="3" t="inlineStr">
        <is>
          <t>Watford</t>
        </is>
      </c>
      <c r="B10" s="5">
        <f>'Watford'!$E$17</f>
        <v/>
      </c>
      <c r="C10" s="4">
        <f>'Watford'!$O$2</f>
        <v/>
      </c>
      <c r="D10" s="4">
        <f>'Watford'!$O$3</f>
        <v/>
      </c>
      <c r="E10" s="4">
        <f>'Watford'!$O$4</f>
        <v/>
      </c>
      <c r="F10" s="4">
        <f>'Watford'!$O$5</f>
        <v/>
      </c>
      <c r="G10" s="4">
        <f>'Watford'!$O$6</f>
        <v/>
      </c>
      <c r="H10" s="4">
        <f>'Watford'!$O$7</f>
        <v/>
      </c>
      <c r="I10" s="4">
        <f>'Watford'!$O$8</f>
        <v/>
      </c>
    </row>
    <row r="11">
      <c r="A11" s="3" t="inlineStr">
        <is>
          <t>Stoke</t>
        </is>
      </c>
      <c r="B11" s="5">
        <f>'Stoke'!$E$17</f>
        <v/>
      </c>
      <c r="C11" s="4">
        <f>'Stoke'!$O$2</f>
        <v/>
      </c>
      <c r="D11" s="4">
        <f>'Stoke'!$O$3</f>
        <v/>
      </c>
      <c r="E11" s="4">
        <f>'Stoke'!$O$4</f>
        <v/>
      </c>
      <c r="F11" s="4">
        <f>'Stoke'!$O$5</f>
        <v/>
      </c>
      <c r="G11" s="4">
        <f>'Stoke'!$O$6</f>
        <v/>
      </c>
      <c r="H11" s="4">
        <f>'Stoke'!$O$7</f>
        <v/>
      </c>
      <c r="I11" s="4">
        <f>'Stoke'!$O$8</f>
        <v/>
      </c>
    </row>
    <row r="12">
      <c r="A12" s="3" t="inlineStr">
        <is>
          <t>Portsmouth</t>
        </is>
      </c>
      <c r="B12" s="5">
        <f>'Portsmouth'!$E$16</f>
        <v/>
      </c>
      <c r="C12" s="4">
        <f>'Portsmouth'!$O$2</f>
        <v/>
      </c>
      <c r="D12" s="4">
        <f>'Portsmouth'!$O$3</f>
        <v/>
      </c>
      <c r="E12" s="4">
        <f>'Portsmouth'!$O$4</f>
        <v/>
      </c>
      <c r="F12" s="4">
        <f>'Portsmouth'!$O$5</f>
        <v/>
      </c>
      <c r="G12" s="4">
        <f>'Portsmouth'!$O$6</f>
        <v/>
      </c>
      <c r="H12" s="4">
        <f>'Portsmouth'!$O$7</f>
        <v/>
      </c>
      <c r="I12" s="3" t="n"/>
    </row>
    <row r="13">
      <c r="A13" s="3" t="inlineStr">
        <is>
          <t>Swansea</t>
        </is>
      </c>
      <c r="B13" s="5">
        <f>'Swansea'!$E$17</f>
        <v/>
      </c>
      <c r="C13" s="4">
        <f>'Swansea'!$O$2</f>
        <v/>
      </c>
      <c r="D13" s="4">
        <f>'Swansea'!$O$3</f>
        <v/>
      </c>
      <c r="E13" s="4">
        <f>'Swansea'!$O$4</f>
        <v/>
      </c>
      <c r="F13" s="4">
        <f>'Swansea'!$O$5</f>
        <v/>
      </c>
      <c r="G13" s="4">
        <f>'Swansea'!$O$6</f>
        <v/>
      </c>
      <c r="H13" s="4">
        <f>'Swansea'!$O$7</f>
        <v/>
      </c>
      <c r="I13" s="4">
        <f>'Swansea'!$O$8</f>
        <v/>
      </c>
    </row>
    <row r="14">
      <c r="A14" s="3" t="inlineStr">
        <is>
          <t>Burnley</t>
        </is>
      </c>
      <c r="B14" s="5">
        <f>'Burnley'!$E$17</f>
        <v/>
      </c>
      <c r="C14" s="4">
        <f>'Burnley'!$O$2</f>
        <v/>
      </c>
      <c r="D14" s="4">
        <f>'Burnley'!$O$3</f>
        <v/>
      </c>
      <c r="E14" s="4">
        <f>'Burnley'!$O$4</f>
        <v/>
      </c>
      <c r="F14" s="4">
        <f>'Burnley'!$O$5</f>
        <v/>
      </c>
      <c r="G14" s="4">
        <f>'Burnley'!$O$6</f>
        <v/>
      </c>
      <c r="H14" s="4">
        <f>'Burnley'!$O$7</f>
        <v/>
      </c>
      <c r="I14" s="4">
        <f>'Burnley'!$O$8</f>
        <v/>
      </c>
    </row>
    <row r="15">
      <c r="A15" s="3" t="inlineStr">
        <is>
          <t>Wolves</t>
        </is>
      </c>
      <c r="B15" s="5">
        <f>'Wolves'!$E$16</f>
        <v/>
      </c>
      <c r="C15" s="4">
        <f>'Wolves'!$O$2</f>
        <v/>
      </c>
      <c r="D15" s="4">
        <f>'Wolves'!$O$3</f>
        <v/>
      </c>
      <c r="E15" s="4">
        <f>'Wolves'!$O$4</f>
        <v/>
      </c>
      <c r="F15" s="4">
        <f>'Wolves'!$O$5</f>
        <v/>
      </c>
      <c r="G15" s="4">
        <f>'Wolves'!$O$6</f>
        <v/>
      </c>
      <c r="H15" s="4">
        <f>'Wolves'!$O$7</f>
        <v/>
      </c>
      <c r="I15" s="3" t="n"/>
    </row>
    <row r="16">
      <c r="A16" s="3" t="inlineStr">
        <is>
          <t>Middlesbrough</t>
        </is>
      </c>
      <c r="B16" s="5">
        <f>'Middlesbrough'!$E$16</f>
        <v/>
      </c>
      <c r="C16" s="4">
        <f>'Middlesbrough'!$O$2</f>
        <v/>
      </c>
      <c r="D16" s="4">
        <f>'Middlesbrough'!$O$3</f>
        <v/>
      </c>
      <c r="E16" s="4">
        <f>'Middlesbrough'!$O$4</f>
        <v/>
      </c>
      <c r="F16" s="4">
        <f>'Middlesbrough'!$O$5</f>
        <v/>
      </c>
      <c r="G16" s="4">
        <f>'Middlesbrough'!$O$6</f>
        <v/>
      </c>
      <c r="H16" s="4">
        <f>'Middlesbrough'!$O$7</f>
        <v/>
      </c>
      <c r="I16" s="3" t="n"/>
    </row>
    <row r="17">
      <c r="A17" s="3" t="inlineStr">
        <is>
          <t>Bristol City</t>
        </is>
      </c>
      <c r="B17" s="5">
        <f>'Bristol City'!$E$16</f>
        <v/>
      </c>
      <c r="C17" s="4">
        <f>'Bristol City'!$O$2</f>
        <v/>
      </c>
      <c r="D17" s="4">
        <f>'Bristol City'!$O$3</f>
        <v/>
      </c>
      <c r="E17" s="4">
        <f>'Bristol City'!$O$4</f>
        <v/>
      </c>
      <c r="F17" s="4">
        <f>'Bristol City'!$O$5</f>
        <v/>
      </c>
      <c r="G17" s="4">
        <f>'Bristol City'!$O$6</f>
        <v/>
      </c>
      <c r="H17" s="4">
        <f>'Bristol City'!$O$7</f>
        <v/>
      </c>
      <c r="I17" s="3" t="n"/>
    </row>
    <row r="18">
      <c r="A18" s="3" t="inlineStr">
        <is>
          <t>Birmingham</t>
        </is>
      </c>
      <c r="B18" s="5">
        <f>'Birmingham'!$E$17</f>
        <v/>
      </c>
      <c r="C18" s="4">
        <f>'Birmingham'!$O$2</f>
        <v/>
      </c>
      <c r="D18" s="4">
        <f>'Birmingham'!$O$3</f>
        <v/>
      </c>
      <c r="E18" s="4">
        <f>'Birmingham'!$O$4</f>
        <v/>
      </c>
      <c r="F18" s="4">
        <f>'Birmingham'!$O$5</f>
        <v/>
      </c>
      <c r="G18" s="4">
        <f>'Birmingham'!$O$6</f>
        <v/>
      </c>
      <c r="H18" s="4">
        <f>'Birmingham'!$O$7</f>
        <v/>
      </c>
      <c r="I18" s="4">
        <f>'Birmingham'!$O$8</f>
        <v/>
      </c>
    </row>
    <row r="19">
      <c r="A19" s="3" t="inlineStr">
        <is>
          <t>Bolton Wanderers</t>
        </is>
      </c>
      <c r="B19" s="5">
        <f>'Bolton Wanderers'!$E$17</f>
        <v/>
      </c>
      <c r="C19" s="4">
        <f>'Bolton Wanderers'!$O$2</f>
        <v/>
      </c>
      <c r="D19" s="4">
        <f>'Bolton Wanderers'!$O$3</f>
        <v/>
      </c>
      <c r="E19" s="4">
        <f>'Bolton Wanderers'!$O$4</f>
        <v/>
      </c>
      <c r="F19" s="4">
        <f>'Bolton Wanderers'!$O$5</f>
        <v/>
      </c>
      <c r="G19" s="4">
        <f>'Bolton Wanderers'!$O$6</f>
        <v/>
      </c>
      <c r="H19" s="4">
        <f>'Bolton Wanderers'!$O$7</f>
        <v/>
      </c>
      <c r="I19" s="4">
        <f>'Bolton Wanderers'!$O$8</f>
        <v/>
      </c>
    </row>
    <row r="20">
      <c r="A20" s="3" t="inlineStr">
        <is>
          <t>Southampton</t>
        </is>
      </c>
      <c r="B20" s="5">
        <f>'Southampton'!$E$17</f>
        <v/>
      </c>
      <c r="C20" s="4">
        <f>'Southampton'!$O$2</f>
        <v/>
      </c>
      <c r="D20" s="4">
        <f>'Southampton'!$O$3</f>
        <v/>
      </c>
      <c r="E20" s="4">
        <f>'Southampton'!$O$4</f>
        <v/>
      </c>
      <c r="F20" s="4">
        <f>'Southampton'!$O$5</f>
        <v/>
      </c>
      <c r="G20" s="4">
        <f>'Southampton'!$O$6</f>
        <v/>
      </c>
      <c r="H20" s="4">
        <f>'Southampton'!$O$7</f>
        <v/>
      </c>
      <c r="I20" s="4">
        <f>'Southampton'!$O$8</f>
        <v/>
      </c>
    </row>
    <row r="21">
      <c r="A21" s="3" t="inlineStr">
        <is>
          <t>West Ham</t>
        </is>
      </c>
      <c r="B21" s="5">
        <f>'West Ham'!$E$17</f>
        <v/>
      </c>
      <c r="C21" s="4">
        <f>'West Ham'!$O$2</f>
        <v/>
      </c>
      <c r="D21" s="4">
        <f>'West Ham'!$O$3</f>
        <v/>
      </c>
      <c r="E21" s="4">
        <f>'West Ham'!$O$4</f>
        <v/>
      </c>
      <c r="F21" s="4">
        <f>'West Ham'!$O$5</f>
        <v/>
      </c>
      <c r="G21" s="4">
        <f>'West Ham'!$O$6</f>
        <v/>
      </c>
      <c r="H21" s="4">
        <f>'West Ham'!$O$7</f>
        <v/>
      </c>
      <c r="I21" s="4">
        <f>'West Ham'!$O$8</f>
        <v/>
      </c>
    </row>
    <row r="22">
      <c r="A22" s="3" t="inlineStr">
        <is>
          <t>Derby</t>
        </is>
      </c>
      <c r="B22" s="5">
        <f>'Derby'!$E$17</f>
        <v/>
      </c>
      <c r="C22" s="4">
        <f>'Derby'!$O$2</f>
        <v/>
      </c>
      <c r="D22" s="4">
        <f>'Derby'!$O$3</f>
        <v/>
      </c>
      <c r="E22" s="4">
        <f>'Derby'!$O$4</f>
        <v/>
      </c>
      <c r="F22" s="4">
        <f>'Derby'!$O$5</f>
        <v/>
      </c>
      <c r="G22" s="4">
        <f>'Derby'!$O$6</f>
        <v/>
      </c>
      <c r="H22" s="4">
        <f>'Derby'!$O$7</f>
        <v/>
      </c>
      <c r="I22" s="4">
        <f>'Derby'!$O$8</f>
        <v/>
      </c>
    </row>
    <row r="23">
      <c r="A23" s="3" t="inlineStr">
        <is>
          <t>Cardiff</t>
        </is>
      </c>
      <c r="B23" s="5">
        <f>'Cardiff'!$E$17</f>
        <v/>
      </c>
      <c r="C23" s="4">
        <f>'Cardiff'!$O$2</f>
        <v/>
      </c>
      <c r="D23" s="4">
        <f>'Cardiff'!$O$3</f>
        <v/>
      </c>
      <c r="E23" s="4">
        <f>'Cardiff'!$O$4</f>
        <v/>
      </c>
      <c r="F23" s="4">
        <f>'Cardiff'!$O$5</f>
        <v/>
      </c>
      <c r="G23" s="4">
        <f>'Cardiff'!$O$6</f>
        <v/>
      </c>
      <c r="H23" s="4">
        <f>'Cardiff'!$O$7</f>
        <v/>
      </c>
      <c r="I23" s="4">
        <f>'Cardiff'!$O$8</f>
        <v/>
      </c>
    </row>
    <row r="24">
      <c r="A24" s="3" t="inlineStr">
        <is>
          <t>Norwich</t>
        </is>
      </c>
      <c r="B24" s="5">
        <f>'Norwich'!$E$17</f>
        <v/>
      </c>
      <c r="C24" s="4">
        <f>'Norwich'!$O$2</f>
        <v/>
      </c>
      <c r="D24" s="4">
        <f>'Norwich'!$O$3</f>
        <v/>
      </c>
      <c r="E24" s="4">
        <f>'Norwich'!$O$4</f>
        <v/>
      </c>
      <c r="F24" s="4">
        <f>'Norwich'!$O$5</f>
        <v/>
      </c>
      <c r="G24" s="4">
        <f>'Norwich'!$O$6</f>
        <v/>
      </c>
      <c r="H24" s="4">
        <f>'Norwich'!$O$7</f>
        <v/>
      </c>
      <c r="I24" s="4">
        <f>'Norwich'!$O$8</f>
        <v/>
      </c>
    </row>
    <row r="25">
      <c r="A25" s="3" t="inlineStr">
        <is>
          <t>Millwall</t>
        </is>
      </c>
      <c r="B25" s="5">
        <f>'Millwall'!$E$16</f>
        <v/>
      </c>
      <c r="C25" s="4">
        <f>'Millwall'!$O$2</f>
        <v/>
      </c>
      <c r="D25" s="4">
        <f>'Millwall'!$O$3</f>
        <v/>
      </c>
      <c r="E25" s="4">
        <f>'Millwall'!$O$4</f>
        <v/>
      </c>
      <c r="F25" s="4">
        <f>'Millwall'!$O$5</f>
        <v/>
      </c>
      <c r="G25" s="4">
        <f>'Millwall'!$O$6</f>
        <v/>
      </c>
      <c r="H25" s="4">
        <f>'Millwall'!$O$7</f>
        <v/>
      </c>
      <c r="I25" s="3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Sheffield United</t>
        </is>
      </c>
      <c r="C2" s="3" t="inlineStr">
        <is>
          <t>Away</t>
        </is>
      </c>
      <c r="D2" s="3" t="n">
        <v>0</v>
      </c>
      <c r="E2" s="3" t="n">
        <v>0</v>
      </c>
      <c r="F2" s="4" t="n">
        <v>1.25</v>
      </c>
      <c r="G2" s="4" t="n">
        <v>1.34</v>
      </c>
      <c r="H2" s="4" t="n">
        <v>0.77</v>
      </c>
      <c r="I2" s="4" t="n">
        <v>0.29</v>
      </c>
      <c r="J2" s="4" t="n">
        <v>-0.48</v>
      </c>
      <c r="K2" s="4" t="n">
        <v>-1.05</v>
      </c>
      <c r="L2" s="4" t="n">
        <v>-0.48</v>
      </c>
      <c r="M2" s="4" t="n">
        <v>-1.05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Bristol City</t>
        </is>
      </c>
      <c r="C3" s="3" t="inlineStr">
        <is>
          <t>Home</t>
        </is>
      </c>
      <c r="D3" s="3" t="n">
        <v>2</v>
      </c>
      <c r="E3" s="3" t="n">
        <v>2</v>
      </c>
      <c r="F3" s="4" t="n">
        <v>1.76</v>
      </c>
      <c r="G3" s="4" t="n">
        <v>1.02</v>
      </c>
      <c r="H3" s="4" t="n">
        <v>1.5</v>
      </c>
      <c r="I3" s="4" t="n">
        <v>1.51</v>
      </c>
      <c r="J3" s="4" t="n">
        <v>-0.26</v>
      </c>
      <c r="K3" s="4" t="n">
        <v>0.49</v>
      </c>
      <c r="L3" s="4" t="n">
        <v>-0.37</v>
      </c>
      <c r="M3" s="4" t="n">
        <v>-0.28</v>
      </c>
      <c r="N3" s="4">
        <f>(H3-I3)-(F3-G3)</f>
        <v/>
      </c>
      <c r="O3" s="4">
        <f>(H3+I3)-(F3+G3)</f>
        <v/>
      </c>
    </row>
    <row r="4">
      <c r="A4" s="3" t="inlineStr">
        <is>
          <t>2026-08-28</t>
        </is>
      </c>
      <c r="B4" s="3" t="inlineStr">
        <is>
          <t>Wrexham</t>
        </is>
      </c>
      <c r="C4" s="3" t="inlineStr">
        <is>
          <t>Away</t>
        </is>
      </c>
      <c r="D4" s="3" t="n">
        <v>2</v>
      </c>
      <c r="E4" s="3" t="n">
        <v>1</v>
      </c>
      <c r="F4" s="4" t="n">
        <v>1.12</v>
      </c>
      <c r="G4" s="4" t="n">
        <v>1.45</v>
      </c>
      <c r="H4" s="4" t="n">
        <v>1.52</v>
      </c>
      <c r="I4" s="4" t="n">
        <v>1.37</v>
      </c>
      <c r="J4" s="4" t="n">
        <v>0.4</v>
      </c>
      <c r="K4" s="4" t="n">
        <v>-0.08</v>
      </c>
      <c r="L4" s="4" t="n">
        <v>-0.12</v>
      </c>
      <c r="M4" s="4" t="n">
        <v>-0.21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Southampton</t>
        </is>
      </c>
      <c r="C5" s="3" t="inlineStr">
        <is>
          <t>Home</t>
        </is>
      </c>
      <c r="D5" s="3" t="n">
        <v>1</v>
      </c>
      <c r="E5" s="3" t="n">
        <v>1</v>
      </c>
      <c r="F5" s="4" t="n">
        <v>1.42</v>
      </c>
      <c r="G5" s="4" t="n">
        <v>1.39</v>
      </c>
      <c r="H5" s="4" t="n">
        <v>1.55</v>
      </c>
      <c r="I5" s="4" t="n">
        <v>1.02</v>
      </c>
      <c r="J5" s="4" t="n">
        <v>0.13</v>
      </c>
      <c r="K5" s="4" t="n">
        <v>-0.37</v>
      </c>
      <c r="L5" s="4" t="n">
        <v>-0.05</v>
      </c>
      <c r="M5" s="4" t="n">
        <v>-0.25</v>
      </c>
      <c r="N5" s="4">
        <f>(H5-I5)-(F5-G5)</f>
        <v/>
      </c>
      <c r="O5" s="4">
        <f>(H5+I5)-(F5+G5)</f>
        <v/>
      </c>
    </row>
    <row r="6">
      <c r="A6" s="3" t="inlineStr">
        <is>
          <t>2026-09-06</t>
        </is>
      </c>
      <c r="B6" s="3" t="inlineStr">
        <is>
          <t>Wolves</t>
        </is>
      </c>
      <c r="C6" s="3" t="inlineStr">
        <is>
          <t>Home</t>
        </is>
      </c>
      <c r="D6" s="3" t="n">
        <v>2</v>
      </c>
      <c r="E6" s="3" t="n">
        <v>2</v>
      </c>
      <c r="F6" s="4" t="n">
        <v>1.18</v>
      </c>
      <c r="G6" s="4" t="n">
        <v>1.33</v>
      </c>
      <c r="H6" s="4" t="n">
        <v>1.39</v>
      </c>
      <c r="I6" s="4" t="n">
        <v>2.47</v>
      </c>
      <c r="J6" s="4" t="n">
        <v>0.21</v>
      </c>
      <c r="K6" s="4" t="n">
        <v>1.14</v>
      </c>
      <c r="L6" s="4" t="n">
        <v>-0</v>
      </c>
      <c r="M6" s="4" t="n">
        <v>0.03</v>
      </c>
      <c r="N6" s="4">
        <f>(H6-I6)-(F6-G6)</f>
        <v/>
      </c>
      <c r="O6" s="4">
        <f>(H6+I6)-(F6+G6)</f>
        <v/>
      </c>
    </row>
    <row r="7">
      <c r="A7" s="3" t="inlineStr">
        <is>
          <t>2026-09-09</t>
        </is>
      </c>
      <c r="B7" s="3" t="inlineStr">
        <is>
          <t>Norwich</t>
        </is>
      </c>
      <c r="C7" s="3" t="inlineStr">
        <is>
          <t>Away</t>
        </is>
      </c>
      <c r="D7" s="3" t="n">
        <v>1</v>
      </c>
      <c r="E7" s="3" t="n">
        <v>2</v>
      </c>
      <c r="F7" s="4" t="n">
        <v>1.13</v>
      </c>
      <c r="G7" s="4" t="n">
        <v>1.71</v>
      </c>
      <c r="H7" s="4" t="n">
        <v>1.63</v>
      </c>
      <c r="I7" s="4" t="n">
        <v>1.01</v>
      </c>
      <c r="J7" s="4" t="n">
        <v>0.5</v>
      </c>
      <c r="K7" s="4" t="n">
        <v>-0.7</v>
      </c>
      <c r="L7" s="4" t="n">
        <v>0.08</v>
      </c>
      <c r="M7" s="4" t="n">
        <v>-0.09</v>
      </c>
      <c r="N7" s="4">
        <f>(H7-I7)-(F7-G7)</f>
        <v/>
      </c>
      <c r="O7" s="4">
        <f>(H7+I7)-(F7+G7)</f>
        <v/>
      </c>
    </row>
    <row r="8">
      <c r="A8" s="3" t="inlineStr">
        <is>
          <t>2026-09-12</t>
        </is>
      </c>
      <c r="B8" s="3" t="inlineStr">
        <is>
          <t>Derby</t>
        </is>
      </c>
      <c r="C8" s="3" t="inlineStr">
        <is>
          <t>Away</t>
        </is>
      </c>
      <c r="D8" s="3" t="n">
        <v>2</v>
      </c>
      <c r="E8" s="3" t="n">
        <v>1</v>
      </c>
      <c r="F8" s="4" t="n">
        <v>1.44</v>
      </c>
      <c r="G8" s="4" t="n">
        <v>1.07</v>
      </c>
      <c r="H8" s="4" t="n">
        <v>3.17</v>
      </c>
      <c r="I8" s="4" t="n">
        <v>1.11</v>
      </c>
      <c r="J8" s="4" t="n">
        <v>1.73</v>
      </c>
      <c r="K8" s="4" t="n">
        <v>0.04</v>
      </c>
      <c r="L8" s="4" t="n">
        <v>0.45</v>
      </c>
      <c r="M8" s="4" t="n">
        <v>0.09</v>
      </c>
      <c r="N8" s="4">
        <f>(H8-I8)-(F8-G8)</f>
        <v/>
      </c>
      <c r="O8" s="4">
        <f>(H8+I8)-(F8+G8)</f>
        <v/>
      </c>
    </row>
    <row r="10">
      <c r="A10" s="6" t="inlineStr">
        <is>
          <t>Season summary</t>
        </is>
      </c>
    </row>
    <row r="11">
      <c r="A11" s="3" t="inlineStr">
        <is>
          <t>Matches played</t>
        </is>
      </c>
      <c r="E11" s="7">
        <f>COUNTA(A2:A8)</f>
        <v/>
      </c>
    </row>
    <row r="12">
      <c r="A12" s="3" t="inlineStr">
        <is>
          <t>Total goals for</t>
        </is>
      </c>
      <c r="E12" s="7">
        <f>SUM(D2:D8)</f>
        <v/>
      </c>
    </row>
    <row r="13">
      <c r="A13" s="3" t="inlineStr">
        <is>
          <t>Total goals against</t>
        </is>
      </c>
      <c r="E13" s="7">
        <f>SUM(E2:E8)</f>
        <v/>
      </c>
    </row>
    <row r="14">
      <c r="A14" s="3" t="inlineStr">
        <is>
          <t>Avg xG Delta (For)</t>
        </is>
      </c>
      <c r="E14" s="8">
        <f>AVERAGE(J2:J8)</f>
        <v/>
      </c>
    </row>
    <row r="15">
      <c r="A15" s="3" t="inlineStr">
        <is>
          <t>Avg xG Delta (Against)</t>
        </is>
      </c>
      <c r="E15" s="8">
        <f>AVERAGE(K2:K8)</f>
        <v/>
      </c>
    </row>
    <row r="16">
      <c r="A16" s="3" t="inlineStr">
        <is>
          <t>Avg Supremacy Delta</t>
        </is>
      </c>
      <c r="E16" s="8">
        <f>AVERAGE(N2:N8)</f>
        <v/>
      </c>
    </row>
    <row r="17">
      <c r="A17" s="3" t="inlineStr">
        <is>
          <t>Avg Total xG Delta</t>
        </is>
      </c>
      <c r="E17" s="8">
        <f>AVERAGE(O2:O8)</f>
        <v/>
      </c>
    </row>
    <row r="18">
      <c r="A18" s="3" t="inlineStr">
        <is>
          <t>Current form (last 6, For)</t>
        </is>
      </c>
      <c r="E18" s="8">
        <f>L8</f>
        <v/>
      </c>
    </row>
    <row r="19">
      <c r="A19" s="3" t="inlineStr">
        <is>
          <t>Current form (last 6, Against)</t>
        </is>
      </c>
      <c r="E19" s="8">
        <f>M8</f>
        <v/>
      </c>
    </row>
  </sheetData>
  <mergeCells count="9">
    <mergeCell ref="A17:D17"/>
    <mergeCell ref="A18:D18"/>
    <mergeCell ref="A12:D12"/>
    <mergeCell ref="A15:D15"/>
    <mergeCell ref="A16:D16"/>
    <mergeCell ref="A11:D11"/>
    <mergeCell ref="A19:D19"/>
    <mergeCell ref="A13:D13"/>
    <mergeCell ref="A14:D14"/>
  </mergeCells>
  <conditionalFormatting sqref="J2:J8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8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8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8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8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5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2026-08-14</t>
        </is>
      </c>
      <c r="B2" s="3" t="inlineStr">
        <is>
          <t>Wolves</t>
        </is>
      </c>
      <c r="C2" s="3" t="inlineStr">
        <is>
          <t>Away</t>
        </is>
      </c>
      <c r="D2" s="3" t="n">
        <v>2</v>
      </c>
      <c r="E2" s="3" t="n">
        <v>2</v>
      </c>
      <c r="F2" s="4" t="n">
        <v>0.83</v>
      </c>
      <c r="G2" s="4" t="n">
        <v>1.9</v>
      </c>
      <c r="H2" s="4" t="n">
        <v>0.84</v>
      </c>
      <c r="I2" s="4" t="n">
        <v>1.97</v>
      </c>
      <c r="J2" s="4" t="n">
        <v>0.01</v>
      </c>
      <c r="K2" s="4" t="n">
        <v>0.07000000000000001</v>
      </c>
      <c r="L2" s="4" t="n">
        <v>0.01</v>
      </c>
      <c r="M2" s="4" t="n">
        <v>0.07000000000000001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Middlesbrough</t>
        </is>
      </c>
      <c r="C3" s="3" t="inlineStr">
        <is>
          <t>Home</t>
        </is>
      </c>
      <c r="D3" s="3" t="n">
        <v>2</v>
      </c>
      <c r="E3" s="3" t="n">
        <v>1</v>
      </c>
      <c r="F3" s="4" t="n">
        <v>1.08</v>
      </c>
      <c r="G3" s="4" t="n">
        <v>1.51</v>
      </c>
      <c r="H3" s="4" t="n">
        <v>0.91</v>
      </c>
      <c r="I3" s="4" t="n">
        <v>1.43</v>
      </c>
      <c r="J3" s="4" t="n">
        <v>-0.17</v>
      </c>
      <c r="K3" s="4" t="n">
        <v>-0.08</v>
      </c>
      <c r="L3" s="4" t="n">
        <v>-0.08</v>
      </c>
      <c r="M3" s="4" t="n">
        <v>-0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Queens Park Rangers</t>
        </is>
      </c>
      <c r="C4" s="3" t="inlineStr">
        <is>
          <t>Home</t>
        </is>
      </c>
      <c r="D4" s="3" t="n">
        <v>1</v>
      </c>
      <c r="E4" s="3" t="n">
        <v>2</v>
      </c>
      <c r="F4" s="4" t="n">
        <v>1.31</v>
      </c>
      <c r="G4" s="4" t="n">
        <v>1.26</v>
      </c>
      <c r="H4" s="4" t="n">
        <v>0.92</v>
      </c>
      <c r="I4" s="4" t="n">
        <v>1.34</v>
      </c>
      <c r="J4" s="4" t="n">
        <v>-0.39</v>
      </c>
      <c r="K4" s="4" t="n">
        <v>0.08</v>
      </c>
      <c r="L4" s="4" t="n">
        <v>-0.18</v>
      </c>
      <c r="M4" s="4" t="n">
        <v>0.02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Lincoln</t>
        </is>
      </c>
      <c r="C5" s="3" t="inlineStr">
        <is>
          <t>Away</t>
        </is>
      </c>
      <c r="D5" s="3" t="n">
        <v>0</v>
      </c>
      <c r="E5" s="3" t="n">
        <v>0</v>
      </c>
      <c r="F5" s="4" t="n">
        <v>1.21</v>
      </c>
      <c r="G5" s="4" t="n">
        <v>1.48</v>
      </c>
      <c r="H5" s="4" t="n">
        <v>0.24</v>
      </c>
      <c r="I5" s="4" t="n">
        <v>1.46</v>
      </c>
      <c r="J5" s="4" t="n">
        <v>-0.97</v>
      </c>
      <c r="K5" s="4" t="n">
        <v>-0.02</v>
      </c>
      <c r="L5" s="4" t="n">
        <v>-0.38</v>
      </c>
      <c r="M5" s="4" t="n">
        <v>0.01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Preston North End</t>
        </is>
      </c>
      <c r="C6" s="3" t="inlineStr">
        <is>
          <t>Away</t>
        </is>
      </c>
      <c r="D6" s="3" t="n">
        <v>1</v>
      </c>
      <c r="E6" s="3" t="n">
        <v>2</v>
      </c>
      <c r="F6" s="4" t="n">
        <v>1.19</v>
      </c>
      <c r="G6" s="4" t="n">
        <v>1.39</v>
      </c>
      <c r="H6" s="4" t="n">
        <v>1.09</v>
      </c>
      <c r="I6" s="4" t="n">
        <v>2.19</v>
      </c>
      <c r="J6" s="4" t="n">
        <v>-0.1</v>
      </c>
      <c r="K6" s="4" t="n">
        <v>0.8</v>
      </c>
      <c r="L6" s="4" t="n">
        <v>-0.32</v>
      </c>
      <c r="M6" s="4" t="n">
        <v>0.17</v>
      </c>
      <c r="N6" s="4">
        <f>(H6-I6)-(F6-G6)</f>
        <v/>
      </c>
      <c r="O6" s="4">
        <f>(H6+I6)-(F6+G6)</f>
        <v/>
      </c>
    </row>
    <row r="7">
      <c r="A7" s="3" t="inlineStr">
        <is>
          <t>2026-09-08</t>
        </is>
      </c>
      <c r="B7" s="3" t="inlineStr">
        <is>
          <t>Sheffield United</t>
        </is>
      </c>
      <c r="C7" s="3" t="inlineStr">
        <is>
          <t>Home</t>
        </is>
      </c>
      <c r="D7" s="3" t="n">
        <v>1</v>
      </c>
      <c r="E7" s="3" t="n">
        <v>2</v>
      </c>
      <c r="F7" s="4" t="n">
        <v>1.25</v>
      </c>
      <c r="G7" s="4" t="n">
        <v>1.48</v>
      </c>
      <c r="H7" s="4" t="n">
        <v>1.62</v>
      </c>
      <c r="I7" s="4" t="n">
        <v>0.66</v>
      </c>
      <c r="J7" s="4" t="n">
        <v>0.37</v>
      </c>
      <c r="K7" s="4" t="n">
        <v>-0.82</v>
      </c>
      <c r="L7" s="4" t="n">
        <v>-0.21</v>
      </c>
      <c r="M7" s="4" t="n">
        <v>0</v>
      </c>
      <c r="N7" s="4">
        <f>(H7-I7)-(F7-G7)</f>
        <v/>
      </c>
      <c r="O7" s="4">
        <f>(H7+I7)-(F7+G7)</f>
        <v/>
      </c>
    </row>
    <row r="8">
      <c r="A8" s="3" t="inlineStr">
        <is>
          <t>2026-09-12</t>
        </is>
      </c>
      <c r="B8" s="3" t="inlineStr">
        <is>
          <t>Millwall</t>
        </is>
      </c>
      <c r="C8" s="3" t="inlineStr">
        <is>
          <t>Home</t>
        </is>
      </c>
      <c r="D8" s="3" t="n">
        <v>3</v>
      </c>
      <c r="E8" s="3" t="n">
        <v>1</v>
      </c>
      <c r="F8" s="4" t="n">
        <v>1.33</v>
      </c>
      <c r="G8" s="4" t="n">
        <v>1.37</v>
      </c>
      <c r="H8" s="4" t="n">
        <v>1.23</v>
      </c>
      <c r="I8" s="4" t="n">
        <v>1.67</v>
      </c>
      <c r="J8" s="4" t="n">
        <v>-0.1</v>
      </c>
      <c r="K8" s="4" t="n">
        <v>0.3</v>
      </c>
      <c r="L8" s="4" t="n">
        <v>-0.23</v>
      </c>
      <c r="M8" s="4" t="n">
        <v>0.04</v>
      </c>
      <c r="N8" s="4">
        <f>(H8-I8)-(F8-G8)</f>
        <v/>
      </c>
      <c r="O8" s="4">
        <f>(H8+I8)-(F8+G8)</f>
        <v/>
      </c>
    </row>
    <row r="10">
      <c r="A10" s="6" t="inlineStr">
        <is>
          <t>Season summary</t>
        </is>
      </c>
    </row>
    <row r="11">
      <c r="A11" s="3" t="inlineStr">
        <is>
          <t>Matches played</t>
        </is>
      </c>
      <c r="E11" s="7">
        <f>COUNTA(A2:A8)</f>
        <v/>
      </c>
    </row>
    <row r="12">
      <c r="A12" s="3" t="inlineStr">
        <is>
          <t>Total goals for</t>
        </is>
      </c>
      <c r="E12" s="7">
        <f>SUM(D2:D8)</f>
        <v/>
      </c>
    </row>
    <row r="13">
      <c r="A13" s="3" t="inlineStr">
        <is>
          <t>Total goals against</t>
        </is>
      </c>
      <c r="E13" s="7">
        <f>SUM(E2:E8)</f>
        <v/>
      </c>
    </row>
    <row r="14">
      <c r="A14" s="3" t="inlineStr">
        <is>
          <t>Avg xG Delta (For)</t>
        </is>
      </c>
      <c r="E14" s="8">
        <f>AVERAGE(J2:J8)</f>
        <v/>
      </c>
    </row>
    <row r="15">
      <c r="A15" s="3" t="inlineStr">
        <is>
          <t>Avg xG Delta (Against)</t>
        </is>
      </c>
      <c r="E15" s="8">
        <f>AVERAGE(K2:K8)</f>
        <v/>
      </c>
    </row>
    <row r="16">
      <c r="A16" s="3" t="inlineStr">
        <is>
          <t>Avg Supremacy Delta</t>
        </is>
      </c>
      <c r="E16" s="8">
        <f>AVERAGE(N2:N8)</f>
        <v/>
      </c>
    </row>
    <row r="17">
      <c r="A17" s="3" t="inlineStr">
        <is>
          <t>Avg Total xG Delta</t>
        </is>
      </c>
      <c r="E17" s="8">
        <f>AVERAGE(O2:O8)</f>
        <v/>
      </c>
    </row>
    <row r="18">
      <c r="A18" s="3" t="inlineStr">
        <is>
          <t>Current form (last 6, For)</t>
        </is>
      </c>
      <c r="E18" s="8">
        <f>L8</f>
        <v/>
      </c>
    </row>
    <row r="19">
      <c r="A19" s="3" t="inlineStr">
        <is>
          <t>Current form (last 6, Against)</t>
        </is>
      </c>
      <c r="E19" s="8">
        <f>M8</f>
        <v/>
      </c>
    </row>
  </sheetData>
  <mergeCells count="9">
    <mergeCell ref="A17:D17"/>
    <mergeCell ref="A18:D18"/>
    <mergeCell ref="A12:D12"/>
    <mergeCell ref="A15:D15"/>
    <mergeCell ref="A16:D16"/>
    <mergeCell ref="A11:D11"/>
    <mergeCell ref="A19:D19"/>
    <mergeCell ref="A13:D13"/>
    <mergeCell ref="A14:D14"/>
  </mergeCells>
  <conditionalFormatting sqref="J2:J8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8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8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8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8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Preston North End</t>
        </is>
      </c>
      <c r="C2" s="3" t="inlineStr">
        <is>
          <t>Home</t>
        </is>
      </c>
      <c r="D2" s="3" t="n">
        <v>2</v>
      </c>
      <c r="E2" s="3" t="n">
        <v>1</v>
      </c>
      <c r="F2" s="4" t="n">
        <v>1.47</v>
      </c>
      <c r="G2" s="4" t="n">
        <v>1.15</v>
      </c>
      <c r="H2" s="4" t="n">
        <v>1.1</v>
      </c>
      <c r="I2" s="4" t="n">
        <v>1.12</v>
      </c>
      <c r="J2" s="4" t="n">
        <v>-0.37</v>
      </c>
      <c r="K2" s="4" t="n">
        <v>-0.02</v>
      </c>
      <c r="L2" s="4" t="n">
        <v>-0.37</v>
      </c>
      <c r="M2" s="4" t="n">
        <v>-0.02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Queens Park Rangers</t>
        </is>
      </c>
      <c r="C3" s="3" t="inlineStr">
        <is>
          <t>Away</t>
        </is>
      </c>
      <c r="D3" s="3" t="n">
        <v>0</v>
      </c>
      <c r="E3" s="3" t="n">
        <v>0</v>
      </c>
      <c r="F3" s="4" t="n">
        <v>1.06</v>
      </c>
      <c r="G3" s="4" t="n">
        <v>1.62</v>
      </c>
      <c r="H3" s="4" t="n">
        <v>0.19</v>
      </c>
      <c r="I3" s="4" t="n">
        <v>1.82</v>
      </c>
      <c r="J3" s="4" t="n">
        <v>-0.88</v>
      </c>
      <c r="K3" s="4" t="n">
        <v>0.2</v>
      </c>
      <c r="L3" s="4" t="n">
        <v>-0.62</v>
      </c>
      <c r="M3" s="4" t="n">
        <v>0.09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Lincoln</t>
        </is>
      </c>
      <c r="C4" s="3" t="inlineStr">
        <is>
          <t>Home</t>
        </is>
      </c>
      <c r="D4" s="3" t="n">
        <v>0</v>
      </c>
      <c r="E4" s="3" t="n">
        <v>1</v>
      </c>
      <c r="F4" s="4" t="n">
        <v>1.32</v>
      </c>
      <c r="G4" s="4" t="n">
        <v>1.23</v>
      </c>
      <c r="H4" s="4" t="n">
        <v>1.89</v>
      </c>
      <c r="I4" s="4" t="n">
        <v>1.32</v>
      </c>
      <c r="J4" s="4" t="n">
        <v>0.57</v>
      </c>
      <c r="K4" s="4" t="n">
        <v>0.09</v>
      </c>
      <c r="L4" s="4" t="n">
        <v>-0.23</v>
      </c>
      <c r="M4" s="4" t="n">
        <v>0.09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Sheffield United</t>
        </is>
      </c>
      <c r="C5" s="3" t="inlineStr">
        <is>
          <t>Away</t>
        </is>
      </c>
      <c r="D5" s="3" t="n">
        <v>2</v>
      </c>
      <c r="E5" s="3" t="n">
        <v>3</v>
      </c>
      <c r="F5" s="4" t="n">
        <v>0.95</v>
      </c>
      <c r="G5" s="4" t="n">
        <v>1.9</v>
      </c>
      <c r="H5" s="4" t="n">
        <v>1.91</v>
      </c>
      <c r="I5" s="4" t="n">
        <v>2.21</v>
      </c>
      <c r="J5" s="4" t="n">
        <v>0.96</v>
      </c>
      <c r="K5" s="4" t="n">
        <v>0.31</v>
      </c>
      <c r="L5" s="4" t="n">
        <v>0.07000000000000001</v>
      </c>
      <c r="M5" s="4" t="n">
        <v>0.14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Millwall</t>
        </is>
      </c>
      <c r="C6" s="3" t="inlineStr">
        <is>
          <t>Away</t>
        </is>
      </c>
      <c r="D6" s="3" t="n">
        <v>0</v>
      </c>
      <c r="E6" s="3" t="n">
        <v>4</v>
      </c>
      <c r="F6" s="4" t="n">
        <v>0.99</v>
      </c>
      <c r="G6" s="4" t="n">
        <v>1.56</v>
      </c>
      <c r="H6" s="4" t="n">
        <v>1.15</v>
      </c>
      <c r="I6" s="4" t="n">
        <v>2.67</v>
      </c>
      <c r="J6" s="4" t="n">
        <v>0.16</v>
      </c>
      <c r="K6" s="4" t="n">
        <v>1.11</v>
      </c>
      <c r="L6" s="4" t="n">
        <v>0.09</v>
      </c>
      <c r="M6" s="4" t="n">
        <v>0.34</v>
      </c>
      <c r="N6" s="4">
        <f>(H6-I6)-(F6-G6)</f>
        <v/>
      </c>
      <c r="O6" s="4">
        <f>(H6+I6)-(F6+G6)</f>
        <v/>
      </c>
    </row>
    <row r="7">
      <c r="A7" s="3" t="inlineStr">
        <is>
          <t>2026-09-08</t>
        </is>
      </c>
      <c r="B7" s="3" t="inlineStr">
        <is>
          <t>West Ham</t>
        </is>
      </c>
      <c r="C7" s="3" t="inlineStr">
        <is>
          <t>Home</t>
        </is>
      </c>
      <c r="D7" s="3" t="n">
        <v>2</v>
      </c>
      <c r="E7" s="3" t="n">
        <v>3</v>
      </c>
      <c r="F7" s="4" t="n">
        <v>1.08</v>
      </c>
      <c r="G7" s="4" t="n">
        <v>2.05</v>
      </c>
      <c r="H7" s="4" t="n">
        <v>1.56</v>
      </c>
      <c r="I7" s="4" t="n">
        <v>2.22</v>
      </c>
      <c r="J7" s="4" t="n">
        <v>0.48</v>
      </c>
      <c r="K7" s="4" t="n">
        <v>0.17</v>
      </c>
      <c r="L7" s="4" t="n">
        <v>0.15</v>
      </c>
      <c r="M7" s="4" t="n">
        <v>0.31</v>
      </c>
      <c r="N7" s="4">
        <f>(H7-I7)-(F7-G7)</f>
        <v/>
      </c>
      <c r="O7" s="4">
        <f>(H7+I7)-(F7+G7)</f>
        <v/>
      </c>
    </row>
    <row r="8">
      <c r="A8" s="3" t="inlineStr">
        <is>
          <t>2026-09-12</t>
        </is>
      </c>
      <c r="B8" s="3" t="inlineStr">
        <is>
          <t>Cardiff</t>
        </is>
      </c>
      <c r="C8" s="3" t="inlineStr">
        <is>
          <t>Home</t>
        </is>
      </c>
      <c r="D8" s="3" t="n">
        <v>1</v>
      </c>
      <c r="E8" s="3" t="n">
        <v>0</v>
      </c>
      <c r="F8" s="4" t="n">
        <v>1.51</v>
      </c>
      <c r="G8" s="4" t="n">
        <v>1.54</v>
      </c>
      <c r="H8" s="4" t="n">
        <v>0.48</v>
      </c>
      <c r="I8" s="4" t="n">
        <v>1.79</v>
      </c>
      <c r="J8" s="4" t="n">
        <v>-1.03</v>
      </c>
      <c r="K8" s="4" t="n">
        <v>0.25</v>
      </c>
      <c r="L8" s="4" t="n">
        <v>0.04</v>
      </c>
      <c r="M8" s="4" t="n">
        <v>0.35</v>
      </c>
      <c r="N8" s="4">
        <f>(H8-I8)-(F8-G8)</f>
        <v/>
      </c>
      <c r="O8" s="4">
        <f>(H8+I8)-(F8+G8)</f>
        <v/>
      </c>
    </row>
    <row r="10">
      <c r="A10" s="6" t="inlineStr">
        <is>
          <t>Season summary</t>
        </is>
      </c>
    </row>
    <row r="11">
      <c r="A11" s="3" t="inlineStr">
        <is>
          <t>Matches played</t>
        </is>
      </c>
      <c r="E11" s="7">
        <f>COUNTA(A2:A8)</f>
        <v/>
      </c>
    </row>
    <row r="12">
      <c r="A12" s="3" t="inlineStr">
        <is>
          <t>Total goals for</t>
        </is>
      </c>
      <c r="E12" s="7">
        <f>SUM(D2:D8)</f>
        <v/>
      </c>
    </row>
    <row r="13">
      <c r="A13" s="3" t="inlineStr">
        <is>
          <t>Total goals against</t>
        </is>
      </c>
      <c r="E13" s="7">
        <f>SUM(E2:E8)</f>
        <v/>
      </c>
    </row>
    <row r="14">
      <c r="A14" s="3" t="inlineStr">
        <is>
          <t>Avg xG Delta (For)</t>
        </is>
      </c>
      <c r="E14" s="8">
        <f>AVERAGE(J2:J8)</f>
        <v/>
      </c>
    </row>
    <row r="15">
      <c r="A15" s="3" t="inlineStr">
        <is>
          <t>Avg xG Delta (Against)</t>
        </is>
      </c>
      <c r="E15" s="8">
        <f>AVERAGE(K2:K8)</f>
        <v/>
      </c>
    </row>
    <row r="16">
      <c r="A16" s="3" t="inlineStr">
        <is>
          <t>Avg Supremacy Delta</t>
        </is>
      </c>
      <c r="E16" s="8">
        <f>AVERAGE(N2:N8)</f>
        <v/>
      </c>
    </row>
    <row r="17">
      <c r="A17" s="3" t="inlineStr">
        <is>
          <t>Avg Total xG Delta</t>
        </is>
      </c>
      <c r="E17" s="8">
        <f>AVERAGE(O2:O8)</f>
        <v/>
      </c>
    </row>
    <row r="18">
      <c r="A18" s="3" t="inlineStr">
        <is>
          <t>Current form (last 6, For)</t>
        </is>
      </c>
      <c r="E18" s="8">
        <f>L8</f>
        <v/>
      </c>
    </row>
    <row r="19">
      <c r="A19" s="3" t="inlineStr">
        <is>
          <t>Current form (last 6, Against)</t>
        </is>
      </c>
      <c r="E19" s="8">
        <f>M8</f>
        <v/>
      </c>
    </row>
  </sheetData>
  <mergeCells count="9">
    <mergeCell ref="A17:D17"/>
    <mergeCell ref="A18:D18"/>
    <mergeCell ref="A12:D12"/>
    <mergeCell ref="A15:D15"/>
    <mergeCell ref="A16:D16"/>
    <mergeCell ref="A11:D11"/>
    <mergeCell ref="A19:D19"/>
    <mergeCell ref="A13:D13"/>
    <mergeCell ref="A14:D14"/>
  </mergeCells>
  <conditionalFormatting sqref="J2:J8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8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8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8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8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5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Millwall</t>
        </is>
      </c>
      <c r="C2" s="3" t="inlineStr">
        <is>
          <t>Home</t>
        </is>
      </c>
      <c r="D2" s="3" t="n">
        <v>0</v>
      </c>
      <c r="E2" s="3" t="n">
        <v>2</v>
      </c>
      <c r="F2" s="4" t="n">
        <v>1.35</v>
      </c>
      <c r="G2" s="4" t="n">
        <v>1.3</v>
      </c>
      <c r="H2" s="4" t="n">
        <v>0.52</v>
      </c>
      <c r="I2" s="4" t="n">
        <v>3.4</v>
      </c>
      <c r="J2" s="4" t="n">
        <v>-0.83</v>
      </c>
      <c r="K2" s="4" t="n">
        <v>2.1</v>
      </c>
      <c r="L2" s="4" t="n">
        <v>-0.83</v>
      </c>
      <c r="M2" s="4" t="n">
        <v>2.1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Birmingham</t>
        </is>
      </c>
      <c r="C3" s="3" t="inlineStr">
        <is>
          <t>Away</t>
        </is>
      </c>
      <c r="D3" s="3" t="n">
        <v>2</v>
      </c>
      <c r="E3" s="3" t="n">
        <v>2</v>
      </c>
      <c r="F3" s="4" t="n">
        <v>1.02</v>
      </c>
      <c r="G3" s="4" t="n">
        <v>1.76</v>
      </c>
      <c r="H3" s="4" t="n">
        <v>1.51</v>
      </c>
      <c r="I3" s="4" t="n">
        <v>1.5</v>
      </c>
      <c r="J3" s="4" t="n">
        <v>0.49</v>
      </c>
      <c r="K3" s="4" t="n">
        <v>-0.26</v>
      </c>
      <c r="L3" s="4" t="n">
        <v>-0.17</v>
      </c>
      <c r="M3" s="4" t="n">
        <v>0.92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Portsmouth</t>
        </is>
      </c>
      <c r="C4" s="3" t="inlineStr">
        <is>
          <t>Home</t>
        </is>
      </c>
      <c r="D4" s="3" t="n">
        <v>2</v>
      </c>
      <c r="E4" s="3" t="n">
        <v>1</v>
      </c>
      <c r="F4" s="4" t="n">
        <v>1.44</v>
      </c>
      <c r="G4" s="4" t="n">
        <v>1.09</v>
      </c>
      <c r="H4" s="4" t="n">
        <v>0.61</v>
      </c>
      <c r="I4" s="4" t="n">
        <v>1.37</v>
      </c>
      <c r="J4" s="4" t="n">
        <v>-0.83</v>
      </c>
      <c r="K4" s="4" t="n">
        <v>0.28</v>
      </c>
      <c r="L4" s="4" t="n">
        <v>-0.39</v>
      </c>
      <c r="M4" s="4" t="n">
        <v>0.7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Preston North End</t>
        </is>
      </c>
      <c r="C5" s="3" t="inlineStr">
        <is>
          <t>Away</t>
        </is>
      </c>
      <c r="D5" s="3" t="n">
        <v>3</v>
      </c>
      <c r="E5" s="3" t="n">
        <v>1</v>
      </c>
      <c r="F5" s="4" t="n">
        <v>1.42</v>
      </c>
      <c r="G5" s="4" t="n">
        <v>1.27</v>
      </c>
      <c r="H5" s="4" t="n">
        <v>1.78</v>
      </c>
      <c r="I5" s="4" t="n">
        <v>1.91</v>
      </c>
      <c r="J5" s="4" t="n">
        <v>0.36</v>
      </c>
      <c r="K5" s="4" t="n">
        <v>0.64</v>
      </c>
      <c r="L5" s="4" t="n">
        <v>-0.2</v>
      </c>
      <c r="M5" s="4" t="n">
        <v>0.6899999999999999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Burnley</t>
        </is>
      </c>
      <c r="C6" s="3" t="inlineStr">
        <is>
          <t>Away</t>
        </is>
      </c>
      <c r="D6" s="3" t="n">
        <v>2</v>
      </c>
      <c r="E6" s="3" t="n">
        <v>1</v>
      </c>
      <c r="F6" s="4" t="n">
        <v>1.07</v>
      </c>
      <c r="G6" s="4" t="n">
        <v>1.7</v>
      </c>
      <c r="H6" s="4" t="n">
        <v>1.07</v>
      </c>
      <c r="I6" s="4" t="n">
        <v>0.26</v>
      </c>
      <c r="J6" s="4" t="n">
        <v>0</v>
      </c>
      <c r="K6" s="4" t="n">
        <v>-1.44</v>
      </c>
      <c r="L6" s="4" t="n">
        <v>-0.16</v>
      </c>
      <c r="M6" s="4" t="n">
        <v>0.26</v>
      </c>
      <c r="N6" s="4">
        <f>(H6-I6)-(F6-G6)</f>
        <v/>
      </c>
      <c r="O6" s="4">
        <f>(H6+I6)-(F6+G6)</f>
        <v/>
      </c>
    </row>
    <row r="7">
      <c r="A7" s="3" t="inlineStr">
        <is>
          <t>2026-09-12</t>
        </is>
      </c>
      <c r="B7" s="3" t="inlineStr">
        <is>
          <t>Southampton</t>
        </is>
      </c>
      <c r="C7" s="3" t="inlineStr">
        <is>
          <t>Away</t>
        </is>
      </c>
      <c r="D7" s="3" t="n">
        <v>1</v>
      </c>
      <c r="E7" s="3" t="n">
        <v>4</v>
      </c>
      <c r="F7" s="4" t="n">
        <v>1.1</v>
      </c>
      <c r="G7" s="4" t="n">
        <v>2</v>
      </c>
      <c r="H7" s="4" t="n">
        <v>2.24</v>
      </c>
      <c r="I7" s="4" t="n">
        <v>1.71</v>
      </c>
      <c r="J7" s="4" t="n">
        <v>1.14</v>
      </c>
      <c r="K7" s="4" t="n">
        <v>-0.29</v>
      </c>
      <c r="L7" s="4" t="n">
        <v>0.06</v>
      </c>
      <c r="M7" s="4" t="n">
        <v>0.17</v>
      </c>
      <c r="N7" s="4">
        <f>(H7-I7)-(F7-G7)</f>
        <v/>
      </c>
      <c r="O7" s="4">
        <f>(H7+I7)-(F7+G7)</f>
        <v/>
      </c>
    </row>
    <row r="9">
      <c r="A9" s="6" t="inlineStr">
        <is>
          <t>Season summary</t>
        </is>
      </c>
    </row>
    <row r="10">
      <c r="A10" s="3" t="inlineStr">
        <is>
          <t>Matches played</t>
        </is>
      </c>
      <c r="E10" s="7">
        <f>COUNTA(A2:A7)</f>
        <v/>
      </c>
    </row>
    <row r="11">
      <c r="A11" s="3" t="inlineStr">
        <is>
          <t>Total goals for</t>
        </is>
      </c>
      <c r="E11" s="7">
        <f>SUM(D2:D7)</f>
        <v/>
      </c>
    </row>
    <row r="12">
      <c r="A12" s="3" t="inlineStr">
        <is>
          <t>Total goals against</t>
        </is>
      </c>
      <c r="E12" s="7">
        <f>SUM(E2:E7)</f>
        <v/>
      </c>
    </row>
    <row r="13">
      <c r="A13" s="3" t="inlineStr">
        <is>
          <t>Avg xG Delta (For)</t>
        </is>
      </c>
      <c r="E13" s="8">
        <f>AVERAGE(J2:J7)</f>
        <v/>
      </c>
    </row>
    <row r="14">
      <c r="A14" s="3" t="inlineStr">
        <is>
          <t>Avg xG Delta (Against)</t>
        </is>
      </c>
      <c r="E14" s="8">
        <f>AVERAGE(K2:K7)</f>
        <v/>
      </c>
    </row>
    <row r="15">
      <c r="A15" s="3" t="inlineStr">
        <is>
          <t>Avg Supremacy Delta</t>
        </is>
      </c>
      <c r="E15" s="8">
        <f>AVERAGE(N2:N7)</f>
        <v/>
      </c>
    </row>
    <row r="16">
      <c r="A16" s="3" t="inlineStr">
        <is>
          <t>Avg Total xG Delta</t>
        </is>
      </c>
      <c r="E16" s="8">
        <f>AVERAGE(O2:O7)</f>
        <v/>
      </c>
    </row>
    <row r="17">
      <c r="A17" s="3" t="inlineStr">
        <is>
          <t>Current form (last 6, For)</t>
        </is>
      </c>
      <c r="E17" s="8">
        <f>L7</f>
        <v/>
      </c>
    </row>
    <row r="18">
      <c r="A18" s="3" t="inlineStr">
        <is>
          <t>Current form (last 6, Against)</t>
        </is>
      </c>
      <c r="E18" s="8">
        <f>M7</f>
        <v/>
      </c>
    </row>
  </sheetData>
  <mergeCells count="9">
    <mergeCell ref="A17:D17"/>
    <mergeCell ref="A18:D18"/>
    <mergeCell ref="A12:D12"/>
    <mergeCell ref="A15:D15"/>
    <mergeCell ref="A16:D16"/>
    <mergeCell ref="A11:D11"/>
    <mergeCell ref="A10:D10"/>
    <mergeCell ref="A13:D13"/>
    <mergeCell ref="A14:D14"/>
  </mergeCells>
  <conditionalFormatting sqref="J2:J7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1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2026-08-16</t>
        </is>
      </c>
      <c r="B2" s="3" t="inlineStr">
        <is>
          <t>West Ham</t>
        </is>
      </c>
      <c r="C2" s="3" t="inlineStr">
        <is>
          <t>Home</t>
        </is>
      </c>
      <c r="D2" s="3" t="n">
        <v>2</v>
      </c>
      <c r="E2" s="3" t="n">
        <v>2</v>
      </c>
      <c r="F2" s="4" t="n">
        <v>1.35</v>
      </c>
      <c r="G2" s="4" t="n">
        <v>1.55</v>
      </c>
      <c r="H2" s="4" t="n">
        <v>2.1</v>
      </c>
      <c r="I2" s="4" t="n">
        <v>1.33</v>
      </c>
      <c r="J2" s="4" t="n">
        <v>0.75</v>
      </c>
      <c r="K2" s="4" t="n">
        <v>-0.22</v>
      </c>
      <c r="L2" s="4" t="n">
        <v>0.75</v>
      </c>
      <c r="M2" s="4" t="n">
        <v>-0.22</v>
      </c>
      <c r="N2" s="4">
        <f>(H2-I2)-(F2-G2)</f>
        <v/>
      </c>
      <c r="O2" s="4">
        <f>(H2+I2)-(F2+G2)</f>
        <v/>
      </c>
    </row>
    <row r="3">
      <c r="A3" s="3" t="inlineStr">
        <is>
          <t>2026-08-23</t>
        </is>
      </c>
      <c r="B3" s="3" t="inlineStr">
        <is>
          <t>West Bromwich Albion</t>
        </is>
      </c>
      <c r="C3" s="3" t="inlineStr">
        <is>
          <t>Away</t>
        </is>
      </c>
      <c r="D3" s="3" t="n">
        <v>1</v>
      </c>
      <c r="E3" s="3" t="n">
        <v>3</v>
      </c>
      <c r="F3" s="4" t="n">
        <v>1.3</v>
      </c>
      <c r="G3" s="4" t="n">
        <v>1.23</v>
      </c>
      <c r="H3" s="4" t="n">
        <v>1.18</v>
      </c>
      <c r="I3" s="4" t="n">
        <v>1.63</v>
      </c>
      <c r="J3" s="4" t="n">
        <v>-0.12</v>
      </c>
      <c r="K3" s="4" t="n">
        <v>0.4</v>
      </c>
      <c r="L3" s="4" t="n">
        <v>0.31</v>
      </c>
      <c r="M3" s="4" t="n">
        <v>0.09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Norwich</t>
        </is>
      </c>
      <c r="C4" s="3" t="inlineStr">
        <is>
          <t>Away</t>
        </is>
      </c>
      <c r="D4" s="3" t="n">
        <v>1</v>
      </c>
      <c r="E4" s="3" t="n">
        <v>4</v>
      </c>
      <c r="F4" s="4" t="n">
        <v>1.28</v>
      </c>
      <c r="G4" s="4" t="n">
        <v>1.53</v>
      </c>
      <c r="H4" s="4" t="n">
        <v>1.38</v>
      </c>
      <c r="I4" s="4" t="n">
        <v>2.3</v>
      </c>
      <c r="J4" s="4" t="n">
        <v>0.1</v>
      </c>
      <c r="K4" s="4" t="n">
        <v>0.76</v>
      </c>
      <c r="L4" s="4" t="n">
        <v>0.24</v>
      </c>
      <c r="M4" s="4" t="n">
        <v>0.32</v>
      </c>
      <c r="N4" s="4">
        <f>(H4-I4)-(F4-G4)</f>
        <v/>
      </c>
      <c r="O4" s="4">
        <f>(H4+I4)-(F4+G4)</f>
        <v/>
      </c>
    </row>
    <row r="5">
      <c r="A5" s="3" t="inlineStr">
        <is>
          <t>2026-09-02</t>
        </is>
      </c>
      <c r="B5" s="3" t="inlineStr">
        <is>
          <t>Middlesbrough</t>
        </is>
      </c>
      <c r="C5" s="3" t="inlineStr">
        <is>
          <t>Home</t>
        </is>
      </c>
      <c r="D5" s="3" t="n">
        <v>1</v>
      </c>
      <c r="E5" s="3" t="n">
        <v>1</v>
      </c>
      <c r="F5" s="4" t="n">
        <v>1.34</v>
      </c>
      <c r="G5" s="4" t="n">
        <v>1.49</v>
      </c>
      <c r="H5" s="4" t="n">
        <v>0.68</v>
      </c>
      <c r="I5" s="4" t="n">
        <v>0.97</v>
      </c>
      <c r="J5" s="4" t="n">
        <v>-0.66</v>
      </c>
      <c r="K5" s="4" t="n">
        <v>-0.52</v>
      </c>
      <c r="L5" s="4" t="n">
        <v>0.02</v>
      </c>
      <c r="M5" s="4" t="n">
        <v>0.11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Bristol City</t>
        </is>
      </c>
      <c r="C6" s="3" t="inlineStr">
        <is>
          <t>Home</t>
        </is>
      </c>
      <c r="D6" s="3" t="n">
        <v>1</v>
      </c>
      <c r="E6" s="3" t="n">
        <v>2</v>
      </c>
      <c r="F6" s="4" t="n">
        <v>1.7</v>
      </c>
      <c r="G6" s="4" t="n">
        <v>1.07</v>
      </c>
      <c r="H6" s="4" t="n">
        <v>0.26</v>
      </c>
      <c r="I6" s="4" t="n">
        <v>1.07</v>
      </c>
      <c r="J6" s="4" t="n">
        <v>-1.44</v>
      </c>
      <c r="K6" s="4" t="n">
        <v>0</v>
      </c>
      <c r="L6" s="4" t="n">
        <v>-0.27</v>
      </c>
      <c r="M6" s="4" t="n">
        <v>0.09</v>
      </c>
      <c r="N6" s="4">
        <f>(H6-I6)-(F6-G6)</f>
        <v/>
      </c>
      <c r="O6" s="4">
        <f>(H6+I6)-(F6+G6)</f>
        <v/>
      </c>
    </row>
    <row r="7">
      <c r="A7" s="3" t="inlineStr">
        <is>
          <t>2026-09-08</t>
        </is>
      </c>
      <c r="B7" s="3" t="inlineStr">
        <is>
          <t>Wrexham</t>
        </is>
      </c>
      <c r="C7" s="3" t="inlineStr">
        <is>
          <t>Away</t>
        </is>
      </c>
      <c r="D7" s="3" t="n">
        <v>1</v>
      </c>
      <c r="E7" s="3" t="n">
        <v>1</v>
      </c>
      <c r="F7" s="4" t="n">
        <v>1.14</v>
      </c>
      <c r="G7" s="4" t="n">
        <v>1.58</v>
      </c>
      <c r="H7" s="4" t="n">
        <v>1.5</v>
      </c>
      <c r="I7" s="4" t="n">
        <v>1.35</v>
      </c>
      <c r="J7" s="4" t="n">
        <v>0.36</v>
      </c>
      <c r="K7" s="4" t="n">
        <v>-0.23</v>
      </c>
      <c r="L7" s="4" t="n">
        <v>-0.17</v>
      </c>
      <c r="M7" s="4" t="n">
        <v>0.03</v>
      </c>
      <c r="N7" s="4">
        <f>(H7-I7)-(F7-G7)</f>
        <v/>
      </c>
      <c r="O7" s="4">
        <f>(H7+I7)-(F7+G7)</f>
        <v/>
      </c>
    </row>
    <row r="8">
      <c r="A8" s="3" t="inlineStr">
        <is>
          <t>2026-09-12</t>
        </is>
      </c>
      <c r="B8" s="3" t="inlineStr">
        <is>
          <t>Swansea</t>
        </is>
      </c>
      <c r="C8" s="3" t="inlineStr">
        <is>
          <t>Away</t>
        </is>
      </c>
      <c r="D8" s="3" t="n">
        <v>1</v>
      </c>
      <c r="E8" s="3" t="n">
        <v>3</v>
      </c>
      <c r="F8" s="4" t="n">
        <v>1.19</v>
      </c>
      <c r="G8" s="4" t="n">
        <v>1.54</v>
      </c>
      <c r="H8" s="4" t="n">
        <v>1.73</v>
      </c>
      <c r="I8" s="4" t="n">
        <v>2.63</v>
      </c>
      <c r="J8" s="4" t="n">
        <v>0.54</v>
      </c>
      <c r="K8" s="4" t="n">
        <v>1.09</v>
      </c>
      <c r="L8" s="4" t="n">
        <v>-0.2</v>
      </c>
      <c r="M8" s="4" t="n">
        <v>0.25</v>
      </c>
      <c r="N8" s="4">
        <f>(H8-I8)-(F8-G8)</f>
        <v/>
      </c>
      <c r="O8" s="4">
        <f>(H8+I8)-(F8+G8)</f>
        <v/>
      </c>
    </row>
    <row r="10">
      <c r="A10" s="6" t="inlineStr">
        <is>
          <t>Season summary</t>
        </is>
      </c>
    </row>
    <row r="11">
      <c r="A11" s="3" t="inlineStr">
        <is>
          <t>Matches played</t>
        </is>
      </c>
      <c r="E11" s="7">
        <f>COUNTA(A2:A8)</f>
        <v/>
      </c>
    </row>
    <row r="12">
      <c r="A12" s="3" t="inlineStr">
        <is>
          <t>Total goals for</t>
        </is>
      </c>
      <c r="E12" s="7">
        <f>SUM(D2:D8)</f>
        <v/>
      </c>
    </row>
    <row r="13">
      <c r="A13" s="3" t="inlineStr">
        <is>
          <t>Total goals against</t>
        </is>
      </c>
      <c r="E13" s="7">
        <f>SUM(E2:E8)</f>
        <v/>
      </c>
    </row>
    <row r="14">
      <c r="A14" s="3" t="inlineStr">
        <is>
          <t>Avg xG Delta (For)</t>
        </is>
      </c>
      <c r="E14" s="8">
        <f>AVERAGE(J2:J8)</f>
        <v/>
      </c>
    </row>
    <row r="15">
      <c r="A15" s="3" t="inlineStr">
        <is>
          <t>Avg xG Delta (Against)</t>
        </is>
      </c>
      <c r="E15" s="8">
        <f>AVERAGE(K2:K8)</f>
        <v/>
      </c>
    </row>
    <row r="16">
      <c r="A16" s="3" t="inlineStr">
        <is>
          <t>Avg Supremacy Delta</t>
        </is>
      </c>
      <c r="E16" s="8">
        <f>AVERAGE(N2:N8)</f>
        <v/>
      </c>
    </row>
    <row r="17">
      <c r="A17" s="3" t="inlineStr">
        <is>
          <t>Avg Total xG Delta</t>
        </is>
      </c>
      <c r="E17" s="8">
        <f>AVERAGE(O2:O8)</f>
        <v/>
      </c>
    </row>
    <row r="18">
      <c r="A18" s="3" t="inlineStr">
        <is>
          <t>Current form (last 6, For)</t>
        </is>
      </c>
      <c r="E18" s="8">
        <f>L8</f>
        <v/>
      </c>
    </row>
    <row r="19">
      <c r="A19" s="3" t="inlineStr">
        <is>
          <t>Current form (last 6, Against)</t>
        </is>
      </c>
      <c r="E19" s="8">
        <f>M8</f>
        <v/>
      </c>
    </row>
  </sheetData>
  <mergeCells count="9">
    <mergeCell ref="A17:D17"/>
    <mergeCell ref="A18:D18"/>
    <mergeCell ref="A12:D12"/>
    <mergeCell ref="A15:D15"/>
    <mergeCell ref="A16:D16"/>
    <mergeCell ref="A11:D11"/>
    <mergeCell ref="A19:D19"/>
    <mergeCell ref="A13:D13"/>
    <mergeCell ref="A14:D14"/>
  </mergeCells>
  <conditionalFormatting sqref="J2:J8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8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8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8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8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5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2026-08-17</t>
        </is>
      </c>
      <c r="B2" s="3" t="inlineStr">
        <is>
          <t>Wrexham</t>
        </is>
      </c>
      <c r="C2" s="3" t="inlineStr">
        <is>
          <t>Home</t>
        </is>
      </c>
      <c r="D2" s="3" t="n">
        <v>1</v>
      </c>
      <c r="E2" s="3" t="n">
        <v>1</v>
      </c>
      <c r="F2" s="4" t="n">
        <v>1.52</v>
      </c>
      <c r="G2" s="4" t="n">
        <v>1.35</v>
      </c>
      <c r="H2" s="4" t="n">
        <v>0.8100000000000001</v>
      </c>
      <c r="I2" s="4" t="n">
        <v>1.41</v>
      </c>
      <c r="J2" s="4" t="n">
        <v>-0.71</v>
      </c>
      <c r="K2" s="4" t="n">
        <v>0.06</v>
      </c>
      <c r="L2" s="4" t="n">
        <v>-0.71</v>
      </c>
      <c r="M2" s="4" t="n">
        <v>0.06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Derby</t>
        </is>
      </c>
      <c r="C3" s="3" t="inlineStr">
        <is>
          <t>Away</t>
        </is>
      </c>
      <c r="D3" s="3" t="n">
        <v>2</v>
      </c>
      <c r="E3" s="3" t="n">
        <v>2</v>
      </c>
      <c r="F3" s="4" t="n">
        <v>1.04</v>
      </c>
      <c r="G3" s="4" t="n">
        <v>1.56</v>
      </c>
      <c r="H3" s="4" t="n">
        <v>2.26</v>
      </c>
      <c r="I3" s="4" t="n">
        <v>1.8</v>
      </c>
      <c r="J3" s="4" t="n">
        <v>1.22</v>
      </c>
      <c r="K3" s="4" t="n">
        <v>0.24</v>
      </c>
      <c r="L3" s="4" t="n">
        <v>0.26</v>
      </c>
      <c r="M3" s="4" t="n">
        <v>0.15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Sheffield United</t>
        </is>
      </c>
      <c r="C4" s="3" t="inlineStr">
        <is>
          <t>Home</t>
        </is>
      </c>
      <c r="D4" s="3" t="n">
        <v>2</v>
      </c>
      <c r="E4" s="3" t="n">
        <v>2</v>
      </c>
      <c r="F4" s="4" t="n">
        <v>1.44</v>
      </c>
      <c r="G4" s="4" t="n">
        <v>1.45</v>
      </c>
      <c r="H4" s="4" t="n">
        <v>2.24</v>
      </c>
      <c r="I4" s="4" t="n">
        <v>1.28</v>
      </c>
      <c r="J4" s="4" t="n">
        <v>0.8</v>
      </c>
      <c r="K4" s="4" t="n">
        <v>-0.17</v>
      </c>
      <c r="L4" s="4" t="n">
        <v>0.44</v>
      </c>
      <c r="M4" s="4" t="n">
        <v>0.04</v>
      </c>
      <c r="N4" s="4">
        <f>(H4-I4)-(F4-G4)</f>
        <v/>
      </c>
      <c r="O4" s="4">
        <f>(H4+I4)-(F4+G4)</f>
        <v/>
      </c>
    </row>
    <row r="5">
      <c r="A5" s="3" t="inlineStr">
        <is>
          <t>2026-09-02</t>
        </is>
      </c>
      <c r="B5" s="3" t="inlineStr">
        <is>
          <t>Queens Park Rangers</t>
        </is>
      </c>
      <c r="C5" s="3" t="inlineStr">
        <is>
          <t>Away</t>
        </is>
      </c>
      <c r="D5" s="3" t="n">
        <v>1</v>
      </c>
      <c r="E5" s="3" t="n">
        <v>2</v>
      </c>
      <c r="F5" s="4" t="n">
        <v>1.17</v>
      </c>
      <c r="G5" s="4" t="n">
        <v>1.74</v>
      </c>
      <c r="H5" s="4" t="n">
        <v>0.57</v>
      </c>
      <c r="I5" s="4" t="n">
        <v>2.75</v>
      </c>
      <c r="J5" s="4" t="n">
        <v>-0.6</v>
      </c>
      <c r="K5" s="4" t="n">
        <v>1.01</v>
      </c>
      <c r="L5" s="4" t="n">
        <v>0.18</v>
      </c>
      <c r="M5" s="4" t="n">
        <v>0.28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Portsmouth</t>
        </is>
      </c>
      <c r="C6" s="3" t="inlineStr">
        <is>
          <t>Away</t>
        </is>
      </c>
      <c r="D6" s="3" t="n">
        <v>0</v>
      </c>
      <c r="E6" s="3" t="n">
        <v>2</v>
      </c>
      <c r="F6" s="4" t="n">
        <v>1.35</v>
      </c>
      <c r="G6" s="4" t="n">
        <v>1.52</v>
      </c>
      <c r="H6" s="4" t="n">
        <v>1.43</v>
      </c>
      <c r="I6" s="4" t="n">
        <v>2.07</v>
      </c>
      <c r="J6" s="4" t="n">
        <v>0.07000000000000001</v>
      </c>
      <c r="K6" s="4" t="n">
        <v>0.55</v>
      </c>
      <c r="L6" s="4" t="n">
        <v>0.16</v>
      </c>
      <c r="M6" s="4" t="n">
        <v>0.34</v>
      </c>
      <c r="N6" s="4">
        <f>(H6-I6)-(F6-G6)</f>
        <v/>
      </c>
      <c r="O6" s="4">
        <f>(H6+I6)-(F6+G6)</f>
        <v/>
      </c>
    </row>
    <row r="7">
      <c r="A7" s="3" t="inlineStr">
        <is>
          <t>2026-09-08</t>
        </is>
      </c>
      <c r="B7" s="3" t="inlineStr">
        <is>
          <t>Stoke</t>
        </is>
      </c>
      <c r="C7" s="3" t="inlineStr">
        <is>
          <t>Home</t>
        </is>
      </c>
      <c r="D7" s="3" t="n">
        <v>1</v>
      </c>
      <c r="E7" s="3" t="n">
        <v>1</v>
      </c>
      <c r="F7" s="4" t="n">
        <v>1.76</v>
      </c>
      <c r="G7" s="4" t="n">
        <v>1.28</v>
      </c>
      <c r="H7" s="4" t="n">
        <v>3.6</v>
      </c>
      <c r="I7" s="4" t="n">
        <v>1.11</v>
      </c>
      <c r="J7" s="4" t="n">
        <v>1.83</v>
      </c>
      <c r="K7" s="4" t="n">
        <v>-0.17</v>
      </c>
      <c r="L7" s="4" t="n">
        <v>0.44</v>
      </c>
      <c r="M7" s="4" t="n">
        <v>0.25</v>
      </c>
      <c r="N7" s="4">
        <f>(H7-I7)-(F7-G7)</f>
        <v/>
      </c>
      <c r="O7" s="4">
        <f>(H7+I7)-(F7+G7)</f>
        <v/>
      </c>
    </row>
    <row r="8">
      <c r="A8" s="3" t="inlineStr">
        <is>
          <t>2026-09-12</t>
        </is>
      </c>
      <c r="B8" s="3" t="inlineStr">
        <is>
          <t>Bolton Wanderers</t>
        </is>
      </c>
      <c r="C8" s="3" t="inlineStr">
        <is>
          <t>Away</t>
        </is>
      </c>
      <c r="D8" s="3" t="n">
        <v>0</v>
      </c>
      <c r="E8" s="3" t="n">
        <v>1</v>
      </c>
      <c r="F8" s="4" t="n">
        <v>1.54</v>
      </c>
      <c r="G8" s="4" t="n">
        <v>1.51</v>
      </c>
      <c r="H8" s="4" t="n">
        <v>1.79</v>
      </c>
      <c r="I8" s="4" t="n">
        <v>0.48</v>
      </c>
      <c r="J8" s="4" t="n">
        <v>0.25</v>
      </c>
      <c r="K8" s="4" t="n">
        <v>-1.03</v>
      </c>
      <c r="L8" s="4" t="n">
        <v>0.6</v>
      </c>
      <c r="M8" s="4" t="n">
        <v>0.07000000000000001</v>
      </c>
      <c r="N8" s="4">
        <f>(H8-I8)-(F8-G8)</f>
        <v/>
      </c>
      <c r="O8" s="4">
        <f>(H8+I8)-(F8+G8)</f>
        <v/>
      </c>
    </row>
    <row r="10">
      <c r="A10" s="6" t="inlineStr">
        <is>
          <t>Season summary</t>
        </is>
      </c>
    </row>
    <row r="11">
      <c r="A11" s="3" t="inlineStr">
        <is>
          <t>Matches played</t>
        </is>
      </c>
      <c r="E11" s="7">
        <f>COUNTA(A2:A8)</f>
        <v/>
      </c>
    </row>
    <row r="12">
      <c r="A12" s="3" t="inlineStr">
        <is>
          <t>Total goals for</t>
        </is>
      </c>
      <c r="E12" s="7">
        <f>SUM(D2:D8)</f>
        <v/>
      </c>
    </row>
    <row r="13">
      <c r="A13" s="3" t="inlineStr">
        <is>
          <t>Total goals against</t>
        </is>
      </c>
      <c r="E13" s="7">
        <f>SUM(E2:E8)</f>
        <v/>
      </c>
    </row>
    <row r="14">
      <c r="A14" s="3" t="inlineStr">
        <is>
          <t>Avg xG Delta (For)</t>
        </is>
      </c>
      <c r="E14" s="8">
        <f>AVERAGE(J2:J8)</f>
        <v/>
      </c>
    </row>
    <row r="15">
      <c r="A15" s="3" t="inlineStr">
        <is>
          <t>Avg xG Delta (Against)</t>
        </is>
      </c>
      <c r="E15" s="8">
        <f>AVERAGE(K2:K8)</f>
        <v/>
      </c>
    </row>
    <row r="16">
      <c r="A16" s="3" t="inlineStr">
        <is>
          <t>Avg Supremacy Delta</t>
        </is>
      </c>
      <c r="E16" s="8">
        <f>AVERAGE(N2:N8)</f>
        <v/>
      </c>
    </row>
    <row r="17">
      <c r="A17" s="3" t="inlineStr">
        <is>
          <t>Avg Total xG Delta</t>
        </is>
      </c>
      <c r="E17" s="8">
        <f>AVERAGE(O2:O8)</f>
        <v/>
      </c>
    </row>
    <row r="18">
      <c r="A18" s="3" t="inlineStr">
        <is>
          <t>Current form (last 6, For)</t>
        </is>
      </c>
      <c r="E18" s="8">
        <f>L8</f>
        <v/>
      </c>
    </row>
    <row r="19">
      <c r="A19" s="3" t="inlineStr">
        <is>
          <t>Current form (last 6, Against)</t>
        </is>
      </c>
      <c r="E19" s="8">
        <f>M8</f>
        <v/>
      </c>
    </row>
  </sheetData>
  <mergeCells count="9">
    <mergeCell ref="A17:D17"/>
    <mergeCell ref="A18:D18"/>
    <mergeCell ref="A12:D12"/>
    <mergeCell ref="A15:D15"/>
    <mergeCell ref="A16:D16"/>
    <mergeCell ref="A11:D11"/>
    <mergeCell ref="A19:D19"/>
    <mergeCell ref="A13:D13"/>
    <mergeCell ref="A14:D14"/>
  </mergeCells>
  <conditionalFormatting sqref="J2:J8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8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8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8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8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1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Derby</t>
        </is>
      </c>
      <c r="C2" s="3" t="inlineStr">
        <is>
          <t>Home</t>
        </is>
      </c>
      <c r="D2" s="3" t="n">
        <v>2</v>
      </c>
      <c r="E2" s="3" t="n">
        <v>1</v>
      </c>
      <c r="F2" s="4" t="n">
        <v>1.23</v>
      </c>
      <c r="G2" s="4" t="n">
        <v>1.23</v>
      </c>
      <c r="H2" s="4" t="n">
        <v>0.97</v>
      </c>
      <c r="I2" s="4" t="n">
        <v>1</v>
      </c>
      <c r="J2" s="4" t="n">
        <v>-0.26</v>
      </c>
      <c r="K2" s="4" t="n">
        <v>-0.23</v>
      </c>
      <c r="L2" s="4" t="n">
        <v>-0.26</v>
      </c>
      <c r="M2" s="4" t="n">
        <v>-0.23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West Ham</t>
        </is>
      </c>
      <c r="C3" s="3" t="inlineStr">
        <is>
          <t>Away</t>
        </is>
      </c>
      <c r="D3" s="3" t="n">
        <v>2</v>
      </c>
      <c r="E3" s="3" t="n">
        <v>1</v>
      </c>
      <c r="F3" s="4" t="n">
        <v>0.76</v>
      </c>
      <c r="G3" s="4" t="n">
        <v>2.19</v>
      </c>
      <c r="H3" s="4" t="n">
        <v>0.62</v>
      </c>
      <c r="I3" s="4" t="n">
        <v>2.84</v>
      </c>
      <c r="J3" s="4" t="n">
        <v>-0.14</v>
      </c>
      <c r="K3" s="4" t="n">
        <v>0.65</v>
      </c>
      <c r="L3" s="4" t="n">
        <v>-0.2</v>
      </c>
      <c r="M3" s="4" t="n">
        <v>0.21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Preston North End</t>
        </is>
      </c>
      <c r="C4" s="3" t="inlineStr">
        <is>
          <t>Home</t>
        </is>
      </c>
      <c r="D4" s="3" t="n">
        <v>1</v>
      </c>
      <c r="E4" s="3" t="n">
        <v>0</v>
      </c>
      <c r="F4" s="4" t="n">
        <v>1.45</v>
      </c>
      <c r="G4" s="4" t="n">
        <v>1.03</v>
      </c>
      <c r="H4" s="4" t="n">
        <v>0.74</v>
      </c>
      <c r="I4" s="4" t="n">
        <v>1.32</v>
      </c>
      <c r="J4" s="4" t="n">
        <v>-0.71</v>
      </c>
      <c r="K4" s="4" t="n">
        <v>0.29</v>
      </c>
      <c r="L4" s="4" t="n">
        <v>-0.37</v>
      </c>
      <c r="M4" s="4" t="n">
        <v>0.24</v>
      </c>
      <c r="N4" s="4">
        <f>(H4-I4)-(F4-G4)</f>
        <v/>
      </c>
      <c r="O4" s="4">
        <f>(H4+I4)-(F4+G4)</f>
        <v/>
      </c>
    </row>
    <row r="5">
      <c r="A5" s="3" t="inlineStr">
        <is>
          <t>2026-09-02</t>
        </is>
      </c>
      <c r="B5" s="3" t="inlineStr">
        <is>
          <t>West Bromwich Albion</t>
        </is>
      </c>
      <c r="C5" s="3" t="inlineStr">
        <is>
          <t>Away</t>
        </is>
      </c>
      <c r="D5" s="3" t="n">
        <v>1</v>
      </c>
      <c r="E5" s="3" t="n">
        <v>1</v>
      </c>
      <c r="F5" s="4" t="n">
        <v>0.89</v>
      </c>
      <c r="G5" s="4" t="n">
        <v>1.64</v>
      </c>
      <c r="H5" s="4" t="n">
        <v>0.39</v>
      </c>
      <c r="I5" s="4" t="n">
        <v>0.6</v>
      </c>
      <c r="J5" s="4" t="n">
        <v>-0.49</v>
      </c>
      <c r="K5" s="4" t="n">
        <v>-1.04</v>
      </c>
      <c r="L5" s="4" t="n">
        <v>-0.4</v>
      </c>
      <c r="M5" s="4" t="n">
        <v>-0.08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Stoke</t>
        </is>
      </c>
      <c r="C6" s="3" t="inlineStr">
        <is>
          <t>Away</t>
        </is>
      </c>
      <c r="D6" s="3" t="n">
        <v>0</v>
      </c>
      <c r="E6" s="3" t="n">
        <v>4</v>
      </c>
      <c r="F6" s="4" t="n">
        <v>1.04</v>
      </c>
      <c r="G6" s="4" t="n">
        <v>1.44</v>
      </c>
      <c r="H6" s="4" t="n">
        <v>0.61</v>
      </c>
      <c r="I6" s="4" t="n">
        <v>2.14</v>
      </c>
      <c r="J6" s="4" t="n">
        <v>-0.43</v>
      </c>
      <c r="K6" s="4" t="n">
        <v>0.7</v>
      </c>
      <c r="L6" s="4" t="n">
        <v>-0.41</v>
      </c>
      <c r="M6" s="4" t="n">
        <v>0.08</v>
      </c>
      <c r="N6" s="4">
        <f>(H6-I6)-(F6-G6)</f>
        <v/>
      </c>
      <c r="O6" s="4">
        <f>(H6+I6)-(F6+G6)</f>
        <v/>
      </c>
    </row>
    <row r="7">
      <c r="A7" s="3" t="inlineStr">
        <is>
          <t>2026-09-09</t>
        </is>
      </c>
      <c r="B7" s="3" t="inlineStr">
        <is>
          <t>Queens Park Rangers</t>
        </is>
      </c>
      <c r="C7" s="3" t="inlineStr">
        <is>
          <t>Home</t>
        </is>
      </c>
      <c r="D7" s="3" t="n">
        <v>0</v>
      </c>
      <c r="E7" s="3" t="n">
        <v>0</v>
      </c>
      <c r="F7" s="4" t="n">
        <v>1.17</v>
      </c>
      <c r="G7" s="4" t="n">
        <v>1.45</v>
      </c>
      <c r="H7" s="4" t="n">
        <v>0.48</v>
      </c>
      <c r="I7" s="4" t="n">
        <v>1.1</v>
      </c>
      <c r="J7" s="4" t="n">
        <v>-0.6899999999999999</v>
      </c>
      <c r="K7" s="4" t="n">
        <v>-0.35</v>
      </c>
      <c r="L7" s="4" t="n">
        <v>-0.45</v>
      </c>
      <c r="M7" s="4" t="n">
        <v>0.01</v>
      </c>
      <c r="N7" s="4">
        <f>(H7-I7)-(F7-G7)</f>
        <v/>
      </c>
      <c r="O7" s="4">
        <f>(H7+I7)-(F7+G7)</f>
        <v/>
      </c>
    </row>
    <row r="8">
      <c r="A8" s="3" t="inlineStr">
        <is>
          <t>2026-09-12</t>
        </is>
      </c>
      <c r="B8" s="3" t="inlineStr">
        <is>
          <t>Portsmouth</t>
        </is>
      </c>
      <c r="C8" s="3" t="inlineStr">
        <is>
          <t>Home</t>
        </is>
      </c>
      <c r="D8" s="3" t="n">
        <v>0</v>
      </c>
      <c r="E8" s="3" t="n">
        <v>0</v>
      </c>
      <c r="F8" s="4" t="n">
        <v>1.2</v>
      </c>
      <c r="G8" s="4" t="n">
        <v>1.23</v>
      </c>
      <c r="H8" s="4" t="n">
        <v>0.82</v>
      </c>
      <c r="I8" s="4" t="n">
        <v>0.4</v>
      </c>
      <c r="J8" s="4" t="n">
        <v>-0.38</v>
      </c>
      <c r="K8" s="4" t="n">
        <v>-0.83</v>
      </c>
      <c r="L8" s="4" t="n">
        <v>-0.47</v>
      </c>
      <c r="M8" s="4" t="n">
        <v>-0.1</v>
      </c>
      <c r="N8" s="4">
        <f>(H8-I8)-(F8-G8)</f>
        <v/>
      </c>
      <c r="O8" s="4">
        <f>(H8+I8)-(F8+G8)</f>
        <v/>
      </c>
    </row>
    <row r="10">
      <c r="A10" s="6" t="inlineStr">
        <is>
          <t>Season summary</t>
        </is>
      </c>
    </row>
    <row r="11">
      <c r="A11" s="3" t="inlineStr">
        <is>
          <t>Matches played</t>
        </is>
      </c>
      <c r="E11" s="7">
        <f>COUNTA(A2:A8)</f>
        <v/>
      </c>
    </row>
    <row r="12">
      <c r="A12" s="3" t="inlineStr">
        <is>
          <t>Total goals for</t>
        </is>
      </c>
      <c r="E12" s="7">
        <f>SUM(D2:D8)</f>
        <v/>
      </c>
    </row>
    <row r="13">
      <c r="A13" s="3" t="inlineStr">
        <is>
          <t>Total goals against</t>
        </is>
      </c>
      <c r="E13" s="7">
        <f>SUM(E2:E8)</f>
        <v/>
      </c>
    </row>
    <row r="14">
      <c r="A14" s="3" t="inlineStr">
        <is>
          <t>Avg xG Delta (For)</t>
        </is>
      </c>
      <c r="E14" s="8">
        <f>AVERAGE(J2:J8)</f>
        <v/>
      </c>
    </row>
    <row r="15">
      <c r="A15" s="3" t="inlineStr">
        <is>
          <t>Avg xG Delta (Against)</t>
        </is>
      </c>
      <c r="E15" s="8">
        <f>AVERAGE(K2:K8)</f>
        <v/>
      </c>
    </row>
    <row r="16">
      <c r="A16" s="3" t="inlineStr">
        <is>
          <t>Avg Supremacy Delta</t>
        </is>
      </c>
      <c r="E16" s="8">
        <f>AVERAGE(N2:N8)</f>
        <v/>
      </c>
    </row>
    <row r="17">
      <c r="A17" s="3" t="inlineStr">
        <is>
          <t>Avg Total xG Delta</t>
        </is>
      </c>
      <c r="E17" s="8">
        <f>AVERAGE(O2:O8)</f>
        <v/>
      </c>
    </row>
    <row r="18">
      <c r="A18" s="3" t="inlineStr">
        <is>
          <t>Current form (last 6, For)</t>
        </is>
      </c>
      <c r="E18" s="8">
        <f>L8</f>
        <v/>
      </c>
    </row>
    <row r="19">
      <c r="A19" s="3" t="inlineStr">
        <is>
          <t>Current form (last 6, Against)</t>
        </is>
      </c>
      <c r="E19" s="8">
        <f>M8</f>
        <v/>
      </c>
    </row>
  </sheetData>
  <mergeCells count="9">
    <mergeCell ref="A17:D17"/>
    <mergeCell ref="A18:D18"/>
    <mergeCell ref="A12:D12"/>
    <mergeCell ref="A15:D15"/>
    <mergeCell ref="A16:D16"/>
    <mergeCell ref="A11:D11"/>
    <mergeCell ref="A19:D19"/>
    <mergeCell ref="A13:D13"/>
    <mergeCell ref="A14:D14"/>
  </mergeCells>
  <conditionalFormatting sqref="J2:J8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8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8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8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8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1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Charlton</t>
        </is>
      </c>
      <c r="C2" s="3" t="inlineStr">
        <is>
          <t>Away</t>
        </is>
      </c>
      <c r="D2" s="3" t="n">
        <v>1</v>
      </c>
      <c r="E2" s="3" t="n">
        <v>2</v>
      </c>
      <c r="F2" s="4" t="n">
        <v>1.23</v>
      </c>
      <c r="G2" s="4" t="n">
        <v>1.23</v>
      </c>
      <c r="H2" s="4" t="n">
        <v>1</v>
      </c>
      <c r="I2" s="4" t="n">
        <v>0.97</v>
      </c>
      <c r="J2" s="4" t="n">
        <v>-0.23</v>
      </c>
      <c r="K2" s="4" t="n">
        <v>-0.26</v>
      </c>
      <c r="L2" s="4" t="n">
        <v>-0.23</v>
      </c>
      <c r="M2" s="4" t="n">
        <v>-0.26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Cardiff</t>
        </is>
      </c>
      <c r="C3" s="3" t="inlineStr">
        <is>
          <t>Home</t>
        </is>
      </c>
      <c r="D3" s="3" t="n">
        <v>2</v>
      </c>
      <c r="E3" s="3" t="n">
        <v>2</v>
      </c>
      <c r="F3" s="4" t="n">
        <v>1.56</v>
      </c>
      <c r="G3" s="4" t="n">
        <v>1.04</v>
      </c>
      <c r="H3" s="4" t="n">
        <v>1.8</v>
      </c>
      <c r="I3" s="4" t="n">
        <v>2.26</v>
      </c>
      <c r="J3" s="4" t="n">
        <v>0.24</v>
      </c>
      <c r="K3" s="4" t="n">
        <v>1.22</v>
      </c>
      <c r="L3" s="4" t="n">
        <v>0.01</v>
      </c>
      <c r="M3" s="4" t="n">
        <v>0.48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Swansea</t>
        </is>
      </c>
      <c r="C4" s="3" t="inlineStr">
        <is>
          <t>Home</t>
        </is>
      </c>
      <c r="D4" s="3" t="n">
        <v>0</v>
      </c>
      <c r="E4" s="3" t="n">
        <v>3</v>
      </c>
      <c r="F4" s="4" t="n">
        <v>1.39</v>
      </c>
      <c r="G4" s="4" t="n">
        <v>1.11</v>
      </c>
      <c r="H4" s="4" t="n">
        <v>0.7</v>
      </c>
      <c r="I4" s="4" t="n">
        <v>3</v>
      </c>
      <c r="J4" s="4" t="n">
        <v>-0.6899999999999999</v>
      </c>
      <c r="K4" s="4" t="n">
        <v>1.89</v>
      </c>
      <c r="L4" s="4" t="n">
        <v>-0.23</v>
      </c>
      <c r="M4" s="4" t="n">
        <v>0.95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Portsmouth</t>
        </is>
      </c>
      <c r="C5" s="3" t="inlineStr">
        <is>
          <t>Away</t>
        </is>
      </c>
      <c r="D5" s="3" t="n">
        <v>2</v>
      </c>
      <c r="E5" s="3" t="n">
        <v>0</v>
      </c>
      <c r="F5" s="4" t="n">
        <v>1</v>
      </c>
      <c r="G5" s="4" t="n">
        <v>1.58</v>
      </c>
      <c r="H5" s="4" t="n">
        <v>0.55</v>
      </c>
      <c r="I5" s="4" t="n">
        <v>0.84</v>
      </c>
      <c r="J5" s="4" t="n">
        <v>-0.45</v>
      </c>
      <c r="K5" s="4" t="n">
        <v>-0.74</v>
      </c>
      <c r="L5" s="4" t="n">
        <v>-0.28</v>
      </c>
      <c r="M5" s="4" t="n">
        <v>0.53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West Ham</t>
        </is>
      </c>
      <c r="C6" s="3" t="inlineStr">
        <is>
          <t>Away</t>
        </is>
      </c>
      <c r="D6" s="3" t="n">
        <v>0</v>
      </c>
      <c r="E6" s="3" t="n">
        <v>3</v>
      </c>
      <c r="F6" s="4" t="n">
        <v>0.76</v>
      </c>
      <c r="G6" s="4" t="n">
        <v>2.18</v>
      </c>
      <c r="H6" s="4" t="n">
        <v>0.11</v>
      </c>
      <c r="I6" s="4" t="n">
        <v>3.79</v>
      </c>
      <c r="J6" s="4" t="n">
        <v>-0.65</v>
      </c>
      <c r="K6" s="4" t="n">
        <v>1.61</v>
      </c>
      <c r="L6" s="4" t="n">
        <v>-0.36</v>
      </c>
      <c r="M6" s="4" t="n">
        <v>0.74</v>
      </c>
      <c r="N6" s="4">
        <f>(H6-I6)-(F6-G6)</f>
        <v/>
      </c>
      <c r="O6" s="4">
        <f>(H6+I6)-(F6+G6)</f>
        <v/>
      </c>
    </row>
    <row r="7">
      <c r="A7" s="3" t="inlineStr">
        <is>
          <t>2026-09-09</t>
        </is>
      </c>
      <c r="B7" s="3" t="inlineStr">
        <is>
          <t>West Bromwich Albion</t>
        </is>
      </c>
      <c r="C7" s="3" t="inlineStr">
        <is>
          <t>Home</t>
        </is>
      </c>
      <c r="D7" s="3" t="n">
        <v>0</v>
      </c>
      <c r="E7" s="3" t="n">
        <v>1</v>
      </c>
      <c r="F7" s="4" t="n">
        <v>1.23</v>
      </c>
      <c r="G7" s="4" t="n">
        <v>1.43</v>
      </c>
      <c r="H7" s="4" t="n">
        <v>1.27</v>
      </c>
      <c r="I7" s="4" t="n">
        <v>0.38</v>
      </c>
      <c r="J7" s="4" t="n">
        <v>0.04</v>
      </c>
      <c r="K7" s="4" t="n">
        <v>-1.05</v>
      </c>
      <c r="L7" s="4" t="n">
        <v>-0.29</v>
      </c>
      <c r="M7" s="4" t="n">
        <v>0.45</v>
      </c>
      <c r="N7" s="4">
        <f>(H7-I7)-(F7-G7)</f>
        <v/>
      </c>
      <c r="O7" s="4">
        <f>(H7+I7)-(F7+G7)</f>
        <v/>
      </c>
    </row>
    <row r="8">
      <c r="A8" s="3" t="inlineStr">
        <is>
          <t>2026-09-12</t>
        </is>
      </c>
      <c r="B8" s="3" t="inlineStr">
        <is>
          <t>Birmingham</t>
        </is>
      </c>
      <c r="C8" s="3" t="inlineStr">
        <is>
          <t>Home</t>
        </is>
      </c>
      <c r="D8" s="3" t="n">
        <v>1</v>
      </c>
      <c r="E8" s="3" t="n">
        <v>2</v>
      </c>
      <c r="F8" s="4" t="n">
        <v>1.07</v>
      </c>
      <c r="G8" s="4" t="n">
        <v>1.44</v>
      </c>
      <c r="H8" s="4" t="n">
        <v>1.11</v>
      </c>
      <c r="I8" s="4" t="n">
        <v>3.17</v>
      </c>
      <c r="J8" s="4" t="n">
        <v>0.04</v>
      </c>
      <c r="K8" s="4" t="n">
        <v>1.73</v>
      </c>
      <c r="L8" s="4" t="n">
        <v>-0.25</v>
      </c>
      <c r="M8" s="4" t="n">
        <v>0.78</v>
      </c>
      <c r="N8" s="4">
        <f>(H8-I8)-(F8-G8)</f>
        <v/>
      </c>
      <c r="O8" s="4">
        <f>(H8+I8)-(F8+G8)</f>
        <v/>
      </c>
    </row>
    <row r="10">
      <c r="A10" s="6" t="inlineStr">
        <is>
          <t>Season summary</t>
        </is>
      </c>
    </row>
    <row r="11">
      <c r="A11" s="3" t="inlineStr">
        <is>
          <t>Matches played</t>
        </is>
      </c>
      <c r="E11" s="7">
        <f>COUNTA(A2:A8)</f>
        <v/>
      </c>
    </row>
    <row r="12">
      <c r="A12" s="3" t="inlineStr">
        <is>
          <t>Total goals for</t>
        </is>
      </c>
      <c r="E12" s="7">
        <f>SUM(D2:D8)</f>
        <v/>
      </c>
    </row>
    <row r="13">
      <c r="A13" s="3" t="inlineStr">
        <is>
          <t>Total goals against</t>
        </is>
      </c>
      <c r="E13" s="7">
        <f>SUM(E2:E8)</f>
        <v/>
      </c>
    </row>
    <row r="14">
      <c r="A14" s="3" t="inlineStr">
        <is>
          <t>Avg xG Delta (For)</t>
        </is>
      </c>
      <c r="E14" s="8">
        <f>AVERAGE(J2:J8)</f>
        <v/>
      </c>
    </row>
    <row r="15">
      <c r="A15" s="3" t="inlineStr">
        <is>
          <t>Avg xG Delta (Against)</t>
        </is>
      </c>
      <c r="E15" s="8">
        <f>AVERAGE(K2:K8)</f>
        <v/>
      </c>
    </row>
    <row r="16">
      <c r="A16" s="3" t="inlineStr">
        <is>
          <t>Avg Supremacy Delta</t>
        </is>
      </c>
      <c r="E16" s="8">
        <f>AVERAGE(N2:N8)</f>
        <v/>
      </c>
    </row>
    <row r="17">
      <c r="A17" s="3" t="inlineStr">
        <is>
          <t>Avg Total xG Delta</t>
        </is>
      </c>
      <c r="E17" s="8">
        <f>AVERAGE(O2:O8)</f>
        <v/>
      </c>
    </row>
    <row r="18">
      <c r="A18" s="3" t="inlineStr">
        <is>
          <t>Current form (last 6, For)</t>
        </is>
      </c>
      <c r="E18" s="8">
        <f>L8</f>
        <v/>
      </c>
    </row>
    <row r="19">
      <c r="A19" s="3" t="inlineStr">
        <is>
          <t>Current form (last 6, Against)</t>
        </is>
      </c>
      <c r="E19" s="8">
        <f>M8</f>
        <v/>
      </c>
    </row>
  </sheetData>
  <mergeCells count="9">
    <mergeCell ref="A17:D17"/>
    <mergeCell ref="A18:D18"/>
    <mergeCell ref="A12:D12"/>
    <mergeCell ref="A15:D15"/>
    <mergeCell ref="A16:D16"/>
    <mergeCell ref="A11:D11"/>
    <mergeCell ref="A19:D19"/>
    <mergeCell ref="A13:D13"/>
    <mergeCell ref="A14:D14"/>
  </mergeCells>
  <conditionalFormatting sqref="J2:J8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8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8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8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8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Middlesbrough</t>
        </is>
      </c>
      <c r="C2" s="3" t="inlineStr">
        <is>
          <t>Away</t>
        </is>
      </c>
      <c r="D2" s="3" t="n">
        <v>1</v>
      </c>
      <c r="E2" s="3" t="n">
        <v>2</v>
      </c>
      <c r="F2" s="4" t="n">
        <v>0.73</v>
      </c>
      <c r="G2" s="4" t="n">
        <v>2.27</v>
      </c>
      <c r="H2" s="4" t="n">
        <v>0.57</v>
      </c>
      <c r="I2" s="4" t="n">
        <v>2.23</v>
      </c>
      <c r="J2" s="4" t="n">
        <v>-0.16</v>
      </c>
      <c r="K2" s="4" t="n">
        <v>-0.04</v>
      </c>
      <c r="L2" s="4" t="n">
        <v>-0.16</v>
      </c>
      <c r="M2" s="4" t="n">
        <v>-0.04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Portsmouth</t>
        </is>
      </c>
      <c r="C3" s="3" t="inlineStr">
        <is>
          <t>Home</t>
        </is>
      </c>
      <c r="D3" s="3" t="n">
        <v>1</v>
      </c>
      <c r="E3" s="3" t="n">
        <v>3</v>
      </c>
      <c r="F3" s="4" t="n">
        <v>1.38</v>
      </c>
      <c r="G3" s="4" t="n">
        <v>1.26</v>
      </c>
      <c r="H3" s="4" t="n">
        <v>2.32</v>
      </c>
      <c r="I3" s="4" t="n">
        <v>1.21</v>
      </c>
      <c r="J3" s="4" t="n">
        <v>0.9399999999999999</v>
      </c>
      <c r="K3" s="4" t="n">
        <v>-0.05</v>
      </c>
      <c r="L3" s="4" t="n">
        <v>0.39</v>
      </c>
      <c r="M3" s="4" t="n">
        <v>-0.04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Bolton Wanderers</t>
        </is>
      </c>
      <c r="C4" s="3" t="inlineStr">
        <is>
          <t>Away</t>
        </is>
      </c>
      <c r="D4" s="3" t="n">
        <v>1</v>
      </c>
      <c r="E4" s="3" t="n">
        <v>0</v>
      </c>
      <c r="F4" s="4" t="n">
        <v>1.23</v>
      </c>
      <c r="G4" s="4" t="n">
        <v>1.32</v>
      </c>
      <c r="H4" s="4" t="n">
        <v>1.32</v>
      </c>
      <c r="I4" s="4" t="n">
        <v>1.89</v>
      </c>
      <c r="J4" s="4" t="n">
        <v>0.09</v>
      </c>
      <c r="K4" s="4" t="n">
        <v>0.57</v>
      </c>
      <c r="L4" s="4" t="n">
        <v>0.29</v>
      </c>
      <c r="M4" s="4" t="n">
        <v>0.16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Blackburn</t>
        </is>
      </c>
      <c r="C5" s="3" t="inlineStr">
        <is>
          <t>Home</t>
        </is>
      </c>
      <c r="D5" s="3" t="n">
        <v>0</v>
      </c>
      <c r="E5" s="3" t="n">
        <v>0</v>
      </c>
      <c r="F5" s="4" t="n">
        <v>1.48</v>
      </c>
      <c r="G5" s="4" t="n">
        <v>1.21</v>
      </c>
      <c r="H5" s="4" t="n">
        <v>1.46</v>
      </c>
      <c r="I5" s="4" t="n">
        <v>0.24</v>
      </c>
      <c r="J5" s="4" t="n">
        <v>-0.02</v>
      </c>
      <c r="K5" s="4" t="n">
        <v>-0.97</v>
      </c>
      <c r="L5" s="4" t="n">
        <v>0.21</v>
      </c>
      <c r="M5" s="4" t="n">
        <v>-0.12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Southampton</t>
        </is>
      </c>
      <c r="C6" s="3" t="inlineStr">
        <is>
          <t>Home</t>
        </is>
      </c>
      <c r="D6" s="3" t="n">
        <v>1</v>
      </c>
      <c r="E6" s="3" t="n">
        <v>1</v>
      </c>
      <c r="F6" s="4" t="n">
        <v>1.1</v>
      </c>
      <c r="G6" s="4" t="n">
        <v>1.82</v>
      </c>
      <c r="H6" s="4" t="n">
        <v>1.93</v>
      </c>
      <c r="I6" s="4" t="n">
        <v>0.67</v>
      </c>
      <c r="J6" s="4" t="n">
        <v>0.83</v>
      </c>
      <c r="K6" s="4" t="n">
        <v>-1.15</v>
      </c>
      <c r="L6" s="4" t="n">
        <v>0.33</v>
      </c>
      <c r="M6" s="4" t="n">
        <v>-0.33</v>
      </c>
      <c r="N6" s="4">
        <f>(H6-I6)-(F6-G6)</f>
        <v/>
      </c>
      <c r="O6" s="4">
        <f>(H6+I6)-(F6+G6)</f>
        <v/>
      </c>
    </row>
    <row r="7">
      <c r="A7" s="3" t="inlineStr">
        <is>
          <t>2026-09-12</t>
        </is>
      </c>
      <c r="B7" s="3" t="inlineStr">
        <is>
          <t>Preston North End</t>
        </is>
      </c>
      <c r="C7" s="3" t="inlineStr">
        <is>
          <t>Away</t>
        </is>
      </c>
      <c r="D7" s="3" t="n">
        <v>1</v>
      </c>
      <c r="E7" s="3" t="n">
        <v>0</v>
      </c>
      <c r="F7" s="4" t="n">
        <v>1.26</v>
      </c>
      <c r="G7" s="4" t="n">
        <v>1.49</v>
      </c>
      <c r="H7" s="4" t="n">
        <v>0.65</v>
      </c>
      <c r="I7" s="4" t="n">
        <v>0.58</v>
      </c>
      <c r="J7" s="4" t="n">
        <v>-0.61</v>
      </c>
      <c r="K7" s="4" t="n">
        <v>-0.91</v>
      </c>
      <c r="L7" s="4" t="n">
        <v>0.18</v>
      </c>
      <c r="M7" s="4" t="n">
        <v>-0.42</v>
      </c>
      <c r="N7" s="4">
        <f>(H7-I7)-(F7-G7)</f>
        <v/>
      </c>
      <c r="O7" s="4">
        <f>(H7+I7)-(F7+G7)</f>
        <v/>
      </c>
    </row>
    <row r="9">
      <c r="A9" s="6" t="inlineStr">
        <is>
          <t>Season summary</t>
        </is>
      </c>
    </row>
    <row r="10">
      <c r="A10" s="3" t="inlineStr">
        <is>
          <t>Matches played</t>
        </is>
      </c>
      <c r="E10" s="7">
        <f>COUNTA(A2:A7)</f>
        <v/>
      </c>
    </row>
    <row r="11">
      <c r="A11" s="3" t="inlineStr">
        <is>
          <t>Total goals for</t>
        </is>
      </c>
      <c r="E11" s="7">
        <f>SUM(D2:D7)</f>
        <v/>
      </c>
    </row>
    <row r="12">
      <c r="A12" s="3" t="inlineStr">
        <is>
          <t>Total goals against</t>
        </is>
      </c>
      <c r="E12" s="7">
        <f>SUM(E2:E7)</f>
        <v/>
      </c>
    </row>
    <row r="13">
      <c r="A13" s="3" t="inlineStr">
        <is>
          <t>Avg xG Delta (For)</t>
        </is>
      </c>
      <c r="E13" s="8">
        <f>AVERAGE(J2:J7)</f>
        <v/>
      </c>
    </row>
    <row r="14">
      <c r="A14" s="3" t="inlineStr">
        <is>
          <t>Avg xG Delta (Against)</t>
        </is>
      </c>
      <c r="E14" s="8">
        <f>AVERAGE(K2:K7)</f>
        <v/>
      </c>
    </row>
    <row r="15">
      <c r="A15" s="3" t="inlineStr">
        <is>
          <t>Avg Supremacy Delta</t>
        </is>
      </c>
      <c r="E15" s="8">
        <f>AVERAGE(N2:N7)</f>
        <v/>
      </c>
    </row>
    <row r="16">
      <c r="A16" s="3" t="inlineStr">
        <is>
          <t>Avg Total xG Delta</t>
        </is>
      </c>
      <c r="E16" s="8">
        <f>AVERAGE(O2:O7)</f>
        <v/>
      </c>
    </row>
    <row r="17">
      <c r="A17" s="3" t="inlineStr">
        <is>
          <t>Current form (last 6, For)</t>
        </is>
      </c>
      <c r="E17" s="8">
        <f>L7</f>
        <v/>
      </c>
    </row>
    <row r="18">
      <c r="A18" s="3" t="inlineStr">
        <is>
          <t>Current form (last 6, Against)</t>
        </is>
      </c>
      <c r="E18" s="8">
        <f>M7</f>
        <v/>
      </c>
    </row>
  </sheetData>
  <mergeCells count="9">
    <mergeCell ref="A17:D17"/>
    <mergeCell ref="A18:D18"/>
    <mergeCell ref="A12:D12"/>
    <mergeCell ref="A15:D15"/>
    <mergeCell ref="A16:D16"/>
    <mergeCell ref="A11:D11"/>
    <mergeCell ref="A10:D10"/>
    <mergeCell ref="A13:D13"/>
    <mergeCell ref="A14:D14"/>
  </mergeCells>
  <conditionalFormatting sqref="J2:J7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1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Lincoln</t>
        </is>
      </c>
      <c r="C2" s="3" t="inlineStr">
        <is>
          <t>Home</t>
        </is>
      </c>
      <c r="D2" s="3" t="n">
        <v>2</v>
      </c>
      <c r="E2" s="3" t="n">
        <v>1</v>
      </c>
      <c r="F2" s="4" t="n">
        <v>2.27</v>
      </c>
      <c r="G2" s="4" t="n">
        <v>0.73</v>
      </c>
      <c r="H2" s="4" t="n">
        <v>2.23</v>
      </c>
      <c r="I2" s="4" t="n">
        <v>0.57</v>
      </c>
      <c r="J2" s="4" t="n">
        <v>-0.04</v>
      </c>
      <c r="K2" s="4" t="n">
        <v>-0.16</v>
      </c>
      <c r="L2" s="4" t="n">
        <v>-0.04</v>
      </c>
      <c r="M2" s="4" t="n">
        <v>-0.16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Blackburn</t>
        </is>
      </c>
      <c r="C3" s="3" t="inlineStr">
        <is>
          <t>Away</t>
        </is>
      </c>
      <c r="D3" s="3" t="n">
        <v>1</v>
      </c>
      <c r="E3" s="3" t="n">
        <v>2</v>
      </c>
      <c r="F3" s="4" t="n">
        <v>1.51</v>
      </c>
      <c r="G3" s="4" t="n">
        <v>1.08</v>
      </c>
      <c r="H3" s="4" t="n">
        <v>1.43</v>
      </c>
      <c r="I3" s="4" t="n">
        <v>0.91</v>
      </c>
      <c r="J3" s="4" t="n">
        <v>-0.08</v>
      </c>
      <c r="K3" s="4" t="n">
        <v>-0.17</v>
      </c>
      <c r="L3" s="4" t="n">
        <v>-0.06</v>
      </c>
      <c r="M3" s="4" t="n">
        <v>-0.17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West Bromwich Albion</t>
        </is>
      </c>
      <c r="C4" s="3" t="inlineStr">
        <is>
          <t>Home</t>
        </is>
      </c>
      <c r="D4" s="3" t="n">
        <v>3</v>
      </c>
      <c r="E4" s="3" t="n">
        <v>1</v>
      </c>
      <c r="F4" s="4" t="n">
        <v>1.76</v>
      </c>
      <c r="G4" s="4" t="n">
        <v>0.99</v>
      </c>
      <c r="H4" s="4" t="n">
        <v>2.55</v>
      </c>
      <c r="I4" s="4" t="n">
        <v>1.32</v>
      </c>
      <c r="J4" s="4" t="n">
        <v>0.79</v>
      </c>
      <c r="K4" s="4" t="n">
        <v>0.33</v>
      </c>
      <c r="L4" s="4" t="n">
        <v>0.23</v>
      </c>
      <c r="M4" s="4" t="n">
        <v>-0</v>
      </c>
      <c r="N4" s="4">
        <f>(H4-I4)-(F4-G4)</f>
        <v/>
      </c>
      <c r="O4" s="4">
        <f>(H4+I4)-(F4+G4)</f>
        <v/>
      </c>
    </row>
    <row r="5">
      <c r="A5" s="3" t="inlineStr">
        <is>
          <t>2026-09-02</t>
        </is>
      </c>
      <c r="B5" s="3" t="inlineStr">
        <is>
          <t>Burnley</t>
        </is>
      </c>
      <c r="C5" s="3" t="inlineStr">
        <is>
          <t>Away</t>
        </is>
      </c>
      <c r="D5" s="3" t="n">
        <v>1</v>
      </c>
      <c r="E5" s="3" t="n">
        <v>1</v>
      </c>
      <c r="F5" s="4" t="n">
        <v>1.49</v>
      </c>
      <c r="G5" s="4" t="n">
        <v>1.34</v>
      </c>
      <c r="H5" s="4" t="n">
        <v>0.97</v>
      </c>
      <c r="I5" s="4" t="n">
        <v>0.68</v>
      </c>
      <c r="J5" s="4" t="n">
        <v>-0.52</v>
      </c>
      <c r="K5" s="4" t="n">
        <v>-0.66</v>
      </c>
      <c r="L5" s="4" t="n">
        <v>0.04</v>
      </c>
      <c r="M5" s="4" t="n">
        <v>-0.17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Queens Park Rangers</t>
        </is>
      </c>
      <c r="C6" s="3" t="inlineStr">
        <is>
          <t>Away</t>
        </is>
      </c>
      <c r="D6" s="3" t="n">
        <v>1</v>
      </c>
      <c r="E6" s="3" t="n">
        <v>0</v>
      </c>
      <c r="F6" s="4" t="n">
        <v>1.57</v>
      </c>
      <c r="G6" s="4" t="n">
        <v>1.26</v>
      </c>
      <c r="H6" s="4" t="n">
        <v>2.53</v>
      </c>
      <c r="I6" s="4" t="n">
        <v>1.03</v>
      </c>
      <c r="J6" s="4" t="n">
        <v>0.95</v>
      </c>
      <c r="K6" s="4" t="n">
        <v>-0.23</v>
      </c>
      <c r="L6" s="4" t="n">
        <v>0.22</v>
      </c>
      <c r="M6" s="4" t="n">
        <v>-0.18</v>
      </c>
      <c r="N6" s="4">
        <f>(H6-I6)-(F6-G6)</f>
        <v/>
      </c>
      <c r="O6" s="4">
        <f>(H6+I6)-(F6+G6)</f>
        <v/>
      </c>
    </row>
    <row r="7">
      <c r="A7" s="3" t="inlineStr">
        <is>
          <t>2026-09-12</t>
        </is>
      </c>
      <c r="B7" s="3" t="inlineStr">
        <is>
          <t>Norwich</t>
        </is>
      </c>
      <c r="C7" s="3" t="inlineStr">
        <is>
          <t>Home</t>
        </is>
      </c>
      <c r="D7" s="3" t="n">
        <v>4</v>
      </c>
      <c r="E7" s="3" t="n">
        <v>3</v>
      </c>
      <c r="F7" s="4" t="n">
        <v>1.9</v>
      </c>
      <c r="G7" s="4" t="n">
        <v>1.25</v>
      </c>
      <c r="H7" s="4" t="n">
        <v>2.38</v>
      </c>
      <c r="I7" s="4" t="n">
        <v>1.76</v>
      </c>
      <c r="J7" s="4" t="n">
        <v>0.48</v>
      </c>
      <c r="K7" s="4" t="n">
        <v>0.51</v>
      </c>
      <c r="L7" s="4" t="n">
        <v>0.26</v>
      </c>
      <c r="M7" s="4" t="n">
        <v>-0.06</v>
      </c>
      <c r="N7" s="4">
        <f>(H7-I7)-(F7-G7)</f>
        <v/>
      </c>
      <c r="O7" s="4">
        <f>(H7+I7)-(F7+G7)</f>
        <v/>
      </c>
    </row>
    <row r="9">
      <c r="A9" s="6" t="inlineStr">
        <is>
          <t>Season summary</t>
        </is>
      </c>
    </row>
    <row r="10">
      <c r="A10" s="3" t="inlineStr">
        <is>
          <t>Matches played</t>
        </is>
      </c>
      <c r="E10" s="7">
        <f>COUNTA(A2:A7)</f>
        <v/>
      </c>
    </row>
    <row r="11">
      <c r="A11" s="3" t="inlineStr">
        <is>
          <t>Total goals for</t>
        </is>
      </c>
      <c r="E11" s="7">
        <f>SUM(D2:D7)</f>
        <v/>
      </c>
    </row>
    <row r="12">
      <c r="A12" s="3" t="inlineStr">
        <is>
          <t>Total goals against</t>
        </is>
      </c>
      <c r="E12" s="7">
        <f>SUM(E2:E7)</f>
        <v/>
      </c>
    </row>
    <row r="13">
      <c r="A13" s="3" t="inlineStr">
        <is>
          <t>Avg xG Delta (For)</t>
        </is>
      </c>
      <c r="E13" s="8">
        <f>AVERAGE(J2:J7)</f>
        <v/>
      </c>
    </row>
    <row r="14">
      <c r="A14" s="3" t="inlineStr">
        <is>
          <t>Avg xG Delta (Against)</t>
        </is>
      </c>
      <c r="E14" s="8">
        <f>AVERAGE(K2:K7)</f>
        <v/>
      </c>
    </row>
    <row r="15">
      <c r="A15" s="3" t="inlineStr">
        <is>
          <t>Avg Supremacy Delta</t>
        </is>
      </c>
      <c r="E15" s="8">
        <f>AVERAGE(N2:N7)</f>
        <v/>
      </c>
    </row>
    <row r="16">
      <c r="A16" s="3" t="inlineStr">
        <is>
          <t>Avg Total xG Delta</t>
        </is>
      </c>
      <c r="E16" s="8">
        <f>AVERAGE(O2:O7)</f>
        <v/>
      </c>
    </row>
    <row r="17">
      <c r="A17" s="3" t="inlineStr">
        <is>
          <t>Current form (last 6, For)</t>
        </is>
      </c>
      <c r="E17" s="8">
        <f>L7</f>
        <v/>
      </c>
    </row>
    <row r="18">
      <c r="A18" s="3" t="inlineStr">
        <is>
          <t>Current form (last 6, Against)</t>
        </is>
      </c>
      <c r="E18" s="8">
        <f>M7</f>
        <v/>
      </c>
    </row>
  </sheetData>
  <mergeCells count="9">
    <mergeCell ref="A17:D17"/>
    <mergeCell ref="A18:D18"/>
    <mergeCell ref="A12:D12"/>
    <mergeCell ref="A15:D15"/>
    <mergeCell ref="A16:D16"/>
    <mergeCell ref="A11:D11"/>
    <mergeCell ref="A10:D10"/>
    <mergeCell ref="A13:D13"/>
    <mergeCell ref="A14:D14"/>
  </mergeCells>
  <conditionalFormatting sqref="J2:J7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Bristol City</t>
        </is>
      </c>
      <c r="C2" s="3" t="inlineStr">
        <is>
          <t>Away</t>
        </is>
      </c>
      <c r="D2" s="3" t="n">
        <v>2</v>
      </c>
      <c r="E2" s="3" t="n">
        <v>0</v>
      </c>
      <c r="F2" s="4" t="n">
        <v>1.3</v>
      </c>
      <c r="G2" s="4" t="n">
        <v>1.35</v>
      </c>
      <c r="H2" s="4" t="n">
        <v>3.4</v>
      </c>
      <c r="I2" s="4" t="n">
        <v>0.52</v>
      </c>
      <c r="J2" s="4" t="n">
        <v>2.1</v>
      </c>
      <c r="K2" s="4" t="n">
        <v>-0.83</v>
      </c>
      <c r="L2" s="4" t="n">
        <v>2.1</v>
      </c>
      <c r="M2" s="4" t="n">
        <v>-0.83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Norwich</t>
        </is>
      </c>
      <c r="C3" s="3" t="inlineStr">
        <is>
          <t>Home</t>
        </is>
      </c>
      <c r="D3" s="3" t="n">
        <v>3</v>
      </c>
      <c r="E3" s="3" t="n">
        <v>0</v>
      </c>
      <c r="F3" s="4" t="n">
        <v>1.47</v>
      </c>
      <c r="G3" s="4" t="n">
        <v>1.18</v>
      </c>
      <c r="H3" s="4" t="n">
        <v>2.69</v>
      </c>
      <c r="I3" s="4" t="n">
        <v>1.02</v>
      </c>
      <c r="J3" s="4" t="n">
        <v>1.22</v>
      </c>
      <c r="K3" s="4" t="n">
        <v>-0.16</v>
      </c>
      <c r="L3" s="4" t="n">
        <v>1.66</v>
      </c>
      <c r="M3" s="4" t="n">
        <v>-0.49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Southampton</t>
        </is>
      </c>
      <c r="C4" s="3" t="inlineStr">
        <is>
          <t>Away</t>
        </is>
      </c>
      <c r="D4" s="3" t="n">
        <v>1</v>
      </c>
      <c r="E4" s="3" t="n">
        <v>5</v>
      </c>
      <c r="F4" s="4" t="n">
        <v>1.14</v>
      </c>
      <c r="G4" s="4" t="n">
        <v>1.65</v>
      </c>
      <c r="H4" s="4" t="n">
        <v>1.35</v>
      </c>
      <c r="I4" s="4" t="n">
        <v>3.62</v>
      </c>
      <c r="J4" s="4" t="n">
        <v>0.21</v>
      </c>
      <c r="K4" s="4" t="n">
        <v>1.97</v>
      </c>
      <c r="L4" s="4" t="n">
        <v>1.18</v>
      </c>
      <c r="M4" s="4" t="n">
        <v>0.33</v>
      </c>
      <c r="N4" s="4">
        <f>(H4-I4)-(F4-G4)</f>
        <v/>
      </c>
      <c r="O4" s="4">
        <f>(H4+I4)-(F4+G4)</f>
        <v/>
      </c>
    </row>
    <row r="5">
      <c r="A5" s="3" t="inlineStr">
        <is>
          <t>2026-09-02</t>
        </is>
      </c>
      <c r="B5" s="3" t="inlineStr">
        <is>
          <t>Wrexham</t>
        </is>
      </c>
      <c r="C5" s="3" t="inlineStr">
        <is>
          <t>Home</t>
        </is>
      </c>
      <c r="D5" s="3" t="n">
        <v>0</v>
      </c>
      <c r="E5" s="3" t="n">
        <v>3</v>
      </c>
      <c r="F5" s="4" t="n">
        <v>1.46</v>
      </c>
      <c r="G5" s="4" t="n">
        <v>1.17</v>
      </c>
      <c r="H5" s="4" t="n">
        <v>0.23</v>
      </c>
      <c r="I5" s="4" t="n">
        <v>0.88</v>
      </c>
      <c r="J5" s="4" t="n">
        <v>-1.23</v>
      </c>
      <c r="K5" s="4" t="n">
        <v>-0.29</v>
      </c>
      <c r="L5" s="4" t="n">
        <v>0.58</v>
      </c>
      <c r="M5" s="4" t="n">
        <v>0.17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Bolton Wanderers</t>
        </is>
      </c>
      <c r="C6" s="3" t="inlineStr">
        <is>
          <t>Home</t>
        </is>
      </c>
      <c r="D6" s="3" t="n">
        <v>4</v>
      </c>
      <c r="E6" s="3" t="n">
        <v>0</v>
      </c>
      <c r="F6" s="4" t="n">
        <v>1.56</v>
      </c>
      <c r="G6" s="4" t="n">
        <v>0.99</v>
      </c>
      <c r="H6" s="4" t="n">
        <v>2.67</v>
      </c>
      <c r="I6" s="4" t="n">
        <v>1.15</v>
      </c>
      <c r="J6" s="4" t="n">
        <v>1.11</v>
      </c>
      <c r="K6" s="4" t="n">
        <v>0.16</v>
      </c>
      <c r="L6" s="4" t="n">
        <v>0.68</v>
      </c>
      <c r="M6" s="4" t="n">
        <v>0.17</v>
      </c>
      <c r="N6" s="4">
        <f>(H6-I6)-(F6-G6)</f>
        <v/>
      </c>
      <c r="O6" s="4">
        <f>(H6+I6)-(F6+G6)</f>
        <v/>
      </c>
    </row>
    <row r="7">
      <c r="A7" s="3" t="inlineStr">
        <is>
          <t>2026-09-12</t>
        </is>
      </c>
      <c r="B7" s="3" t="inlineStr">
        <is>
          <t>Blackburn</t>
        </is>
      </c>
      <c r="C7" s="3" t="inlineStr">
        <is>
          <t>Away</t>
        </is>
      </c>
      <c r="D7" s="3" t="n">
        <v>1</v>
      </c>
      <c r="E7" s="3" t="n">
        <v>3</v>
      </c>
      <c r="F7" s="4" t="n">
        <v>1.37</v>
      </c>
      <c r="G7" s="4" t="n">
        <v>1.33</v>
      </c>
      <c r="H7" s="4" t="n">
        <v>1.67</v>
      </c>
      <c r="I7" s="4" t="n">
        <v>1.23</v>
      </c>
      <c r="J7" s="4" t="n">
        <v>0.3</v>
      </c>
      <c r="K7" s="4" t="n">
        <v>-0.1</v>
      </c>
      <c r="L7" s="4" t="n">
        <v>0.62</v>
      </c>
      <c r="M7" s="4" t="n">
        <v>0.13</v>
      </c>
      <c r="N7" s="4">
        <f>(H7-I7)-(F7-G7)</f>
        <v/>
      </c>
      <c r="O7" s="4">
        <f>(H7+I7)-(F7+G7)</f>
        <v/>
      </c>
    </row>
    <row r="9">
      <c r="A9" s="6" t="inlineStr">
        <is>
          <t>Season summary</t>
        </is>
      </c>
    </row>
    <row r="10">
      <c r="A10" s="3" t="inlineStr">
        <is>
          <t>Matches played</t>
        </is>
      </c>
      <c r="E10" s="7">
        <f>COUNTA(A2:A7)</f>
        <v/>
      </c>
    </row>
    <row r="11">
      <c r="A11" s="3" t="inlineStr">
        <is>
          <t>Total goals for</t>
        </is>
      </c>
      <c r="E11" s="7">
        <f>SUM(D2:D7)</f>
        <v/>
      </c>
    </row>
    <row r="12">
      <c r="A12" s="3" t="inlineStr">
        <is>
          <t>Total goals against</t>
        </is>
      </c>
      <c r="E12" s="7">
        <f>SUM(E2:E7)</f>
        <v/>
      </c>
    </row>
    <row r="13">
      <c r="A13" s="3" t="inlineStr">
        <is>
          <t>Avg xG Delta (For)</t>
        </is>
      </c>
      <c r="E13" s="8">
        <f>AVERAGE(J2:J7)</f>
        <v/>
      </c>
    </row>
    <row r="14">
      <c r="A14" s="3" t="inlineStr">
        <is>
          <t>Avg xG Delta (Against)</t>
        </is>
      </c>
      <c r="E14" s="8">
        <f>AVERAGE(K2:K7)</f>
        <v/>
      </c>
    </row>
    <row r="15">
      <c r="A15" s="3" t="inlineStr">
        <is>
          <t>Avg Supremacy Delta</t>
        </is>
      </c>
      <c r="E15" s="8">
        <f>AVERAGE(N2:N7)</f>
        <v/>
      </c>
    </row>
    <row r="16">
      <c r="A16" s="3" t="inlineStr">
        <is>
          <t>Avg Total xG Delta</t>
        </is>
      </c>
      <c r="E16" s="8">
        <f>AVERAGE(O2:O7)</f>
        <v/>
      </c>
    </row>
    <row r="17">
      <c r="A17" s="3" t="inlineStr">
        <is>
          <t>Current form (last 6, For)</t>
        </is>
      </c>
      <c r="E17" s="8">
        <f>L7</f>
        <v/>
      </c>
    </row>
    <row r="18">
      <c r="A18" s="3" t="inlineStr">
        <is>
          <t>Current form (last 6, Against)</t>
        </is>
      </c>
      <c r="E18" s="8">
        <f>M7</f>
        <v/>
      </c>
    </row>
  </sheetData>
  <mergeCells count="9">
    <mergeCell ref="A17:D17"/>
    <mergeCell ref="A18:D18"/>
    <mergeCell ref="A12:D12"/>
    <mergeCell ref="A15:D15"/>
    <mergeCell ref="A16:D16"/>
    <mergeCell ref="A11:D11"/>
    <mergeCell ref="A10:D10"/>
    <mergeCell ref="A13:D13"/>
    <mergeCell ref="A14:D14"/>
  </mergeCells>
  <conditionalFormatting sqref="J2:J7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O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1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5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West Bromwich Albion</t>
        </is>
      </c>
      <c r="C2" s="3" t="inlineStr">
        <is>
          <t>Home</t>
        </is>
      </c>
      <c r="D2" s="3" t="n">
        <v>1</v>
      </c>
      <c r="E2" s="3" t="n">
        <v>2</v>
      </c>
      <c r="F2" s="4" t="n">
        <v>1.6</v>
      </c>
      <c r="G2" s="4" t="n">
        <v>1.06</v>
      </c>
      <c r="H2" s="4" t="n">
        <v>2.96</v>
      </c>
      <c r="I2" s="4" t="n">
        <v>1.85</v>
      </c>
      <c r="J2" s="4" t="n">
        <v>1.36</v>
      </c>
      <c r="K2" s="4" t="n">
        <v>0.79</v>
      </c>
      <c r="L2" s="4" t="n">
        <v>1.36</v>
      </c>
      <c r="M2" s="4" t="n">
        <v>0.79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Millwall</t>
        </is>
      </c>
      <c r="C3" s="3" t="inlineStr">
        <is>
          <t>Away</t>
        </is>
      </c>
      <c r="D3" s="3" t="n">
        <v>0</v>
      </c>
      <c r="E3" s="3" t="n">
        <v>3</v>
      </c>
      <c r="F3" s="4" t="n">
        <v>1.18</v>
      </c>
      <c r="G3" s="4" t="n">
        <v>1.47</v>
      </c>
      <c r="H3" s="4" t="n">
        <v>1.02</v>
      </c>
      <c r="I3" s="4" t="n">
        <v>2.69</v>
      </c>
      <c r="J3" s="4" t="n">
        <v>-0.16</v>
      </c>
      <c r="K3" s="4" t="n">
        <v>1.22</v>
      </c>
      <c r="L3" s="4" t="n">
        <v>0.6</v>
      </c>
      <c r="M3" s="4" t="n">
        <v>1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Burnley</t>
        </is>
      </c>
      <c r="C4" s="3" t="inlineStr">
        <is>
          <t>Home</t>
        </is>
      </c>
      <c r="D4" s="3" t="n">
        <v>4</v>
      </c>
      <c r="E4" s="3" t="n">
        <v>1</v>
      </c>
      <c r="F4" s="4" t="n">
        <v>1.53</v>
      </c>
      <c r="G4" s="4" t="n">
        <v>1.28</v>
      </c>
      <c r="H4" s="4" t="n">
        <v>2.3</v>
      </c>
      <c r="I4" s="4" t="n">
        <v>1.38</v>
      </c>
      <c r="J4" s="4" t="n">
        <v>0.76</v>
      </c>
      <c r="K4" s="4" t="n">
        <v>0.1</v>
      </c>
      <c r="L4" s="4" t="n">
        <v>0.65</v>
      </c>
      <c r="M4" s="4" t="n">
        <v>0.7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Stoke</t>
        </is>
      </c>
      <c r="C5" s="3" t="inlineStr">
        <is>
          <t>Away</t>
        </is>
      </c>
      <c r="D5" s="3" t="n">
        <v>0</v>
      </c>
      <c r="E5" s="3" t="n">
        <v>1</v>
      </c>
      <c r="F5" s="4" t="n">
        <v>1.61</v>
      </c>
      <c r="G5" s="4" t="n">
        <v>1.19</v>
      </c>
      <c r="H5" s="4" t="n">
        <v>1.44</v>
      </c>
      <c r="I5" s="4" t="n">
        <v>0.58</v>
      </c>
      <c r="J5" s="4" t="n">
        <v>-0.17</v>
      </c>
      <c r="K5" s="4" t="n">
        <v>-0.61</v>
      </c>
      <c r="L5" s="4" t="n">
        <v>0.45</v>
      </c>
      <c r="M5" s="4" t="n">
        <v>0.38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Sheffield United</t>
        </is>
      </c>
      <c r="C6" s="3" t="inlineStr">
        <is>
          <t>Away</t>
        </is>
      </c>
      <c r="D6" s="3" t="n">
        <v>3</v>
      </c>
      <c r="E6" s="3" t="n">
        <v>1</v>
      </c>
      <c r="F6" s="4" t="n">
        <v>1.39</v>
      </c>
      <c r="G6" s="4" t="n">
        <v>1.39</v>
      </c>
      <c r="H6" s="4" t="n">
        <v>3.04</v>
      </c>
      <c r="I6" s="4" t="n">
        <v>0.79</v>
      </c>
      <c r="J6" s="4" t="n">
        <v>1.65</v>
      </c>
      <c r="K6" s="4" t="n">
        <v>-0.6</v>
      </c>
      <c r="L6" s="4" t="n">
        <v>0.6899999999999999</v>
      </c>
      <c r="M6" s="4" t="n">
        <v>0.18</v>
      </c>
      <c r="N6" s="4">
        <f>(H6-I6)-(F6-G6)</f>
        <v/>
      </c>
      <c r="O6" s="4">
        <f>(H6+I6)-(F6+G6)</f>
        <v/>
      </c>
    </row>
    <row r="7">
      <c r="A7" s="3" t="inlineStr">
        <is>
          <t>2026-09-09</t>
        </is>
      </c>
      <c r="B7" s="3" t="inlineStr">
        <is>
          <t>Birmingham</t>
        </is>
      </c>
      <c r="C7" s="3" t="inlineStr">
        <is>
          <t>Home</t>
        </is>
      </c>
      <c r="D7" s="3" t="n">
        <v>2</v>
      </c>
      <c r="E7" s="3" t="n">
        <v>1</v>
      </c>
      <c r="F7" s="4" t="n">
        <v>1.71</v>
      </c>
      <c r="G7" s="4" t="n">
        <v>1.13</v>
      </c>
      <c r="H7" s="4" t="n">
        <v>1.01</v>
      </c>
      <c r="I7" s="4" t="n">
        <v>1.63</v>
      </c>
      <c r="J7" s="4" t="n">
        <v>-0.7</v>
      </c>
      <c r="K7" s="4" t="n">
        <v>0.5</v>
      </c>
      <c r="L7" s="4" t="n">
        <v>0.46</v>
      </c>
      <c r="M7" s="4" t="n">
        <v>0.23</v>
      </c>
      <c r="N7" s="4">
        <f>(H7-I7)-(F7-G7)</f>
        <v/>
      </c>
      <c r="O7" s="4">
        <f>(H7+I7)-(F7+G7)</f>
        <v/>
      </c>
    </row>
    <row r="8">
      <c r="A8" s="3" t="inlineStr">
        <is>
          <t>2026-09-12</t>
        </is>
      </c>
      <c r="B8" s="3" t="inlineStr">
        <is>
          <t>Middlesbrough</t>
        </is>
      </c>
      <c r="C8" s="3" t="inlineStr">
        <is>
          <t>Away</t>
        </is>
      </c>
      <c r="D8" s="3" t="n">
        <v>3</v>
      </c>
      <c r="E8" s="3" t="n">
        <v>4</v>
      </c>
      <c r="F8" s="4" t="n">
        <v>1.25</v>
      </c>
      <c r="G8" s="4" t="n">
        <v>1.9</v>
      </c>
      <c r="H8" s="4" t="n">
        <v>1.76</v>
      </c>
      <c r="I8" s="4" t="n">
        <v>2.38</v>
      </c>
      <c r="J8" s="4" t="n">
        <v>0.51</v>
      </c>
      <c r="K8" s="4" t="n">
        <v>0.48</v>
      </c>
      <c r="L8" s="4" t="n">
        <v>0.32</v>
      </c>
      <c r="M8" s="4" t="n">
        <v>0.18</v>
      </c>
      <c r="N8" s="4">
        <f>(H8-I8)-(F8-G8)</f>
        <v/>
      </c>
      <c r="O8" s="4">
        <f>(H8+I8)-(F8+G8)</f>
        <v/>
      </c>
    </row>
    <row r="10">
      <c r="A10" s="6" t="inlineStr">
        <is>
          <t>Season summary</t>
        </is>
      </c>
    </row>
    <row r="11">
      <c r="A11" s="3" t="inlineStr">
        <is>
          <t>Matches played</t>
        </is>
      </c>
      <c r="E11" s="7">
        <f>COUNTA(A2:A8)</f>
        <v/>
      </c>
    </row>
    <row r="12">
      <c r="A12" s="3" t="inlineStr">
        <is>
          <t>Total goals for</t>
        </is>
      </c>
      <c r="E12" s="7">
        <f>SUM(D2:D8)</f>
        <v/>
      </c>
    </row>
    <row r="13">
      <c r="A13" s="3" t="inlineStr">
        <is>
          <t>Total goals against</t>
        </is>
      </c>
      <c r="E13" s="7">
        <f>SUM(E2:E8)</f>
        <v/>
      </c>
    </row>
    <row r="14">
      <c r="A14" s="3" t="inlineStr">
        <is>
          <t>Avg xG Delta (For)</t>
        </is>
      </c>
      <c r="E14" s="8">
        <f>AVERAGE(J2:J8)</f>
        <v/>
      </c>
    </row>
    <row r="15">
      <c r="A15" s="3" t="inlineStr">
        <is>
          <t>Avg xG Delta (Against)</t>
        </is>
      </c>
      <c r="E15" s="8">
        <f>AVERAGE(K2:K8)</f>
        <v/>
      </c>
    </row>
    <row r="16">
      <c r="A16" s="3" t="inlineStr">
        <is>
          <t>Avg Supremacy Delta</t>
        </is>
      </c>
      <c r="E16" s="8">
        <f>AVERAGE(N2:N8)</f>
        <v/>
      </c>
    </row>
    <row r="17">
      <c r="A17" s="3" t="inlineStr">
        <is>
          <t>Avg Total xG Delta</t>
        </is>
      </c>
      <c r="E17" s="8">
        <f>AVERAGE(O2:O8)</f>
        <v/>
      </c>
    </row>
    <row r="18">
      <c r="A18" s="3" t="inlineStr">
        <is>
          <t>Current form (last 6, For)</t>
        </is>
      </c>
      <c r="E18" s="8">
        <f>L8</f>
        <v/>
      </c>
    </row>
    <row r="19">
      <c r="A19" s="3" t="inlineStr">
        <is>
          <t>Current form (last 6, Against)</t>
        </is>
      </c>
      <c r="E19" s="8">
        <f>M8</f>
        <v/>
      </c>
    </row>
  </sheetData>
  <mergeCells count="9">
    <mergeCell ref="A17:D17"/>
    <mergeCell ref="A18:D18"/>
    <mergeCell ref="A12:D12"/>
    <mergeCell ref="A15:D15"/>
    <mergeCell ref="A16:D16"/>
    <mergeCell ref="A11:D11"/>
    <mergeCell ref="A19:D19"/>
    <mergeCell ref="A13:D13"/>
    <mergeCell ref="A14:D14"/>
  </mergeCells>
  <conditionalFormatting sqref="J2:J8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8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8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8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8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5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Queens Park Rangers</t>
        </is>
      </c>
      <c r="C2" s="3" t="inlineStr">
        <is>
          <t>Home</t>
        </is>
      </c>
      <c r="D2" s="3" t="n">
        <v>1</v>
      </c>
      <c r="E2" s="3" t="n">
        <v>3</v>
      </c>
      <c r="F2" s="4" t="n">
        <v>1.43</v>
      </c>
      <c r="G2" s="4" t="n">
        <v>1.2</v>
      </c>
      <c r="H2" s="4" t="n">
        <v>2.17</v>
      </c>
      <c r="I2" s="4" t="n">
        <v>2.07</v>
      </c>
      <c r="J2" s="4" t="n">
        <v>0.74</v>
      </c>
      <c r="K2" s="4" t="n">
        <v>0.87</v>
      </c>
      <c r="L2" s="4" t="n">
        <v>0.74</v>
      </c>
      <c r="M2" s="4" t="n">
        <v>0.87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Lincoln</t>
        </is>
      </c>
      <c r="C3" s="3" t="inlineStr">
        <is>
          <t>Away</t>
        </is>
      </c>
      <c r="D3" s="3" t="n">
        <v>3</v>
      </c>
      <c r="E3" s="3" t="n">
        <v>1</v>
      </c>
      <c r="F3" s="4" t="n">
        <v>1.26</v>
      </c>
      <c r="G3" s="4" t="n">
        <v>1.38</v>
      </c>
      <c r="H3" s="4" t="n">
        <v>1.21</v>
      </c>
      <c r="I3" s="4" t="n">
        <v>2.32</v>
      </c>
      <c r="J3" s="4" t="n">
        <v>-0.05</v>
      </c>
      <c r="K3" s="4" t="n">
        <v>0.9399999999999999</v>
      </c>
      <c r="L3" s="4" t="n">
        <v>0.35</v>
      </c>
      <c r="M3" s="4" t="n">
        <v>0.9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Bristol City</t>
        </is>
      </c>
      <c r="C4" s="3" t="inlineStr">
        <is>
          <t>Away</t>
        </is>
      </c>
      <c r="D4" s="3" t="n">
        <v>1</v>
      </c>
      <c r="E4" s="3" t="n">
        <v>2</v>
      </c>
      <c r="F4" s="4" t="n">
        <v>1.09</v>
      </c>
      <c r="G4" s="4" t="n">
        <v>1.44</v>
      </c>
      <c r="H4" s="4" t="n">
        <v>1.37</v>
      </c>
      <c r="I4" s="4" t="n">
        <v>0.61</v>
      </c>
      <c r="J4" s="4" t="n">
        <v>0.28</v>
      </c>
      <c r="K4" s="4" t="n">
        <v>-0.83</v>
      </c>
      <c r="L4" s="4" t="n">
        <v>0.32</v>
      </c>
      <c r="M4" s="4" t="n">
        <v>0.32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Derby</t>
        </is>
      </c>
      <c r="C5" s="3" t="inlineStr">
        <is>
          <t>Home</t>
        </is>
      </c>
      <c r="D5" s="3" t="n">
        <v>0</v>
      </c>
      <c r="E5" s="3" t="n">
        <v>2</v>
      </c>
      <c r="F5" s="4" t="n">
        <v>1.58</v>
      </c>
      <c r="G5" s="4" t="n">
        <v>1</v>
      </c>
      <c r="H5" s="4" t="n">
        <v>0.84</v>
      </c>
      <c r="I5" s="4" t="n">
        <v>0.55</v>
      </c>
      <c r="J5" s="4" t="n">
        <v>-0.74</v>
      </c>
      <c r="K5" s="4" t="n">
        <v>-0.45</v>
      </c>
      <c r="L5" s="4" t="n">
        <v>0.06</v>
      </c>
      <c r="M5" s="4" t="n">
        <v>0.13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Cardiff</t>
        </is>
      </c>
      <c r="C6" s="3" t="inlineStr">
        <is>
          <t>Home</t>
        </is>
      </c>
      <c r="D6" s="3" t="n">
        <v>2</v>
      </c>
      <c r="E6" s="3" t="n">
        <v>0</v>
      </c>
      <c r="F6" s="4" t="n">
        <v>1.52</v>
      </c>
      <c r="G6" s="4" t="n">
        <v>1.35</v>
      </c>
      <c r="H6" s="4" t="n">
        <v>2.07</v>
      </c>
      <c r="I6" s="4" t="n">
        <v>1.43</v>
      </c>
      <c r="J6" s="4" t="n">
        <v>0.55</v>
      </c>
      <c r="K6" s="4" t="n">
        <v>0.07000000000000001</v>
      </c>
      <c r="L6" s="4" t="n">
        <v>0.16</v>
      </c>
      <c r="M6" s="4" t="n">
        <v>0.12</v>
      </c>
      <c r="N6" s="4">
        <f>(H6-I6)-(F6-G6)</f>
        <v/>
      </c>
      <c r="O6" s="4">
        <f>(H6+I6)-(F6+G6)</f>
        <v/>
      </c>
    </row>
    <row r="7">
      <c r="A7" s="3" t="inlineStr">
        <is>
          <t>2026-09-12</t>
        </is>
      </c>
      <c r="B7" s="3" t="inlineStr">
        <is>
          <t>Charlton</t>
        </is>
      </c>
      <c r="C7" s="3" t="inlineStr">
        <is>
          <t>Away</t>
        </is>
      </c>
      <c r="D7" s="3" t="n">
        <v>0</v>
      </c>
      <c r="E7" s="3" t="n">
        <v>0</v>
      </c>
      <c r="F7" s="4" t="n">
        <v>1.23</v>
      </c>
      <c r="G7" s="4" t="n">
        <v>1.2</v>
      </c>
      <c r="H7" s="4" t="n">
        <v>0.4</v>
      </c>
      <c r="I7" s="4" t="n">
        <v>0.82</v>
      </c>
      <c r="J7" s="4" t="n">
        <v>-0.83</v>
      </c>
      <c r="K7" s="4" t="n">
        <v>-0.38</v>
      </c>
      <c r="L7" s="4" t="n">
        <v>-0.01</v>
      </c>
      <c r="M7" s="4" t="n">
        <v>0.04</v>
      </c>
      <c r="N7" s="4">
        <f>(H7-I7)-(F7-G7)</f>
        <v/>
      </c>
      <c r="O7" s="4">
        <f>(H7+I7)-(F7+G7)</f>
        <v/>
      </c>
    </row>
    <row r="9">
      <c r="A9" s="6" t="inlineStr">
        <is>
          <t>Season summary</t>
        </is>
      </c>
    </row>
    <row r="10">
      <c r="A10" s="3" t="inlineStr">
        <is>
          <t>Matches played</t>
        </is>
      </c>
      <c r="E10" s="7">
        <f>COUNTA(A2:A7)</f>
        <v/>
      </c>
    </row>
    <row r="11">
      <c r="A11" s="3" t="inlineStr">
        <is>
          <t>Total goals for</t>
        </is>
      </c>
      <c r="E11" s="7">
        <f>SUM(D2:D7)</f>
        <v/>
      </c>
    </row>
    <row r="12">
      <c r="A12" s="3" t="inlineStr">
        <is>
          <t>Total goals against</t>
        </is>
      </c>
      <c r="E12" s="7">
        <f>SUM(E2:E7)</f>
        <v/>
      </c>
    </row>
    <row r="13">
      <c r="A13" s="3" t="inlineStr">
        <is>
          <t>Avg xG Delta (For)</t>
        </is>
      </c>
      <c r="E13" s="8">
        <f>AVERAGE(J2:J7)</f>
        <v/>
      </c>
    </row>
    <row r="14">
      <c r="A14" s="3" t="inlineStr">
        <is>
          <t>Avg xG Delta (Against)</t>
        </is>
      </c>
      <c r="E14" s="8">
        <f>AVERAGE(K2:K7)</f>
        <v/>
      </c>
    </row>
    <row r="15">
      <c r="A15" s="3" t="inlineStr">
        <is>
          <t>Avg Supremacy Delta</t>
        </is>
      </c>
      <c r="E15" s="8">
        <f>AVERAGE(N2:N7)</f>
        <v/>
      </c>
    </row>
    <row r="16">
      <c r="A16" s="3" t="inlineStr">
        <is>
          <t>Avg Total xG Delta</t>
        </is>
      </c>
      <c r="E16" s="8">
        <f>AVERAGE(O2:O7)</f>
        <v/>
      </c>
    </row>
    <row r="17">
      <c r="A17" s="3" t="inlineStr">
        <is>
          <t>Current form (last 6, For)</t>
        </is>
      </c>
      <c r="E17" s="8">
        <f>L7</f>
        <v/>
      </c>
    </row>
    <row r="18">
      <c r="A18" s="3" t="inlineStr">
        <is>
          <t>Current form (last 6, Against)</t>
        </is>
      </c>
      <c r="E18" s="8">
        <f>M7</f>
        <v/>
      </c>
    </row>
  </sheetData>
  <mergeCells count="9">
    <mergeCell ref="A17:D17"/>
    <mergeCell ref="A18:D18"/>
    <mergeCell ref="A12:D12"/>
    <mergeCell ref="A15:D15"/>
    <mergeCell ref="A16:D16"/>
    <mergeCell ref="A11:D11"/>
    <mergeCell ref="A10:D10"/>
    <mergeCell ref="A13:D13"/>
    <mergeCell ref="A14:D14"/>
  </mergeCells>
  <conditionalFormatting sqref="J2:J7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O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Bolton Wanderers</t>
        </is>
      </c>
      <c r="C2" s="3" t="inlineStr">
        <is>
          <t>Away</t>
        </is>
      </c>
      <c r="D2" s="3" t="n">
        <v>1</v>
      </c>
      <c r="E2" s="3" t="n">
        <v>2</v>
      </c>
      <c r="F2" s="4" t="n">
        <v>1.15</v>
      </c>
      <c r="G2" s="4" t="n">
        <v>1.47</v>
      </c>
      <c r="H2" s="4" t="n">
        <v>1.12</v>
      </c>
      <c r="I2" s="4" t="n">
        <v>1.1</v>
      </c>
      <c r="J2" s="4" t="n">
        <v>-0.02</v>
      </c>
      <c r="K2" s="4" t="n">
        <v>-0.37</v>
      </c>
      <c r="L2" s="4" t="n">
        <v>-0.02</v>
      </c>
      <c r="M2" s="4" t="n">
        <v>-0.37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Wolves</t>
        </is>
      </c>
      <c r="C3" s="3" t="inlineStr">
        <is>
          <t>Home</t>
        </is>
      </c>
      <c r="D3" s="3" t="n">
        <v>1</v>
      </c>
      <c r="E3" s="3" t="n">
        <v>3</v>
      </c>
      <c r="F3" s="4" t="n">
        <v>1.08</v>
      </c>
      <c r="G3" s="4" t="n">
        <v>1.72</v>
      </c>
      <c r="H3" s="4" t="n">
        <v>0.58</v>
      </c>
      <c r="I3" s="4" t="n">
        <v>1.58</v>
      </c>
      <c r="J3" s="4" t="n">
        <v>-0.5</v>
      </c>
      <c r="K3" s="4" t="n">
        <v>-0.14</v>
      </c>
      <c r="L3" s="4" t="n">
        <v>-0.26</v>
      </c>
      <c r="M3" s="4" t="n">
        <v>-0.26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Charlton</t>
        </is>
      </c>
      <c r="C4" s="3" t="inlineStr">
        <is>
          <t>Away</t>
        </is>
      </c>
      <c r="D4" s="3" t="n">
        <v>0</v>
      </c>
      <c r="E4" s="3" t="n">
        <v>1</v>
      </c>
      <c r="F4" s="4" t="n">
        <v>1.03</v>
      </c>
      <c r="G4" s="4" t="n">
        <v>1.45</v>
      </c>
      <c r="H4" s="4" t="n">
        <v>1.32</v>
      </c>
      <c r="I4" s="4" t="n">
        <v>0.74</v>
      </c>
      <c r="J4" s="4" t="n">
        <v>0.29</v>
      </c>
      <c r="K4" s="4" t="n">
        <v>-0.71</v>
      </c>
      <c r="L4" s="4" t="n">
        <v>-0.08</v>
      </c>
      <c r="M4" s="4" t="n">
        <v>-0.41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Bristol City</t>
        </is>
      </c>
      <c r="C5" s="3" t="inlineStr">
        <is>
          <t>Home</t>
        </is>
      </c>
      <c r="D5" s="3" t="n">
        <v>1</v>
      </c>
      <c r="E5" s="3" t="n">
        <v>3</v>
      </c>
      <c r="F5" s="4" t="n">
        <v>1.27</v>
      </c>
      <c r="G5" s="4" t="n">
        <v>1.42</v>
      </c>
      <c r="H5" s="4" t="n">
        <v>1.91</v>
      </c>
      <c r="I5" s="4" t="n">
        <v>1.78</v>
      </c>
      <c r="J5" s="4" t="n">
        <v>0.64</v>
      </c>
      <c r="K5" s="4" t="n">
        <v>0.36</v>
      </c>
      <c r="L5" s="4" t="n">
        <v>0.1</v>
      </c>
      <c r="M5" s="4" t="n">
        <v>-0.21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Blackburn</t>
        </is>
      </c>
      <c r="C6" s="3" t="inlineStr">
        <is>
          <t>Home</t>
        </is>
      </c>
      <c r="D6" s="3" t="n">
        <v>2</v>
      </c>
      <c r="E6" s="3" t="n">
        <v>1</v>
      </c>
      <c r="F6" s="4" t="n">
        <v>1.39</v>
      </c>
      <c r="G6" s="4" t="n">
        <v>1.19</v>
      </c>
      <c r="H6" s="4" t="n">
        <v>2.19</v>
      </c>
      <c r="I6" s="4" t="n">
        <v>1.09</v>
      </c>
      <c r="J6" s="4" t="n">
        <v>0.8</v>
      </c>
      <c r="K6" s="4" t="n">
        <v>-0.1</v>
      </c>
      <c r="L6" s="4" t="n">
        <v>0.24</v>
      </c>
      <c r="M6" s="4" t="n">
        <v>-0.19</v>
      </c>
      <c r="N6" s="4">
        <f>(H6-I6)-(F6-G6)</f>
        <v/>
      </c>
      <c r="O6" s="4">
        <f>(H6+I6)-(F6+G6)</f>
        <v/>
      </c>
    </row>
    <row r="7">
      <c r="A7" s="3" t="inlineStr">
        <is>
          <t>2026-09-08</t>
        </is>
      </c>
      <c r="B7" s="3" t="inlineStr">
        <is>
          <t>Watford</t>
        </is>
      </c>
      <c r="C7" s="3" t="inlineStr">
        <is>
          <t>Away</t>
        </is>
      </c>
      <c r="D7" s="3" t="n">
        <v>1</v>
      </c>
      <c r="E7" s="3" t="n">
        <v>2</v>
      </c>
      <c r="F7" s="4" t="n">
        <v>1.15</v>
      </c>
      <c r="G7" s="4" t="n">
        <v>1.54</v>
      </c>
      <c r="H7" s="4" t="n">
        <v>2.48</v>
      </c>
      <c r="I7" s="4" t="n">
        <v>1.44</v>
      </c>
      <c r="J7" s="4" t="n">
        <v>1.33</v>
      </c>
      <c r="K7" s="4" t="n">
        <v>-0.1</v>
      </c>
      <c r="L7" s="4" t="n">
        <v>0.42</v>
      </c>
      <c r="M7" s="4" t="n">
        <v>-0.18</v>
      </c>
      <c r="N7" s="4">
        <f>(H7-I7)-(F7-G7)</f>
        <v/>
      </c>
      <c r="O7" s="4">
        <f>(H7+I7)-(F7+G7)</f>
        <v/>
      </c>
    </row>
    <row r="8">
      <c r="A8" s="3" t="inlineStr">
        <is>
          <t>2026-09-12</t>
        </is>
      </c>
      <c r="B8" s="3" t="inlineStr">
        <is>
          <t>Lincoln</t>
        </is>
      </c>
      <c r="C8" s="3" t="inlineStr">
        <is>
          <t>Home</t>
        </is>
      </c>
      <c r="D8" s="3" t="n">
        <v>0</v>
      </c>
      <c r="E8" s="3" t="n">
        <v>1</v>
      </c>
      <c r="F8" s="4" t="n">
        <v>1.49</v>
      </c>
      <c r="G8" s="4" t="n">
        <v>1.26</v>
      </c>
      <c r="H8" s="4" t="n">
        <v>0.58</v>
      </c>
      <c r="I8" s="4" t="n">
        <v>0.65</v>
      </c>
      <c r="J8" s="4" t="n">
        <v>-0.91</v>
      </c>
      <c r="K8" s="4" t="n">
        <v>-0.61</v>
      </c>
      <c r="L8" s="4" t="n">
        <v>0.28</v>
      </c>
      <c r="M8" s="4" t="n">
        <v>-0.22</v>
      </c>
      <c r="N8" s="4">
        <f>(H8-I8)-(F8-G8)</f>
        <v/>
      </c>
      <c r="O8" s="4">
        <f>(H8+I8)-(F8+G8)</f>
        <v/>
      </c>
    </row>
    <row r="10">
      <c r="A10" s="6" t="inlineStr">
        <is>
          <t>Season summary</t>
        </is>
      </c>
    </row>
    <row r="11">
      <c r="A11" s="3" t="inlineStr">
        <is>
          <t>Matches played</t>
        </is>
      </c>
      <c r="E11" s="7">
        <f>COUNTA(A2:A8)</f>
        <v/>
      </c>
    </row>
    <row r="12">
      <c r="A12" s="3" t="inlineStr">
        <is>
          <t>Total goals for</t>
        </is>
      </c>
      <c r="E12" s="7">
        <f>SUM(D2:D8)</f>
        <v/>
      </c>
    </row>
    <row r="13">
      <c r="A13" s="3" t="inlineStr">
        <is>
          <t>Total goals against</t>
        </is>
      </c>
      <c r="E13" s="7">
        <f>SUM(E2:E8)</f>
        <v/>
      </c>
    </row>
    <row r="14">
      <c r="A14" s="3" t="inlineStr">
        <is>
          <t>Avg xG Delta (For)</t>
        </is>
      </c>
      <c r="E14" s="8">
        <f>AVERAGE(J2:J8)</f>
        <v/>
      </c>
    </row>
    <row r="15">
      <c r="A15" s="3" t="inlineStr">
        <is>
          <t>Avg xG Delta (Against)</t>
        </is>
      </c>
      <c r="E15" s="8">
        <f>AVERAGE(K2:K8)</f>
        <v/>
      </c>
    </row>
    <row r="16">
      <c r="A16" s="3" t="inlineStr">
        <is>
          <t>Avg Supremacy Delta</t>
        </is>
      </c>
      <c r="E16" s="8">
        <f>AVERAGE(N2:N8)</f>
        <v/>
      </c>
    </row>
    <row r="17">
      <c r="A17" s="3" t="inlineStr">
        <is>
          <t>Avg Total xG Delta</t>
        </is>
      </c>
      <c r="E17" s="8">
        <f>AVERAGE(O2:O8)</f>
        <v/>
      </c>
    </row>
    <row r="18">
      <c r="A18" s="3" t="inlineStr">
        <is>
          <t>Current form (last 6, For)</t>
        </is>
      </c>
      <c r="E18" s="8">
        <f>L8</f>
        <v/>
      </c>
    </row>
    <row r="19">
      <c r="A19" s="3" t="inlineStr">
        <is>
          <t>Current form (last 6, Against)</t>
        </is>
      </c>
      <c r="E19" s="8">
        <f>M8</f>
        <v/>
      </c>
    </row>
  </sheetData>
  <mergeCells count="9">
    <mergeCell ref="A17:D17"/>
    <mergeCell ref="A18:D18"/>
    <mergeCell ref="A12:D12"/>
    <mergeCell ref="A15:D15"/>
    <mergeCell ref="A16:D16"/>
    <mergeCell ref="A11:D11"/>
    <mergeCell ref="A19:D19"/>
    <mergeCell ref="A13:D13"/>
    <mergeCell ref="A14:D14"/>
  </mergeCells>
  <conditionalFormatting sqref="J2:J8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8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8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8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8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O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1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Portsmouth</t>
        </is>
      </c>
      <c r="C2" s="3" t="inlineStr">
        <is>
          <t>Away</t>
        </is>
      </c>
      <c r="D2" s="3" t="n">
        <v>3</v>
      </c>
      <c r="E2" s="3" t="n">
        <v>1</v>
      </c>
      <c r="F2" s="4" t="n">
        <v>1.2</v>
      </c>
      <c r="G2" s="4" t="n">
        <v>1.43</v>
      </c>
      <c r="H2" s="4" t="n">
        <v>2.07</v>
      </c>
      <c r="I2" s="4" t="n">
        <v>2.17</v>
      </c>
      <c r="J2" s="4" t="n">
        <v>0.87</v>
      </c>
      <c r="K2" s="4" t="n">
        <v>0.74</v>
      </c>
      <c r="L2" s="4" t="n">
        <v>0.87</v>
      </c>
      <c r="M2" s="4" t="n">
        <v>0.74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Bolton Wanderers</t>
        </is>
      </c>
      <c r="C3" s="3" t="inlineStr">
        <is>
          <t>Home</t>
        </is>
      </c>
      <c r="D3" s="3" t="n">
        <v>0</v>
      </c>
      <c r="E3" s="3" t="n">
        <v>0</v>
      </c>
      <c r="F3" s="4" t="n">
        <v>1.62</v>
      </c>
      <c r="G3" s="4" t="n">
        <v>1.06</v>
      </c>
      <c r="H3" s="4" t="n">
        <v>1.82</v>
      </c>
      <c r="I3" s="4" t="n">
        <v>0.19</v>
      </c>
      <c r="J3" s="4" t="n">
        <v>0.2</v>
      </c>
      <c r="K3" s="4" t="n">
        <v>-0.88</v>
      </c>
      <c r="L3" s="4" t="n">
        <v>0.53</v>
      </c>
      <c r="M3" s="4" t="n">
        <v>-0.07000000000000001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Blackburn</t>
        </is>
      </c>
      <c r="C4" s="3" t="inlineStr">
        <is>
          <t>Away</t>
        </is>
      </c>
      <c r="D4" s="3" t="n">
        <v>2</v>
      </c>
      <c r="E4" s="3" t="n">
        <v>1</v>
      </c>
      <c r="F4" s="4" t="n">
        <v>1.26</v>
      </c>
      <c r="G4" s="4" t="n">
        <v>1.31</v>
      </c>
      <c r="H4" s="4" t="n">
        <v>1.34</v>
      </c>
      <c r="I4" s="4" t="n">
        <v>0.92</v>
      </c>
      <c r="J4" s="4" t="n">
        <v>0.08</v>
      </c>
      <c r="K4" s="4" t="n">
        <v>-0.39</v>
      </c>
      <c r="L4" s="4" t="n">
        <v>0.38</v>
      </c>
      <c r="M4" s="4" t="n">
        <v>-0.17</v>
      </c>
      <c r="N4" s="4">
        <f>(H4-I4)-(F4-G4)</f>
        <v/>
      </c>
      <c r="O4" s="4">
        <f>(H4+I4)-(F4+G4)</f>
        <v/>
      </c>
    </row>
    <row r="5">
      <c r="A5" s="3" t="inlineStr">
        <is>
          <t>2026-09-02</t>
        </is>
      </c>
      <c r="B5" s="3" t="inlineStr">
        <is>
          <t>Cardiff</t>
        </is>
      </c>
      <c r="C5" s="3" t="inlineStr">
        <is>
          <t>Home</t>
        </is>
      </c>
      <c r="D5" s="3" t="n">
        <v>2</v>
      </c>
      <c r="E5" s="3" t="n">
        <v>1</v>
      </c>
      <c r="F5" s="4" t="n">
        <v>1.74</v>
      </c>
      <c r="G5" s="4" t="n">
        <v>1.17</v>
      </c>
      <c r="H5" s="4" t="n">
        <v>2.75</v>
      </c>
      <c r="I5" s="4" t="n">
        <v>0.57</v>
      </c>
      <c r="J5" s="4" t="n">
        <v>1.01</v>
      </c>
      <c r="K5" s="4" t="n">
        <v>-0.6</v>
      </c>
      <c r="L5" s="4" t="n">
        <v>0.54</v>
      </c>
      <c r="M5" s="4" t="n">
        <v>-0.28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Middlesbrough</t>
        </is>
      </c>
      <c r="C6" s="3" t="inlineStr">
        <is>
          <t>Home</t>
        </is>
      </c>
      <c r="D6" s="3" t="n">
        <v>0</v>
      </c>
      <c r="E6" s="3" t="n">
        <v>1</v>
      </c>
      <c r="F6" s="4" t="n">
        <v>1.26</v>
      </c>
      <c r="G6" s="4" t="n">
        <v>1.57</v>
      </c>
      <c r="H6" s="4" t="n">
        <v>1.03</v>
      </c>
      <c r="I6" s="4" t="n">
        <v>2.53</v>
      </c>
      <c r="J6" s="4" t="n">
        <v>-0.23</v>
      </c>
      <c r="K6" s="4" t="n">
        <v>0.95</v>
      </c>
      <c r="L6" s="4" t="n">
        <v>0.38</v>
      </c>
      <c r="M6" s="4" t="n">
        <v>-0.03</v>
      </c>
      <c r="N6" s="4">
        <f>(H6-I6)-(F6-G6)</f>
        <v/>
      </c>
      <c r="O6" s="4">
        <f>(H6+I6)-(F6+G6)</f>
        <v/>
      </c>
    </row>
    <row r="7">
      <c r="A7" s="3" t="inlineStr">
        <is>
          <t>2026-09-09</t>
        </is>
      </c>
      <c r="B7" s="3" t="inlineStr">
        <is>
          <t>Charlton</t>
        </is>
      </c>
      <c r="C7" s="3" t="inlineStr">
        <is>
          <t>Away</t>
        </is>
      </c>
      <c r="D7" s="3" t="n">
        <v>0</v>
      </c>
      <c r="E7" s="3" t="n">
        <v>0</v>
      </c>
      <c r="F7" s="4" t="n">
        <v>1.45</v>
      </c>
      <c r="G7" s="4" t="n">
        <v>1.17</v>
      </c>
      <c r="H7" s="4" t="n">
        <v>1.1</v>
      </c>
      <c r="I7" s="4" t="n">
        <v>0.48</v>
      </c>
      <c r="J7" s="4" t="n">
        <v>-0.35</v>
      </c>
      <c r="K7" s="4" t="n">
        <v>-0.6899999999999999</v>
      </c>
      <c r="L7" s="4" t="n">
        <v>0.26</v>
      </c>
      <c r="M7" s="4" t="n">
        <v>-0.14</v>
      </c>
      <c r="N7" s="4">
        <f>(H7-I7)-(F7-G7)</f>
        <v/>
      </c>
      <c r="O7" s="4">
        <f>(H7+I7)-(F7+G7)</f>
        <v/>
      </c>
    </row>
    <row r="8">
      <c r="A8" s="3" t="inlineStr">
        <is>
          <t>2026-09-12</t>
        </is>
      </c>
      <c r="B8" s="3" t="inlineStr">
        <is>
          <t>West Bromwich Albion</t>
        </is>
      </c>
      <c r="C8" s="3" t="inlineStr">
        <is>
          <t>Away</t>
        </is>
      </c>
      <c r="D8" s="3" t="n">
        <v>1</v>
      </c>
      <c r="E8" s="3" t="n">
        <v>1</v>
      </c>
      <c r="F8" s="4" t="n">
        <v>1.15</v>
      </c>
      <c r="G8" s="4" t="n">
        <v>1.6</v>
      </c>
      <c r="H8" s="4" t="n">
        <v>0.62</v>
      </c>
      <c r="I8" s="4" t="n">
        <v>1.22</v>
      </c>
      <c r="J8" s="4" t="n">
        <v>-0.53</v>
      </c>
      <c r="K8" s="4" t="n">
        <v>-0.38</v>
      </c>
      <c r="L8" s="4" t="n">
        <v>0.03</v>
      </c>
      <c r="M8" s="4" t="n">
        <v>-0.33</v>
      </c>
      <c r="N8" s="4">
        <f>(H8-I8)-(F8-G8)</f>
        <v/>
      </c>
      <c r="O8" s="4">
        <f>(H8+I8)-(F8+G8)</f>
        <v/>
      </c>
    </row>
    <row r="10">
      <c r="A10" s="6" t="inlineStr">
        <is>
          <t>Season summary</t>
        </is>
      </c>
    </row>
    <row r="11">
      <c r="A11" s="3" t="inlineStr">
        <is>
          <t>Matches played</t>
        </is>
      </c>
      <c r="E11" s="7">
        <f>COUNTA(A2:A8)</f>
        <v/>
      </c>
    </row>
    <row r="12">
      <c r="A12" s="3" t="inlineStr">
        <is>
          <t>Total goals for</t>
        </is>
      </c>
      <c r="E12" s="7">
        <f>SUM(D2:D8)</f>
        <v/>
      </c>
    </row>
    <row r="13">
      <c r="A13" s="3" t="inlineStr">
        <is>
          <t>Total goals against</t>
        </is>
      </c>
      <c r="E13" s="7">
        <f>SUM(E2:E8)</f>
        <v/>
      </c>
    </row>
    <row r="14">
      <c r="A14" s="3" t="inlineStr">
        <is>
          <t>Avg xG Delta (For)</t>
        </is>
      </c>
      <c r="E14" s="8">
        <f>AVERAGE(J2:J8)</f>
        <v/>
      </c>
    </row>
    <row r="15">
      <c r="A15" s="3" t="inlineStr">
        <is>
          <t>Avg xG Delta (Against)</t>
        </is>
      </c>
      <c r="E15" s="8">
        <f>AVERAGE(K2:K8)</f>
        <v/>
      </c>
    </row>
    <row r="16">
      <c r="A16" s="3" t="inlineStr">
        <is>
          <t>Avg Supremacy Delta</t>
        </is>
      </c>
      <c r="E16" s="8">
        <f>AVERAGE(N2:N8)</f>
        <v/>
      </c>
    </row>
    <row r="17">
      <c r="A17" s="3" t="inlineStr">
        <is>
          <t>Avg Total xG Delta</t>
        </is>
      </c>
      <c r="E17" s="8">
        <f>AVERAGE(O2:O8)</f>
        <v/>
      </c>
    </row>
    <row r="18">
      <c r="A18" s="3" t="inlineStr">
        <is>
          <t>Current form (last 6, For)</t>
        </is>
      </c>
      <c r="E18" s="8">
        <f>L8</f>
        <v/>
      </c>
    </row>
    <row r="19">
      <c r="A19" s="3" t="inlineStr">
        <is>
          <t>Current form (last 6, Against)</t>
        </is>
      </c>
      <c r="E19" s="8">
        <f>M8</f>
        <v/>
      </c>
    </row>
  </sheetData>
  <mergeCells count="9">
    <mergeCell ref="A17:D17"/>
    <mergeCell ref="A18:D18"/>
    <mergeCell ref="A12:D12"/>
    <mergeCell ref="A15:D15"/>
    <mergeCell ref="A16:D16"/>
    <mergeCell ref="A11:D11"/>
    <mergeCell ref="A19:D19"/>
    <mergeCell ref="A13:D13"/>
    <mergeCell ref="A14:D14"/>
  </mergeCells>
  <conditionalFormatting sqref="J2:J8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8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8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8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8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O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Birmingham</t>
        </is>
      </c>
      <c r="C2" s="3" t="inlineStr">
        <is>
          <t>Home</t>
        </is>
      </c>
      <c r="D2" s="3" t="n">
        <v>0</v>
      </c>
      <c r="E2" s="3" t="n">
        <v>0</v>
      </c>
      <c r="F2" s="4" t="n">
        <v>1.34</v>
      </c>
      <c r="G2" s="4" t="n">
        <v>1.25</v>
      </c>
      <c r="H2" s="4" t="n">
        <v>0.29</v>
      </c>
      <c r="I2" s="4" t="n">
        <v>0.77</v>
      </c>
      <c r="J2" s="4" t="n">
        <v>-1.05</v>
      </c>
      <c r="K2" s="4" t="n">
        <v>-0.48</v>
      </c>
      <c r="L2" s="4" t="n">
        <v>-1.05</v>
      </c>
      <c r="M2" s="4" t="n">
        <v>-0.48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Swansea</t>
        </is>
      </c>
      <c r="C3" s="3" t="inlineStr">
        <is>
          <t>Away</t>
        </is>
      </c>
      <c r="D3" s="3" t="n">
        <v>0</v>
      </c>
      <c r="E3" s="3" t="n">
        <v>0</v>
      </c>
      <c r="F3" s="4" t="n">
        <v>1.29</v>
      </c>
      <c r="G3" s="4" t="n">
        <v>1.44</v>
      </c>
      <c r="H3" s="4" t="n">
        <v>1.46</v>
      </c>
      <c r="I3" s="4" t="n">
        <v>0.57</v>
      </c>
      <c r="J3" s="4" t="n">
        <v>0.17</v>
      </c>
      <c r="K3" s="4" t="n">
        <v>-0.87</v>
      </c>
      <c r="L3" s="4" t="n">
        <v>-0.44</v>
      </c>
      <c r="M3" s="4" t="n">
        <v>-0.68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Cardiff</t>
        </is>
      </c>
      <c r="C4" s="3" t="inlineStr">
        <is>
          <t>Away</t>
        </is>
      </c>
      <c r="D4" s="3" t="n">
        <v>2</v>
      </c>
      <c r="E4" s="3" t="n">
        <v>2</v>
      </c>
      <c r="F4" s="4" t="n">
        <v>1.45</v>
      </c>
      <c r="G4" s="4" t="n">
        <v>1.44</v>
      </c>
      <c r="H4" s="4" t="n">
        <v>1.28</v>
      </c>
      <c r="I4" s="4" t="n">
        <v>2.24</v>
      </c>
      <c r="J4" s="4" t="n">
        <v>-0.17</v>
      </c>
      <c r="K4" s="4" t="n">
        <v>0.8</v>
      </c>
      <c r="L4" s="4" t="n">
        <v>-0.35</v>
      </c>
      <c r="M4" s="4" t="n">
        <v>-0.18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Bolton Wanderers</t>
        </is>
      </c>
      <c r="C5" s="3" t="inlineStr">
        <is>
          <t>Home</t>
        </is>
      </c>
      <c r="D5" s="3" t="n">
        <v>3</v>
      </c>
      <c r="E5" s="3" t="n">
        <v>2</v>
      </c>
      <c r="F5" s="4" t="n">
        <v>1.9</v>
      </c>
      <c r="G5" s="4" t="n">
        <v>0.95</v>
      </c>
      <c r="H5" s="4" t="n">
        <v>2.21</v>
      </c>
      <c r="I5" s="4" t="n">
        <v>1.91</v>
      </c>
      <c r="J5" s="4" t="n">
        <v>0.31</v>
      </c>
      <c r="K5" s="4" t="n">
        <v>0.96</v>
      </c>
      <c r="L5" s="4" t="n">
        <v>-0.18</v>
      </c>
      <c r="M5" s="4" t="n">
        <v>0.1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Norwich</t>
        </is>
      </c>
      <c r="C6" s="3" t="inlineStr">
        <is>
          <t>Home</t>
        </is>
      </c>
      <c r="D6" s="3" t="n">
        <v>1</v>
      </c>
      <c r="E6" s="3" t="n">
        <v>3</v>
      </c>
      <c r="F6" s="4" t="n">
        <v>1.39</v>
      </c>
      <c r="G6" s="4" t="n">
        <v>1.39</v>
      </c>
      <c r="H6" s="4" t="n">
        <v>0.79</v>
      </c>
      <c r="I6" s="4" t="n">
        <v>3.04</v>
      </c>
      <c r="J6" s="4" t="n">
        <v>-0.6</v>
      </c>
      <c r="K6" s="4" t="n">
        <v>1.65</v>
      </c>
      <c r="L6" s="4" t="n">
        <v>-0.27</v>
      </c>
      <c r="M6" s="4" t="n">
        <v>0.41</v>
      </c>
      <c r="N6" s="4">
        <f>(H6-I6)-(F6-G6)</f>
        <v/>
      </c>
      <c r="O6" s="4">
        <f>(H6+I6)-(F6+G6)</f>
        <v/>
      </c>
    </row>
    <row r="7">
      <c r="A7" s="3" t="inlineStr">
        <is>
          <t>2026-09-08</t>
        </is>
      </c>
      <c r="B7" s="3" t="inlineStr">
        <is>
          <t>Blackburn</t>
        </is>
      </c>
      <c r="C7" s="3" t="inlineStr">
        <is>
          <t>Away</t>
        </is>
      </c>
      <c r="D7" s="3" t="n">
        <v>2</v>
      </c>
      <c r="E7" s="3" t="n">
        <v>1</v>
      </c>
      <c r="F7" s="4" t="n">
        <v>1.48</v>
      </c>
      <c r="G7" s="4" t="n">
        <v>1.25</v>
      </c>
      <c r="H7" s="4" t="n">
        <v>0.66</v>
      </c>
      <c r="I7" s="4" t="n">
        <v>1.62</v>
      </c>
      <c r="J7" s="4" t="n">
        <v>-0.82</v>
      </c>
      <c r="K7" s="4" t="n">
        <v>0.37</v>
      </c>
      <c r="L7" s="4" t="n">
        <v>-0.36</v>
      </c>
      <c r="M7" s="4" t="n">
        <v>0.41</v>
      </c>
      <c r="N7" s="4">
        <f>(H7-I7)-(F7-G7)</f>
        <v/>
      </c>
      <c r="O7" s="4">
        <f>(H7+I7)-(F7+G7)</f>
        <v/>
      </c>
    </row>
    <row r="8">
      <c r="A8" s="3" t="inlineStr">
        <is>
          <t>2026-09-13</t>
        </is>
      </c>
      <c r="B8" s="3" t="inlineStr">
        <is>
          <t>Wolves</t>
        </is>
      </c>
      <c r="C8" s="3" t="inlineStr">
        <is>
          <t>Home</t>
        </is>
      </c>
      <c r="D8" s="3" t="n">
        <v>0</v>
      </c>
      <c r="E8" s="3" t="n">
        <v>1</v>
      </c>
      <c r="F8" s="4" t="n">
        <v>1.27</v>
      </c>
      <c r="G8" s="4" t="n">
        <v>1.61</v>
      </c>
      <c r="H8" s="4" t="n">
        <v>0.63</v>
      </c>
      <c r="I8" s="4" t="n">
        <v>1.57</v>
      </c>
      <c r="J8" s="4" t="n">
        <v>-0.64</v>
      </c>
      <c r="K8" s="4" t="n">
        <v>-0.04</v>
      </c>
      <c r="L8" s="4" t="n">
        <v>-0.29</v>
      </c>
      <c r="M8" s="4" t="n">
        <v>0.48</v>
      </c>
      <c r="N8" s="4">
        <f>(H8-I8)-(F8-G8)</f>
        <v/>
      </c>
      <c r="O8" s="4">
        <f>(H8+I8)-(F8+G8)</f>
        <v/>
      </c>
    </row>
    <row r="10">
      <c r="A10" s="6" t="inlineStr">
        <is>
          <t>Season summary</t>
        </is>
      </c>
    </row>
    <row r="11">
      <c r="A11" s="3" t="inlineStr">
        <is>
          <t>Matches played</t>
        </is>
      </c>
      <c r="E11" s="7">
        <f>COUNTA(A2:A8)</f>
        <v/>
      </c>
    </row>
    <row r="12">
      <c r="A12" s="3" t="inlineStr">
        <is>
          <t>Total goals for</t>
        </is>
      </c>
      <c r="E12" s="7">
        <f>SUM(D2:D8)</f>
        <v/>
      </c>
    </row>
    <row r="13">
      <c r="A13" s="3" t="inlineStr">
        <is>
          <t>Total goals against</t>
        </is>
      </c>
      <c r="E13" s="7">
        <f>SUM(E2:E8)</f>
        <v/>
      </c>
    </row>
    <row r="14">
      <c r="A14" s="3" t="inlineStr">
        <is>
          <t>Avg xG Delta (For)</t>
        </is>
      </c>
      <c r="E14" s="8">
        <f>AVERAGE(J2:J8)</f>
        <v/>
      </c>
    </row>
    <row r="15">
      <c r="A15" s="3" t="inlineStr">
        <is>
          <t>Avg xG Delta (Against)</t>
        </is>
      </c>
      <c r="E15" s="8">
        <f>AVERAGE(K2:K8)</f>
        <v/>
      </c>
    </row>
    <row r="16">
      <c r="A16" s="3" t="inlineStr">
        <is>
          <t>Avg Supremacy Delta</t>
        </is>
      </c>
      <c r="E16" s="8">
        <f>AVERAGE(N2:N8)</f>
        <v/>
      </c>
    </row>
    <row r="17">
      <c r="A17" s="3" t="inlineStr">
        <is>
          <t>Avg Total xG Delta</t>
        </is>
      </c>
      <c r="E17" s="8">
        <f>AVERAGE(O2:O8)</f>
        <v/>
      </c>
    </row>
    <row r="18">
      <c r="A18" s="3" t="inlineStr">
        <is>
          <t>Current form (last 6, For)</t>
        </is>
      </c>
      <c r="E18" s="8">
        <f>L8</f>
        <v/>
      </c>
    </row>
    <row r="19">
      <c r="A19" s="3" t="inlineStr">
        <is>
          <t>Current form (last 6, Against)</t>
        </is>
      </c>
      <c r="E19" s="8">
        <f>M8</f>
        <v/>
      </c>
    </row>
  </sheetData>
  <mergeCells count="9">
    <mergeCell ref="A17:D17"/>
    <mergeCell ref="A18:D18"/>
    <mergeCell ref="A12:D12"/>
    <mergeCell ref="A15:D15"/>
    <mergeCell ref="A16:D16"/>
    <mergeCell ref="A11:D11"/>
    <mergeCell ref="A19:D19"/>
    <mergeCell ref="A13:D13"/>
    <mergeCell ref="A14:D14"/>
  </mergeCells>
  <conditionalFormatting sqref="J2:J8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8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8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8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8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O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3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2026-08-16</t>
        </is>
      </c>
      <c r="B2" s="3" t="inlineStr">
        <is>
          <t>Watford</t>
        </is>
      </c>
      <c r="C2" s="3" t="inlineStr">
        <is>
          <t>Away</t>
        </is>
      </c>
      <c r="D2" s="3" t="n">
        <v>1</v>
      </c>
      <c r="E2" s="3" t="n">
        <v>2</v>
      </c>
      <c r="F2" s="4" t="n">
        <v>1.64</v>
      </c>
      <c r="G2" s="4" t="n">
        <v>1.23</v>
      </c>
      <c r="H2" s="4" t="n">
        <v>1.71</v>
      </c>
      <c r="I2" s="4" t="n">
        <v>0.8100000000000001</v>
      </c>
      <c r="J2" s="4" t="n">
        <v>0.07000000000000001</v>
      </c>
      <c r="K2" s="4" t="n">
        <v>-0.42</v>
      </c>
      <c r="L2" s="4" t="n">
        <v>0.07000000000000001</v>
      </c>
      <c r="M2" s="4" t="n">
        <v>-0.42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Stoke</t>
        </is>
      </c>
      <c r="C3" s="3" t="inlineStr">
        <is>
          <t>Home</t>
        </is>
      </c>
      <c r="D3" s="3" t="n">
        <v>3</v>
      </c>
      <c r="E3" s="3" t="n">
        <v>1</v>
      </c>
      <c r="F3" s="4" t="n">
        <v>1.95</v>
      </c>
      <c r="G3" s="4" t="n">
        <v>1</v>
      </c>
      <c r="H3" s="4" t="n">
        <v>2.32</v>
      </c>
      <c r="I3" s="4" t="n">
        <v>0.93</v>
      </c>
      <c r="J3" s="4" t="n">
        <v>0.37</v>
      </c>
      <c r="K3" s="4" t="n">
        <v>-0.07000000000000001</v>
      </c>
      <c r="L3" s="4" t="n">
        <v>0.22</v>
      </c>
      <c r="M3" s="4" t="n">
        <v>-0.25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Millwall</t>
        </is>
      </c>
      <c r="C4" s="3" t="inlineStr">
        <is>
          <t>Home</t>
        </is>
      </c>
      <c r="D4" s="3" t="n">
        <v>5</v>
      </c>
      <c r="E4" s="3" t="n">
        <v>1</v>
      </c>
      <c r="F4" s="4" t="n">
        <v>1.65</v>
      </c>
      <c r="G4" s="4" t="n">
        <v>1.14</v>
      </c>
      <c r="H4" s="4" t="n">
        <v>3.62</v>
      </c>
      <c r="I4" s="4" t="n">
        <v>1.35</v>
      </c>
      <c r="J4" s="4" t="n">
        <v>1.97</v>
      </c>
      <c r="K4" s="4" t="n">
        <v>0.21</v>
      </c>
      <c r="L4" s="4" t="n">
        <v>0.8100000000000001</v>
      </c>
      <c r="M4" s="4" t="n">
        <v>-0.09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Birmingham</t>
        </is>
      </c>
      <c r="C5" s="3" t="inlineStr">
        <is>
          <t>Away</t>
        </is>
      </c>
      <c r="D5" s="3" t="n">
        <v>1</v>
      </c>
      <c r="E5" s="3" t="n">
        <v>1</v>
      </c>
      <c r="F5" s="4" t="n">
        <v>1.39</v>
      </c>
      <c r="G5" s="4" t="n">
        <v>1.42</v>
      </c>
      <c r="H5" s="4" t="n">
        <v>1.02</v>
      </c>
      <c r="I5" s="4" t="n">
        <v>1.55</v>
      </c>
      <c r="J5" s="4" t="n">
        <v>-0.37</v>
      </c>
      <c r="K5" s="4" t="n">
        <v>0.13</v>
      </c>
      <c r="L5" s="4" t="n">
        <v>0.51</v>
      </c>
      <c r="M5" s="4" t="n">
        <v>-0.04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Lincoln</t>
        </is>
      </c>
      <c r="C6" s="3" t="inlineStr">
        <is>
          <t>Away</t>
        </is>
      </c>
      <c r="D6" s="3" t="n">
        <v>1</v>
      </c>
      <c r="E6" s="3" t="n">
        <v>1</v>
      </c>
      <c r="F6" s="4" t="n">
        <v>1.82</v>
      </c>
      <c r="G6" s="4" t="n">
        <v>1.1</v>
      </c>
      <c r="H6" s="4" t="n">
        <v>0.67</v>
      </c>
      <c r="I6" s="4" t="n">
        <v>1.93</v>
      </c>
      <c r="J6" s="4" t="n">
        <v>-1.15</v>
      </c>
      <c r="K6" s="4" t="n">
        <v>0.83</v>
      </c>
      <c r="L6" s="4" t="n">
        <v>0.18</v>
      </c>
      <c r="M6" s="4" t="n">
        <v>0.14</v>
      </c>
      <c r="N6" s="4">
        <f>(H6-I6)-(F6-G6)</f>
        <v/>
      </c>
      <c r="O6" s="4">
        <f>(H6+I6)-(F6+G6)</f>
        <v/>
      </c>
    </row>
    <row r="7">
      <c r="A7" s="3" t="inlineStr">
        <is>
          <t>2026-09-08</t>
        </is>
      </c>
      <c r="B7" s="3" t="inlineStr">
        <is>
          <t>Swansea</t>
        </is>
      </c>
      <c r="C7" s="3" t="inlineStr">
        <is>
          <t>Home</t>
        </is>
      </c>
      <c r="D7" s="3" t="n">
        <v>3</v>
      </c>
      <c r="E7" s="3" t="n">
        <v>1</v>
      </c>
      <c r="F7" s="4" t="n">
        <v>1.77</v>
      </c>
      <c r="G7" s="4" t="n">
        <v>1.09</v>
      </c>
      <c r="H7" s="4" t="n">
        <v>1.44</v>
      </c>
      <c r="I7" s="4" t="n">
        <v>1.22</v>
      </c>
      <c r="J7" s="4" t="n">
        <v>-0.33</v>
      </c>
      <c r="K7" s="4" t="n">
        <v>0.13</v>
      </c>
      <c r="L7" s="4" t="n">
        <v>0.09</v>
      </c>
      <c r="M7" s="4" t="n">
        <v>0.14</v>
      </c>
      <c r="N7" s="4">
        <f>(H7-I7)-(F7-G7)</f>
        <v/>
      </c>
      <c r="O7" s="4">
        <f>(H7+I7)-(F7+G7)</f>
        <v/>
      </c>
    </row>
    <row r="8">
      <c r="A8" s="3" t="inlineStr">
        <is>
          <t>2026-09-12</t>
        </is>
      </c>
      <c r="B8" s="3" t="inlineStr">
        <is>
          <t>Bristol City</t>
        </is>
      </c>
      <c r="C8" s="3" t="inlineStr">
        <is>
          <t>Home</t>
        </is>
      </c>
      <c r="D8" s="3" t="n">
        <v>4</v>
      </c>
      <c r="E8" s="3" t="n">
        <v>1</v>
      </c>
      <c r="F8" s="4" t="n">
        <v>2</v>
      </c>
      <c r="G8" s="4" t="n">
        <v>1.1</v>
      </c>
      <c r="H8" s="4" t="n">
        <v>1.71</v>
      </c>
      <c r="I8" s="4" t="n">
        <v>2.24</v>
      </c>
      <c r="J8" s="4" t="n">
        <v>-0.29</v>
      </c>
      <c r="K8" s="4" t="n">
        <v>1.14</v>
      </c>
      <c r="L8" s="4" t="n">
        <v>0.03</v>
      </c>
      <c r="M8" s="4" t="n">
        <v>0.4</v>
      </c>
      <c r="N8" s="4">
        <f>(H8-I8)-(F8-G8)</f>
        <v/>
      </c>
      <c r="O8" s="4">
        <f>(H8+I8)-(F8+G8)</f>
        <v/>
      </c>
    </row>
    <row r="10">
      <c r="A10" s="6" t="inlineStr">
        <is>
          <t>Season summary</t>
        </is>
      </c>
    </row>
    <row r="11">
      <c r="A11" s="3" t="inlineStr">
        <is>
          <t>Matches played</t>
        </is>
      </c>
      <c r="E11" s="7">
        <f>COUNTA(A2:A8)</f>
        <v/>
      </c>
    </row>
    <row r="12">
      <c r="A12" s="3" t="inlineStr">
        <is>
          <t>Total goals for</t>
        </is>
      </c>
      <c r="E12" s="7">
        <f>SUM(D2:D8)</f>
        <v/>
      </c>
    </row>
    <row r="13">
      <c r="A13" s="3" t="inlineStr">
        <is>
          <t>Total goals against</t>
        </is>
      </c>
      <c r="E13" s="7">
        <f>SUM(E2:E8)</f>
        <v/>
      </c>
    </row>
    <row r="14">
      <c r="A14" s="3" t="inlineStr">
        <is>
          <t>Avg xG Delta (For)</t>
        </is>
      </c>
      <c r="E14" s="8">
        <f>AVERAGE(J2:J8)</f>
        <v/>
      </c>
    </row>
    <row r="15">
      <c r="A15" s="3" t="inlineStr">
        <is>
          <t>Avg xG Delta (Against)</t>
        </is>
      </c>
      <c r="E15" s="8">
        <f>AVERAGE(K2:K8)</f>
        <v/>
      </c>
    </row>
    <row r="16">
      <c r="A16" s="3" t="inlineStr">
        <is>
          <t>Avg Supremacy Delta</t>
        </is>
      </c>
      <c r="E16" s="8">
        <f>AVERAGE(N2:N8)</f>
        <v/>
      </c>
    </row>
    <row r="17">
      <c r="A17" s="3" t="inlineStr">
        <is>
          <t>Avg Total xG Delta</t>
        </is>
      </c>
      <c r="E17" s="8">
        <f>AVERAGE(O2:O8)</f>
        <v/>
      </c>
    </row>
    <row r="18">
      <c r="A18" s="3" t="inlineStr">
        <is>
          <t>Current form (last 6, For)</t>
        </is>
      </c>
      <c r="E18" s="8">
        <f>L8</f>
        <v/>
      </c>
    </row>
    <row r="19">
      <c r="A19" s="3" t="inlineStr">
        <is>
          <t>Current form (last 6, Against)</t>
        </is>
      </c>
      <c r="E19" s="8">
        <f>M8</f>
        <v/>
      </c>
    </row>
  </sheetData>
  <mergeCells count="9">
    <mergeCell ref="A17:D17"/>
    <mergeCell ref="A18:D18"/>
    <mergeCell ref="A12:D12"/>
    <mergeCell ref="A15:D15"/>
    <mergeCell ref="A16:D16"/>
    <mergeCell ref="A11:D11"/>
    <mergeCell ref="A19:D19"/>
    <mergeCell ref="A13:D13"/>
    <mergeCell ref="A14:D14"/>
  </mergeCells>
  <conditionalFormatting sqref="J2:J8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8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8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8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8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O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Swansea</t>
        </is>
      </c>
      <c r="C2" s="3" t="inlineStr">
        <is>
          <t>Home</t>
        </is>
      </c>
      <c r="D2" s="3" t="n">
        <v>1</v>
      </c>
      <c r="E2" s="3" t="n">
        <v>2</v>
      </c>
      <c r="F2" s="4" t="n">
        <v>1.35</v>
      </c>
      <c r="G2" s="4" t="n">
        <v>1.13</v>
      </c>
      <c r="H2" s="4" t="n">
        <v>0.65</v>
      </c>
      <c r="I2" s="4" t="n">
        <v>0.62</v>
      </c>
      <c r="J2" s="4" t="n">
        <v>-0.7</v>
      </c>
      <c r="K2" s="4" t="n">
        <v>-0.51</v>
      </c>
      <c r="L2" s="4" t="n">
        <v>-0.7</v>
      </c>
      <c r="M2" s="4" t="n">
        <v>-0.51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Southampton</t>
        </is>
      </c>
      <c r="C3" s="3" t="inlineStr">
        <is>
          <t>Away</t>
        </is>
      </c>
      <c r="D3" s="3" t="n">
        <v>1</v>
      </c>
      <c r="E3" s="3" t="n">
        <v>3</v>
      </c>
      <c r="F3" s="4" t="n">
        <v>1</v>
      </c>
      <c r="G3" s="4" t="n">
        <v>1.95</v>
      </c>
      <c r="H3" s="4" t="n">
        <v>0.93</v>
      </c>
      <c r="I3" s="4" t="n">
        <v>2.32</v>
      </c>
      <c r="J3" s="4" t="n">
        <v>-0.07000000000000001</v>
      </c>
      <c r="K3" s="4" t="n">
        <v>0.37</v>
      </c>
      <c r="L3" s="4" t="n">
        <v>-0.38</v>
      </c>
      <c r="M3" s="4" t="n">
        <v>-0.07000000000000001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Wolves</t>
        </is>
      </c>
      <c r="C4" s="3" t="inlineStr">
        <is>
          <t>Away</t>
        </is>
      </c>
      <c r="D4" s="3" t="n">
        <v>1</v>
      </c>
      <c r="E4" s="3" t="n">
        <v>4</v>
      </c>
      <c r="F4" s="4" t="n">
        <v>0.86</v>
      </c>
      <c r="G4" s="4" t="n">
        <v>2.05</v>
      </c>
      <c r="H4" s="4" t="n">
        <v>0.83</v>
      </c>
      <c r="I4" s="4" t="n">
        <v>2.66</v>
      </c>
      <c r="J4" s="4" t="n">
        <v>-0.03</v>
      </c>
      <c r="K4" s="4" t="n">
        <v>0.61</v>
      </c>
      <c r="L4" s="4" t="n">
        <v>-0.26</v>
      </c>
      <c r="M4" s="4" t="n">
        <v>0.16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Norwich</t>
        </is>
      </c>
      <c r="C5" s="3" t="inlineStr">
        <is>
          <t>Home</t>
        </is>
      </c>
      <c r="D5" s="3" t="n">
        <v>1</v>
      </c>
      <c r="E5" s="3" t="n">
        <v>0</v>
      </c>
      <c r="F5" s="4" t="n">
        <v>1.19</v>
      </c>
      <c r="G5" s="4" t="n">
        <v>1.61</v>
      </c>
      <c r="H5" s="4" t="n">
        <v>0.58</v>
      </c>
      <c r="I5" s="4" t="n">
        <v>1.44</v>
      </c>
      <c r="J5" s="4" t="n">
        <v>-0.61</v>
      </c>
      <c r="K5" s="4" t="n">
        <v>-0.17</v>
      </c>
      <c r="L5" s="4" t="n">
        <v>-0.35</v>
      </c>
      <c r="M5" s="4" t="n">
        <v>0.07000000000000001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Charlton</t>
        </is>
      </c>
      <c r="C6" s="3" t="inlineStr">
        <is>
          <t>Home</t>
        </is>
      </c>
      <c r="D6" s="3" t="n">
        <v>4</v>
      </c>
      <c r="E6" s="3" t="n">
        <v>0</v>
      </c>
      <c r="F6" s="4" t="n">
        <v>1.44</v>
      </c>
      <c r="G6" s="4" t="n">
        <v>1.04</v>
      </c>
      <c r="H6" s="4" t="n">
        <v>2.14</v>
      </c>
      <c r="I6" s="4" t="n">
        <v>0.61</v>
      </c>
      <c r="J6" s="4" t="n">
        <v>0.7</v>
      </c>
      <c r="K6" s="4" t="n">
        <v>-0.43</v>
      </c>
      <c r="L6" s="4" t="n">
        <v>-0.14</v>
      </c>
      <c r="M6" s="4" t="n">
        <v>-0.03</v>
      </c>
      <c r="N6" s="4">
        <f>(H6-I6)-(F6-G6)</f>
        <v/>
      </c>
      <c r="O6" s="4">
        <f>(H6+I6)-(F6+G6)</f>
        <v/>
      </c>
    </row>
    <row r="7">
      <c r="A7" s="3" t="inlineStr">
        <is>
          <t>2026-09-08</t>
        </is>
      </c>
      <c r="B7" s="3" t="inlineStr">
        <is>
          <t>Cardiff</t>
        </is>
      </c>
      <c r="C7" s="3" t="inlineStr">
        <is>
          <t>Away</t>
        </is>
      </c>
      <c r="D7" s="3" t="n">
        <v>1</v>
      </c>
      <c r="E7" s="3" t="n">
        <v>1</v>
      </c>
      <c r="F7" s="4" t="n">
        <v>1.28</v>
      </c>
      <c r="G7" s="4" t="n">
        <v>1.76</v>
      </c>
      <c r="H7" s="4" t="n">
        <v>1.11</v>
      </c>
      <c r="I7" s="4" t="n">
        <v>3.6</v>
      </c>
      <c r="J7" s="4" t="n">
        <v>-0.17</v>
      </c>
      <c r="K7" s="4" t="n">
        <v>1.83</v>
      </c>
      <c r="L7" s="4" t="n">
        <v>-0.15</v>
      </c>
      <c r="M7" s="4" t="n">
        <v>0.28</v>
      </c>
      <c r="N7" s="4">
        <f>(H7-I7)-(F7-G7)</f>
        <v/>
      </c>
      <c r="O7" s="4">
        <f>(H7+I7)-(F7+G7)</f>
        <v/>
      </c>
    </row>
    <row r="8">
      <c r="A8" s="3" t="inlineStr">
        <is>
          <t>2026-09-12</t>
        </is>
      </c>
      <c r="B8" s="3" t="inlineStr">
        <is>
          <t>Watford</t>
        </is>
      </c>
      <c r="C8" s="3" t="inlineStr">
        <is>
          <t>Away</t>
        </is>
      </c>
      <c r="D8" s="3" t="n">
        <v>2</v>
      </c>
      <c r="E8" s="3" t="n">
        <v>1</v>
      </c>
      <c r="F8" s="4" t="n">
        <v>1.21</v>
      </c>
      <c r="G8" s="4" t="n">
        <v>1.46</v>
      </c>
      <c r="H8" s="4" t="n">
        <v>1.5</v>
      </c>
      <c r="I8" s="4" t="n">
        <v>0.39</v>
      </c>
      <c r="J8" s="4" t="n">
        <v>0.29</v>
      </c>
      <c r="K8" s="4" t="n">
        <v>-1.07</v>
      </c>
      <c r="L8" s="4" t="n">
        <v>0.02</v>
      </c>
      <c r="M8" s="4" t="n">
        <v>0.19</v>
      </c>
      <c r="N8" s="4">
        <f>(H8-I8)-(F8-G8)</f>
        <v/>
      </c>
      <c r="O8" s="4">
        <f>(H8+I8)-(F8+G8)</f>
        <v/>
      </c>
    </row>
    <row r="10">
      <c r="A10" s="6" t="inlineStr">
        <is>
          <t>Season summary</t>
        </is>
      </c>
    </row>
    <row r="11">
      <c r="A11" s="3" t="inlineStr">
        <is>
          <t>Matches played</t>
        </is>
      </c>
      <c r="E11" s="7">
        <f>COUNTA(A2:A8)</f>
        <v/>
      </c>
    </row>
    <row r="12">
      <c r="A12" s="3" t="inlineStr">
        <is>
          <t>Total goals for</t>
        </is>
      </c>
      <c r="E12" s="7">
        <f>SUM(D2:D8)</f>
        <v/>
      </c>
    </row>
    <row r="13">
      <c r="A13" s="3" t="inlineStr">
        <is>
          <t>Total goals against</t>
        </is>
      </c>
      <c r="E13" s="7">
        <f>SUM(E2:E8)</f>
        <v/>
      </c>
    </row>
    <row r="14">
      <c r="A14" s="3" t="inlineStr">
        <is>
          <t>Avg xG Delta (For)</t>
        </is>
      </c>
      <c r="E14" s="8">
        <f>AVERAGE(J2:J8)</f>
        <v/>
      </c>
    </row>
    <row r="15">
      <c r="A15" s="3" t="inlineStr">
        <is>
          <t>Avg xG Delta (Against)</t>
        </is>
      </c>
      <c r="E15" s="8">
        <f>AVERAGE(K2:K8)</f>
        <v/>
      </c>
    </row>
    <row r="16">
      <c r="A16" s="3" t="inlineStr">
        <is>
          <t>Avg Supremacy Delta</t>
        </is>
      </c>
      <c r="E16" s="8">
        <f>AVERAGE(N2:N8)</f>
        <v/>
      </c>
    </row>
    <row r="17">
      <c r="A17" s="3" t="inlineStr">
        <is>
          <t>Avg Total xG Delta</t>
        </is>
      </c>
      <c r="E17" s="8">
        <f>AVERAGE(O2:O8)</f>
        <v/>
      </c>
    </row>
    <row r="18">
      <c r="A18" s="3" t="inlineStr">
        <is>
          <t>Current form (last 6, For)</t>
        </is>
      </c>
      <c r="E18" s="8">
        <f>L8</f>
        <v/>
      </c>
    </row>
    <row r="19">
      <c r="A19" s="3" t="inlineStr">
        <is>
          <t>Current form (last 6, Against)</t>
        </is>
      </c>
      <c r="E19" s="8">
        <f>M8</f>
        <v/>
      </c>
    </row>
  </sheetData>
  <mergeCells count="9">
    <mergeCell ref="A17:D17"/>
    <mergeCell ref="A18:D18"/>
    <mergeCell ref="A12:D12"/>
    <mergeCell ref="A15:D15"/>
    <mergeCell ref="A16:D16"/>
    <mergeCell ref="A11:D11"/>
    <mergeCell ref="A19:D19"/>
    <mergeCell ref="A13:D13"/>
    <mergeCell ref="A14:D14"/>
  </mergeCells>
  <conditionalFormatting sqref="J2:J8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8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8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8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8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O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Stoke</t>
        </is>
      </c>
      <c r="C2" s="3" t="inlineStr">
        <is>
          <t>Away</t>
        </is>
      </c>
      <c r="D2" s="3" t="n">
        <v>2</v>
      </c>
      <c r="E2" s="3" t="n">
        <v>1</v>
      </c>
      <c r="F2" s="4" t="n">
        <v>1.13</v>
      </c>
      <c r="G2" s="4" t="n">
        <v>1.35</v>
      </c>
      <c r="H2" s="4" t="n">
        <v>0.62</v>
      </c>
      <c r="I2" s="4" t="n">
        <v>0.65</v>
      </c>
      <c r="J2" s="4" t="n">
        <v>-0.51</v>
      </c>
      <c r="K2" s="4" t="n">
        <v>-0.7</v>
      </c>
      <c r="L2" s="4" t="n">
        <v>-0.51</v>
      </c>
      <c r="M2" s="4" t="n">
        <v>-0.7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Sheffield United</t>
        </is>
      </c>
      <c r="C3" s="3" t="inlineStr">
        <is>
          <t>Home</t>
        </is>
      </c>
      <c r="D3" s="3" t="n">
        <v>0</v>
      </c>
      <c r="E3" s="3" t="n">
        <v>0</v>
      </c>
      <c r="F3" s="4" t="n">
        <v>1.44</v>
      </c>
      <c r="G3" s="4" t="n">
        <v>1.29</v>
      </c>
      <c r="H3" s="4" t="n">
        <v>0.57</v>
      </c>
      <c r="I3" s="4" t="n">
        <v>1.46</v>
      </c>
      <c r="J3" s="4" t="n">
        <v>-0.87</v>
      </c>
      <c r="K3" s="4" t="n">
        <v>0.17</v>
      </c>
      <c r="L3" s="4" t="n">
        <v>-0.6899999999999999</v>
      </c>
      <c r="M3" s="4" t="n">
        <v>-0.26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Derby</t>
        </is>
      </c>
      <c r="C4" s="3" t="inlineStr">
        <is>
          <t>Away</t>
        </is>
      </c>
      <c r="D4" s="3" t="n">
        <v>3</v>
      </c>
      <c r="E4" s="3" t="n">
        <v>0</v>
      </c>
      <c r="F4" s="4" t="n">
        <v>1.11</v>
      </c>
      <c r="G4" s="4" t="n">
        <v>1.39</v>
      </c>
      <c r="H4" s="4" t="n">
        <v>3</v>
      </c>
      <c r="I4" s="4" t="n">
        <v>0.7</v>
      </c>
      <c r="J4" s="4" t="n">
        <v>1.89</v>
      </c>
      <c r="K4" s="4" t="n">
        <v>-0.6899999999999999</v>
      </c>
      <c r="L4" s="4" t="n">
        <v>0.17</v>
      </c>
      <c r="M4" s="4" t="n">
        <v>-0.4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Watford</t>
        </is>
      </c>
      <c r="C5" s="3" t="inlineStr">
        <is>
          <t>Home</t>
        </is>
      </c>
      <c r="D5" s="3" t="n">
        <v>2</v>
      </c>
      <c r="E5" s="3" t="n">
        <v>0</v>
      </c>
      <c r="F5" s="4" t="n">
        <v>1.7</v>
      </c>
      <c r="G5" s="4" t="n">
        <v>1.02</v>
      </c>
      <c r="H5" s="4" t="n">
        <v>2.71</v>
      </c>
      <c r="I5" s="4" t="n">
        <v>0.88</v>
      </c>
      <c r="J5" s="4" t="n">
        <v>1.01</v>
      </c>
      <c r="K5" s="4" t="n">
        <v>-0.14</v>
      </c>
      <c r="L5" s="4" t="n">
        <v>0.38</v>
      </c>
      <c r="M5" s="4" t="n">
        <v>-0.34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Wrexham</t>
        </is>
      </c>
      <c r="C6" s="3" t="inlineStr">
        <is>
          <t>Home</t>
        </is>
      </c>
      <c r="D6" s="3" t="n">
        <v>0</v>
      </c>
      <c r="E6" s="3" t="n">
        <v>0</v>
      </c>
      <c r="F6" s="4" t="n">
        <v>1.47</v>
      </c>
      <c r="G6" s="4" t="n">
        <v>1.14</v>
      </c>
      <c r="H6" s="4" t="n">
        <v>0.74</v>
      </c>
      <c r="I6" s="4" t="n">
        <v>0.67</v>
      </c>
      <c r="J6" s="4" t="n">
        <v>-0.73</v>
      </c>
      <c r="K6" s="4" t="n">
        <v>-0.47</v>
      </c>
      <c r="L6" s="4" t="n">
        <v>0.16</v>
      </c>
      <c r="M6" s="4" t="n">
        <v>-0.36</v>
      </c>
      <c r="N6" s="4">
        <f>(H6-I6)-(F6-G6)</f>
        <v/>
      </c>
      <c r="O6" s="4">
        <f>(H6+I6)-(F6+G6)</f>
        <v/>
      </c>
    </row>
    <row r="7">
      <c r="A7" s="3" t="inlineStr">
        <is>
          <t>2026-09-08</t>
        </is>
      </c>
      <c r="B7" s="3" t="inlineStr">
        <is>
          <t>Southampton</t>
        </is>
      </c>
      <c r="C7" s="3" t="inlineStr">
        <is>
          <t>Away</t>
        </is>
      </c>
      <c r="D7" s="3" t="n">
        <v>1</v>
      </c>
      <c r="E7" s="3" t="n">
        <v>3</v>
      </c>
      <c r="F7" s="4" t="n">
        <v>1.09</v>
      </c>
      <c r="G7" s="4" t="n">
        <v>1.77</v>
      </c>
      <c r="H7" s="4" t="n">
        <v>1.22</v>
      </c>
      <c r="I7" s="4" t="n">
        <v>1.44</v>
      </c>
      <c r="J7" s="4" t="n">
        <v>0.13</v>
      </c>
      <c r="K7" s="4" t="n">
        <v>-0.33</v>
      </c>
      <c r="L7" s="4" t="n">
        <v>0.15</v>
      </c>
      <c r="M7" s="4" t="n">
        <v>-0.36</v>
      </c>
      <c r="N7" s="4">
        <f>(H7-I7)-(F7-G7)</f>
        <v/>
      </c>
      <c r="O7" s="4">
        <f>(H7+I7)-(F7+G7)</f>
        <v/>
      </c>
    </row>
    <row r="8">
      <c r="A8" s="3" t="inlineStr">
        <is>
          <t>2026-09-12</t>
        </is>
      </c>
      <c r="B8" s="3" t="inlineStr">
        <is>
          <t>Burnley</t>
        </is>
      </c>
      <c r="C8" s="3" t="inlineStr">
        <is>
          <t>Home</t>
        </is>
      </c>
      <c r="D8" s="3" t="n">
        <v>3</v>
      </c>
      <c r="E8" s="3" t="n">
        <v>1</v>
      </c>
      <c r="F8" s="4" t="n">
        <v>1.54</v>
      </c>
      <c r="G8" s="4" t="n">
        <v>1.19</v>
      </c>
      <c r="H8" s="4" t="n">
        <v>2.63</v>
      </c>
      <c r="I8" s="4" t="n">
        <v>1.73</v>
      </c>
      <c r="J8" s="4" t="n">
        <v>1.09</v>
      </c>
      <c r="K8" s="4" t="n">
        <v>0.54</v>
      </c>
      <c r="L8" s="4" t="n">
        <v>0.42</v>
      </c>
      <c r="M8" s="4" t="n">
        <v>-0.15</v>
      </c>
      <c r="N8" s="4">
        <f>(H8-I8)-(F8-G8)</f>
        <v/>
      </c>
      <c r="O8" s="4">
        <f>(H8+I8)-(F8+G8)</f>
        <v/>
      </c>
    </row>
    <row r="10">
      <c r="A10" s="6" t="inlineStr">
        <is>
          <t>Season summary</t>
        </is>
      </c>
    </row>
    <row r="11">
      <c r="A11" s="3" t="inlineStr">
        <is>
          <t>Matches played</t>
        </is>
      </c>
      <c r="E11" s="7">
        <f>COUNTA(A2:A8)</f>
        <v/>
      </c>
    </row>
    <row r="12">
      <c r="A12" s="3" t="inlineStr">
        <is>
          <t>Total goals for</t>
        </is>
      </c>
      <c r="E12" s="7">
        <f>SUM(D2:D8)</f>
        <v/>
      </c>
    </row>
    <row r="13">
      <c r="A13" s="3" t="inlineStr">
        <is>
          <t>Total goals against</t>
        </is>
      </c>
      <c r="E13" s="7">
        <f>SUM(E2:E8)</f>
        <v/>
      </c>
    </row>
    <row r="14">
      <c r="A14" s="3" t="inlineStr">
        <is>
          <t>Avg xG Delta (For)</t>
        </is>
      </c>
      <c r="E14" s="8">
        <f>AVERAGE(J2:J8)</f>
        <v/>
      </c>
    </row>
    <row r="15">
      <c r="A15" s="3" t="inlineStr">
        <is>
          <t>Avg xG Delta (Against)</t>
        </is>
      </c>
      <c r="E15" s="8">
        <f>AVERAGE(K2:K8)</f>
        <v/>
      </c>
    </row>
    <row r="16">
      <c r="A16" s="3" t="inlineStr">
        <is>
          <t>Avg Supremacy Delta</t>
        </is>
      </c>
      <c r="E16" s="8">
        <f>AVERAGE(N2:N8)</f>
        <v/>
      </c>
    </row>
    <row r="17">
      <c r="A17" s="3" t="inlineStr">
        <is>
          <t>Avg Total xG Delta</t>
        </is>
      </c>
      <c r="E17" s="8">
        <f>AVERAGE(O2:O8)</f>
        <v/>
      </c>
    </row>
    <row r="18">
      <c r="A18" s="3" t="inlineStr">
        <is>
          <t>Current form (last 6, For)</t>
        </is>
      </c>
      <c r="E18" s="8">
        <f>L8</f>
        <v/>
      </c>
    </row>
    <row r="19">
      <c r="A19" s="3" t="inlineStr">
        <is>
          <t>Current form (last 6, Against)</t>
        </is>
      </c>
      <c r="E19" s="8">
        <f>M8</f>
        <v/>
      </c>
    </row>
  </sheetData>
  <mergeCells count="9">
    <mergeCell ref="A17:D17"/>
    <mergeCell ref="A18:D18"/>
    <mergeCell ref="A12:D12"/>
    <mergeCell ref="A15:D15"/>
    <mergeCell ref="A16:D16"/>
    <mergeCell ref="A11:D11"/>
    <mergeCell ref="A19:D19"/>
    <mergeCell ref="A13:D13"/>
    <mergeCell ref="A14:D14"/>
  </mergeCells>
  <conditionalFormatting sqref="J2:J8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8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8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8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8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O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1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2026-08-16</t>
        </is>
      </c>
      <c r="B2" s="3" t="inlineStr">
        <is>
          <t>Southampton</t>
        </is>
      </c>
      <c r="C2" s="3" t="inlineStr">
        <is>
          <t>Home</t>
        </is>
      </c>
      <c r="D2" s="3" t="n">
        <v>2</v>
      </c>
      <c r="E2" s="3" t="n">
        <v>1</v>
      </c>
      <c r="F2" s="4" t="n">
        <v>1.23</v>
      </c>
      <c r="G2" s="4" t="n">
        <v>1.64</v>
      </c>
      <c r="H2" s="4" t="n">
        <v>0.8100000000000001</v>
      </c>
      <c r="I2" s="4" t="n">
        <v>1.71</v>
      </c>
      <c r="J2" s="4" t="n">
        <v>-0.42</v>
      </c>
      <c r="K2" s="4" t="n">
        <v>0.07000000000000001</v>
      </c>
      <c r="L2" s="4" t="n">
        <v>-0.42</v>
      </c>
      <c r="M2" s="4" t="n">
        <v>0.07000000000000001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Wrexham</t>
        </is>
      </c>
      <c r="C3" s="3" t="inlineStr">
        <is>
          <t>Away</t>
        </is>
      </c>
      <c r="D3" s="3" t="n">
        <v>1</v>
      </c>
      <c r="E3" s="3" t="n">
        <v>1</v>
      </c>
      <c r="F3" s="4" t="n">
        <v>1.06</v>
      </c>
      <c r="G3" s="4" t="n">
        <v>1.66</v>
      </c>
      <c r="H3" s="4" t="n">
        <v>0.65</v>
      </c>
      <c r="I3" s="4" t="n">
        <v>1.92</v>
      </c>
      <c r="J3" s="4" t="n">
        <v>-0.41</v>
      </c>
      <c r="K3" s="4" t="n">
        <v>0.26</v>
      </c>
      <c r="L3" s="4" t="n">
        <v>-0.42</v>
      </c>
      <c r="M3" s="4" t="n">
        <v>0.17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West Ham</t>
        </is>
      </c>
      <c r="C4" s="3" t="inlineStr">
        <is>
          <t>Home</t>
        </is>
      </c>
      <c r="D4" s="3" t="n">
        <v>1</v>
      </c>
      <c r="E4" s="3" t="n">
        <v>1</v>
      </c>
      <c r="F4" s="4" t="n">
        <v>1.19</v>
      </c>
      <c r="G4" s="4" t="n">
        <v>1.84</v>
      </c>
      <c r="H4" s="4" t="n">
        <v>1.6</v>
      </c>
      <c r="I4" s="4" t="n">
        <v>0.89</v>
      </c>
      <c r="J4" s="4" t="n">
        <v>0.41</v>
      </c>
      <c r="K4" s="4" t="n">
        <v>-0.95</v>
      </c>
      <c r="L4" s="4" t="n">
        <v>-0.14</v>
      </c>
      <c r="M4" s="4" t="n">
        <v>-0.21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Swansea</t>
        </is>
      </c>
      <c r="C5" s="3" t="inlineStr">
        <is>
          <t>Away</t>
        </is>
      </c>
      <c r="D5" s="3" t="n">
        <v>0</v>
      </c>
      <c r="E5" s="3" t="n">
        <v>2</v>
      </c>
      <c r="F5" s="4" t="n">
        <v>1.02</v>
      </c>
      <c r="G5" s="4" t="n">
        <v>1.7</v>
      </c>
      <c r="H5" s="4" t="n">
        <v>0.88</v>
      </c>
      <c r="I5" s="4" t="n">
        <v>2.71</v>
      </c>
      <c r="J5" s="4" t="n">
        <v>-0.14</v>
      </c>
      <c r="K5" s="4" t="n">
        <v>1.01</v>
      </c>
      <c r="L5" s="4" t="n">
        <v>-0.14</v>
      </c>
      <c r="M5" s="4" t="n">
        <v>0.1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West Bromwich Albion</t>
        </is>
      </c>
      <c r="C6" s="3" t="inlineStr">
        <is>
          <t>Away</t>
        </is>
      </c>
      <c r="D6" s="3" t="n">
        <v>0</v>
      </c>
      <c r="E6" s="3" t="n">
        <v>1</v>
      </c>
      <c r="F6" s="4" t="n">
        <v>1.04</v>
      </c>
      <c r="G6" s="4" t="n">
        <v>1.67</v>
      </c>
      <c r="H6" s="4" t="n">
        <v>1.26</v>
      </c>
      <c r="I6" s="4" t="n">
        <v>1.14</v>
      </c>
      <c r="J6" s="4" t="n">
        <v>0.22</v>
      </c>
      <c r="K6" s="4" t="n">
        <v>-0.53</v>
      </c>
      <c r="L6" s="4" t="n">
        <v>-0.07000000000000001</v>
      </c>
      <c r="M6" s="4" t="n">
        <v>-0.03</v>
      </c>
      <c r="N6" s="4">
        <f>(H6-I6)-(F6-G6)</f>
        <v/>
      </c>
      <c r="O6" s="4">
        <f>(H6+I6)-(F6+G6)</f>
        <v/>
      </c>
    </row>
    <row r="7">
      <c r="A7" s="3" t="inlineStr">
        <is>
          <t>2026-09-08</t>
        </is>
      </c>
      <c r="B7" s="3" t="inlineStr">
        <is>
          <t>Preston North End</t>
        </is>
      </c>
      <c r="C7" s="3" t="inlineStr">
        <is>
          <t>Home</t>
        </is>
      </c>
      <c r="D7" s="3" t="n">
        <v>2</v>
      </c>
      <c r="E7" s="3" t="n">
        <v>1</v>
      </c>
      <c r="F7" s="4" t="n">
        <v>1.54</v>
      </c>
      <c r="G7" s="4" t="n">
        <v>1.15</v>
      </c>
      <c r="H7" s="4" t="n">
        <v>1.44</v>
      </c>
      <c r="I7" s="4" t="n">
        <v>2.48</v>
      </c>
      <c r="J7" s="4" t="n">
        <v>-0.1</v>
      </c>
      <c r="K7" s="4" t="n">
        <v>1.33</v>
      </c>
      <c r="L7" s="4" t="n">
        <v>-0.07000000000000001</v>
      </c>
      <c r="M7" s="4" t="n">
        <v>0.2</v>
      </c>
      <c r="N7" s="4">
        <f>(H7-I7)-(F7-G7)</f>
        <v/>
      </c>
      <c r="O7" s="4">
        <f>(H7+I7)-(F7+G7)</f>
        <v/>
      </c>
    </row>
    <row r="8">
      <c r="A8" s="3" t="inlineStr">
        <is>
          <t>2026-09-12</t>
        </is>
      </c>
      <c r="B8" s="3" t="inlineStr">
        <is>
          <t>Stoke</t>
        </is>
      </c>
      <c r="C8" s="3" t="inlineStr">
        <is>
          <t>Home</t>
        </is>
      </c>
      <c r="D8" s="3" t="n">
        <v>1</v>
      </c>
      <c r="E8" s="3" t="n">
        <v>2</v>
      </c>
      <c r="F8" s="4" t="n">
        <v>1.46</v>
      </c>
      <c r="G8" s="4" t="n">
        <v>1.21</v>
      </c>
      <c r="H8" s="4" t="n">
        <v>0.39</v>
      </c>
      <c r="I8" s="4" t="n">
        <v>1.5</v>
      </c>
      <c r="J8" s="4" t="n">
        <v>-1.07</v>
      </c>
      <c r="K8" s="4" t="n">
        <v>0.29</v>
      </c>
      <c r="L8" s="4" t="n">
        <v>-0.18</v>
      </c>
      <c r="M8" s="4" t="n">
        <v>0.24</v>
      </c>
      <c r="N8" s="4">
        <f>(H8-I8)-(F8-G8)</f>
        <v/>
      </c>
      <c r="O8" s="4">
        <f>(H8+I8)-(F8+G8)</f>
        <v/>
      </c>
    </row>
    <row r="10">
      <c r="A10" s="6" t="inlineStr">
        <is>
          <t>Season summary</t>
        </is>
      </c>
    </row>
    <row r="11">
      <c r="A11" s="3" t="inlineStr">
        <is>
          <t>Matches played</t>
        </is>
      </c>
      <c r="E11" s="7">
        <f>COUNTA(A2:A8)</f>
        <v/>
      </c>
    </row>
    <row r="12">
      <c r="A12" s="3" t="inlineStr">
        <is>
          <t>Total goals for</t>
        </is>
      </c>
      <c r="E12" s="7">
        <f>SUM(D2:D8)</f>
        <v/>
      </c>
    </row>
    <row r="13">
      <c r="A13" s="3" t="inlineStr">
        <is>
          <t>Total goals against</t>
        </is>
      </c>
      <c r="E13" s="7">
        <f>SUM(E2:E8)</f>
        <v/>
      </c>
    </row>
    <row r="14">
      <c r="A14" s="3" t="inlineStr">
        <is>
          <t>Avg xG Delta (For)</t>
        </is>
      </c>
      <c r="E14" s="8">
        <f>AVERAGE(J2:J8)</f>
        <v/>
      </c>
    </row>
    <row r="15">
      <c r="A15" s="3" t="inlineStr">
        <is>
          <t>Avg xG Delta (Against)</t>
        </is>
      </c>
      <c r="E15" s="8">
        <f>AVERAGE(K2:K8)</f>
        <v/>
      </c>
    </row>
    <row r="16">
      <c r="A16" s="3" t="inlineStr">
        <is>
          <t>Avg Supremacy Delta</t>
        </is>
      </c>
      <c r="E16" s="8">
        <f>AVERAGE(N2:N8)</f>
        <v/>
      </c>
    </row>
    <row r="17">
      <c r="A17" s="3" t="inlineStr">
        <is>
          <t>Avg Total xG Delta</t>
        </is>
      </c>
      <c r="E17" s="8">
        <f>AVERAGE(O2:O8)</f>
        <v/>
      </c>
    </row>
    <row r="18">
      <c r="A18" s="3" t="inlineStr">
        <is>
          <t>Current form (last 6, For)</t>
        </is>
      </c>
      <c r="E18" s="8">
        <f>L8</f>
        <v/>
      </c>
    </row>
    <row r="19">
      <c r="A19" s="3" t="inlineStr">
        <is>
          <t>Current form (last 6, Against)</t>
        </is>
      </c>
      <c r="E19" s="8">
        <f>M8</f>
        <v/>
      </c>
    </row>
  </sheetData>
  <mergeCells count="9">
    <mergeCell ref="A17:D17"/>
    <mergeCell ref="A18:D18"/>
    <mergeCell ref="A12:D12"/>
    <mergeCell ref="A15:D15"/>
    <mergeCell ref="A16:D16"/>
    <mergeCell ref="A11:D11"/>
    <mergeCell ref="A19:D19"/>
    <mergeCell ref="A13:D13"/>
    <mergeCell ref="A14:D14"/>
  </mergeCells>
  <conditionalFormatting sqref="J2:J8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8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8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8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8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O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Norwich</t>
        </is>
      </c>
      <c r="C2" s="3" t="inlineStr">
        <is>
          <t>Away</t>
        </is>
      </c>
      <c r="D2" s="3" t="n">
        <v>2</v>
      </c>
      <c r="E2" s="3" t="n">
        <v>1</v>
      </c>
      <c r="F2" s="4" t="n">
        <v>1.06</v>
      </c>
      <c r="G2" s="4" t="n">
        <v>1.6</v>
      </c>
      <c r="H2" s="4" t="n">
        <v>1.85</v>
      </c>
      <c r="I2" s="4" t="n">
        <v>2.96</v>
      </c>
      <c r="J2" s="4" t="n">
        <v>0.79</v>
      </c>
      <c r="K2" s="4" t="n">
        <v>1.36</v>
      </c>
      <c r="L2" s="4" t="n">
        <v>0.79</v>
      </c>
      <c r="M2" s="4" t="n">
        <v>1.36</v>
      </c>
      <c r="N2" s="4">
        <f>(H2-I2)-(F2-G2)</f>
        <v/>
      </c>
      <c r="O2" s="4">
        <f>(H2+I2)-(F2+G2)</f>
        <v/>
      </c>
    </row>
    <row r="3">
      <c r="A3" s="3" t="inlineStr">
        <is>
          <t>2026-08-23</t>
        </is>
      </c>
      <c r="B3" s="3" t="inlineStr">
        <is>
          <t>Burnley</t>
        </is>
      </c>
      <c r="C3" s="3" t="inlineStr">
        <is>
          <t>Home</t>
        </is>
      </c>
      <c r="D3" s="3" t="n">
        <v>3</v>
      </c>
      <c r="E3" s="3" t="n">
        <v>1</v>
      </c>
      <c r="F3" s="4" t="n">
        <v>1.23</v>
      </c>
      <c r="G3" s="4" t="n">
        <v>1.3</v>
      </c>
      <c r="H3" s="4" t="n">
        <v>1.63</v>
      </c>
      <c r="I3" s="4" t="n">
        <v>1.18</v>
      </c>
      <c r="J3" s="4" t="n">
        <v>0.4</v>
      </c>
      <c r="K3" s="4" t="n">
        <v>-0.12</v>
      </c>
      <c r="L3" s="4" t="n">
        <v>0.59</v>
      </c>
      <c r="M3" s="4" t="n">
        <v>0.62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Middlesbrough</t>
        </is>
      </c>
      <c r="C4" s="3" t="inlineStr">
        <is>
          <t>Away</t>
        </is>
      </c>
      <c r="D4" s="3" t="n">
        <v>1</v>
      </c>
      <c r="E4" s="3" t="n">
        <v>3</v>
      </c>
      <c r="F4" s="4" t="n">
        <v>0.99</v>
      </c>
      <c r="G4" s="4" t="n">
        <v>1.76</v>
      </c>
      <c r="H4" s="4" t="n">
        <v>1.32</v>
      </c>
      <c r="I4" s="4" t="n">
        <v>2.55</v>
      </c>
      <c r="J4" s="4" t="n">
        <v>0.33</v>
      </c>
      <c r="K4" s="4" t="n">
        <v>0.79</v>
      </c>
      <c r="L4" s="4" t="n">
        <v>0.5</v>
      </c>
      <c r="M4" s="4" t="n">
        <v>0.67</v>
      </c>
      <c r="N4" s="4">
        <f>(H4-I4)-(F4-G4)</f>
        <v/>
      </c>
      <c r="O4" s="4">
        <f>(H4+I4)-(F4+G4)</f>
        <v/>
      </c>
    </row>
    <row r="5">
      <c r="A5" s="3" t="inlineStr">
        <is>
          <t>2026-09-02</t>
        </is>
      </c>
      <c r="B5" s="3" t="inlineStr">
        <is>
          <t>Charlton</t>
        </is>
      </c>
      <c r="C5" s="3" t="inlineStr">
        <is>
          <t>Home</t>
        </is>
      </c>
      <c r="D5" s="3" t="n">
        <v>1</v>
      </c>
      <c r="E5" s="3" t="n">
        <v>1</v>
      </c>
      <c r="F5" s="4" t="n">
        <v>1.64</v>
      </c>
      <c r="G5" s="4" t="n">
        <v>0.89</v>
      </c>
      <c r="H5" s="4" t="n">
        <v>0.6</v>
      </c>
      <c r="I5" s="4" t="n">
        <v>0.39</v>
      </c>
      <c r="J5" s="4" t="n">
        <v>-1.04</v>
      </c>
      <c r="K5" s="4" t="n">
        <v>-0.49</v>
      </c>
      <c r="L5" s="4" t="n">
        <v>0.12</v>
      </c>
      <c r="M5" s="4" t="n">
        <v>0.38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Watford</t>
        </is>
      </c>
      <c r="C6" s="3" t="inlineStr">
        <is>
          <t>Home</t>
        </is>
      </c>
      <c r="D6" s="3" t="n">
        <v>1</v>
      </c>
      <c r="E6" s="3" t="n">
        <v>0</v>
      </c>
      <c r="F6" s="4" t="n">
        <v>1.67</v>
      </c>
      <c r="G6" s="4" t="n">
        <v>1.04</v>
      </c>
      <c r="H6" s="4" t="n">
        <v>1.14</v>
      </c>
      <c r="I6" s="4" t="n">
        <v>1.26</v>
      </c>
      <c r="J6" s="4" t="n">
        <v>-0.53</v>
      </c>
      <c r="K6" s="4" t="n">
        <v>0.22</v>
      </c>
      <c r="L6" s="4" t="n">
        <v>-0.01</v>
      </c>
      <c r="M6" s="4" t="n">
        <v>0.35</v>
      </c>
      <c r="N6" s="4">
        <f>(H6-I6)-(F6-G6)</f>
        <v/>
      </c>
      <c r="O6" s="4">
        <f>(H6+I6)-(F6+G6)</f>
        <v/>
      </c>
    </row>
    <row r="7">
      <c r="A7" s="3" t="inlineStr">
        <is>
          <t>2026-09-09</t>
        </is>
      </c>
      <c r="B7" s="3" t="inlineStr">
        <is>
          <t>Derby</t>
        </is>
      </c>
      <c r="C7" s="3" t="inlineStr">
        <is>
          <t>Away</t>
        </is>
      </c>
      <c r="D7" s="3" t="n">
        <v>1</v>
      </c>
      <c r="E7" s="3" t="n">
        <v>0</v>
      </c>
      <c r="F7" s="4" t="n">
        <v>1.43</v>
      </c>
      <c r="G7" s="4" t="n">
        <v>1.23</v>
      </c>
      <c r="H7" s="4" t="n">
        <v>0.38</v>
      </c>
      <c r="I7" s="4" t="n">
        <v>1.27</v>
      </c>
      <c r="J7" s="4" t="n">
        <v>-1.05</v>
      </c>
      <c r="K7" s="4" t="n">
        <v>0.04</v>
      </c>
      <c r="L7" s="4" t="n">
        <v>-0.18</v>
      </c>
      <c r="M7" s="4" t="n">
        <v>0.3</v>
      </c>
      <c r="N7" s="4">
        <f>(H7-I7)-(F7-G7)</f>
        <v/>
      </c>
      <c r="O7" s="4">
        <f>(H7+I7)-(F7+G7)</f>
        <v/>
      </c>
    </row>
    <row r="8">
      <c r="A8" s="3" t="inlineStr">
        <is>
          <t>2026-09-12</t>
        </is>
      </c>
      <c r="B8" s="3" t="inlineStr">
        <is>
          <t>Queens Park Rangers</t>
        </is>
      </c>
      <c r="C8" s="3" t="inlineStr">
        <is>
          <t>Home</t>
        </is>
      </c>
      <c r="D8" s="3" t="n">
        <v>1</v>
      </c>
      <c r="E8" s="3" t="n">
        <v>1</v>
      </c>
      <c r="F8" s="4" t="n">
        <v>1.6</v>
      </c>
      <c r="G8" s="4" t="n">
        <v>1.15</v>
      </c>
      <c r="H8" s="4" t="n">
        <v>1.22</v>
      </c>
      <c r="I8" s="4" t="n">
        <v>0.62</v>
      </c>
      <c r="J8" s="4" t="n">
        <v>-0.38</v>
      </c>
      <c r="K8" s="4" t="n">
        <v>-0.53</v>
      </c>
      <c r="L8" s="4" t="n">
        <v>-0.38</v>
      </c>
      <c r="M8" s="4" t="n">
        <v>-0.02</v>
      </c>
      <c r="N8" s="4">
        <f>(H8-I8)-(F8-G8)</f>
        <v/>
      </c>
      <c r="O8" s="4">
        <f>(H8+I8)-(F8+G8)</f>
        <v/>
      </c>
    </row>
    <row r="10">
      <c r="A10" s="6" t="inlineStr">
        <is>
          <t>Season summary</t>
        </is>
      </c>
    </row>
    <row r="11">
      <c r="A11" s="3" t="inlineStr">
        <is>
          <t>Matches played</t>
        </is>
      </c>
      <c r="E11" s="7">
        <f>COUNTA(A2:A8)</f>
        <v/>
      </c>
    </row>
    <row r="12">
      <c r="A12" s="3" t="inlineStr">
        <is>
          <t>Total goals for</t>
        </is>
      </c>
      <c r="E12" s="7">
        <f>SUM(D2:D8)</f>
        <v/>
      </c>
    </row>
    <row r="13">
      <c r="A13" s="3" t="inlineStr">
        <is>
          <t>Total goals against</t>
        </is>
      </c>
      <c r="E13" s="7">
        <f>SUM(E2:E8)</f>
        <v/>
      </c>
    </row>
    <row r="14">
      <c r="A14" s="3" t="inlineStr">
        <is>
          <t>Avg xG Delta (For)</t>
        </is>
      </c>
      <c r="E14" s="8">
        <f>AVERAGE(J2:J8)</f>
        <v/>
      </c>
    </row>
    <row r="15">
      <c r="A15" s="3" t="inlineStr">
        <is>
          <t>Avg xG Delta (Against)</t>
        </is>
      </c>
      <c r="E15" s="8">
        <f>AVERAGE(K2:K8)</f>
        <v/>
      </c>
    </row>
    <row r="16">
      <c r="A16" s="3" t="inlineStr">
        <is>
          <t>Avg Supremacy Delta</t>
        </is>
      </c>
      <c r="E16" s="8">
        <f>AVERAGE(N2:N8)</f>
        <v/>
      </c>
    </row>
    <row r="17">
      <c r="A17" s="3" t="inlineStr">
        <is>
          <t>Avg Total xG Delta</t>
        </is>
      </c>
      <c r="E17" s="8">
        <f>AVERAGE(O2:O8)</f>
        <v/>
      </c>
    </row>
    <row r="18">
      <c r="A18" s="3" t="inlineStr">
        <is>
          <t>Current form (last 6, For)</t>
        </is>
      </c>
      <c r="E18" s="8">
        <f>L8</f>
        <v/>
      </c>
    </row>
    <row r="19">
      <c r="A19" s="3" t="inlineStr">
        <is>
          <t>Current form (last 6, Against)</t>
        </is>
      </c>
      <c r="E19" s="8">
        <f>M8</f>
        <v/>
      </c>
    </row>
  </sheetData>
  <mergeCells count="9">
    <mergeCell ref="A17:D17"/>
    <mergeCell ref="A18:D18"/>
    <mergeCell ref="A12:D12"/>
    <mergeCell ref="A15:D15"/>
    <mergeCell ref="A16:D16"/>
    <mergeCell ref="A11:D11"/>
    <mergeCell ref="A19:D19"/>
    <mergeCell ref="A13:D13"/>
    <mergeCell ref="A14:D14"/>
  </mergeCells>
  <conditionalFormatting sqref="J2:J8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8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8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8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8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O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2026-08-16</t>
        </is>
      </c>
      <c r="B2" s="3" t="inlineStr">
        <is>
          <t>Burnley</t>
        </is>
      </c>
      <c r="C2" s="3" t="inlineStr">
        <is>
          <t>Away</t>
        </is>
      </c>
      <c r="D2" s="3" t="n">
        <v>2</v>
      </c>
      <c r="E2" s="3" t="n">
        <v>2</v>
      </c>
      <c r="F2" s="4" t="n">
        <v>1.55</v>
      </c>
      <c r="G2" s="4" t="n">
        <v>1.35</v>
      </c>
      <c r="H2" s="4" t="n">
        <v>1.33</v>
      </c>
      <c r="I2" s="4" t="n">
        <v>2.1</v>
      </c>
      <c r="J2" s="4" t="n">
        <v>-0.22</v>
      </c>
      <c r="K2" s="4" t="n">
        <v>0.75</v>
      </c>
      <c r="L2" s="4" t="n">
        <v>-0.22</v>
      </c>
      <c r="M2" s="4" t="n">
        <v>0.75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Charlton</t>
        </is>
      </c>
      <c r="C3" s="3" t="inlineStr">
        <is>
          <t>Home</t>
        </is>
      </c>
      <c r="D3" s="3" t="n">
        <v>1</v>
      </c>
      <c r="E3" s="3" t="n">
        <v>2</v>
      </c>
      <c r="F3" s="4" t="n">
        <v>2.19</v>
      </c>
      <c r="G3" s="4" t="n">
        <v>0.76</v>
      </c>
      <c r="H3" s="4" t="n">
        <v>2.84</v>
      </c>
      <c r="I3" s="4" t="n">
        <v>0.62</v>
      </c>
      <c r="J3" s="4" t="n">
        <v>0.65</v>
      </c>
      <c r="K3" s="4" t="n">
        <v>-0.14</v>
      </c>
      <c r="L3" s="4" t="n">
        <v>0.22</v>
      </c>
      <c r="M3" s="4" t="n">
        <v>0.3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Watford</t>
        </is>
      </c>
      <c r="C4" s="3" t="inlineStr">
        <is>
          <t>Away</t>
        </is>
      </c>
      <c r="D4" s="3" t="n">
        <v>1</v>
      </c>
      <c r="E4" s="3" t="n">
        <v>1</v>
      </c>
      <c r="F4" s="4" t="n">
        <v>1.84</v>
      </c>
      <c r="G4" s="4" t="n">
        <v>1.19</v>
      </c>
      <c r="H4" s="4" t="n">
        <v>0.89</v>
      </c>
      <c r="I4" s="4" t="n">
        <v>1.6</v>
      </c>
      <c r="J4" s="4" t="n">
        <v>-0.95</v>
      </c>
      <c r="K4" s="4" t="n">
        <v>0.41</v>
      </c>
      <c r="L4" s="4" t="n">
        <v>-0.17</v>
      </c>
      <c r="M4" s="4" t="n">
        <v>0.34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Wolves</t>
        </is>
      </c>
      <c r="C5" s="3" t="inlineStr">
        <is>
          <t>Home</t>
        </is>
      </c>
      <c r="D5" s="3" t="n">
        <v>4</v>
      </c>
      <c r="E5" s="3" t="n">
        <v>2</v>
      </c>
      <c r="F5" s="4" t="n">
        <v>1.7</v>
      </c>
      <c r="G5" s="4" t="n">
        <v>1.26</v>
      </c>
      <c r="H5" s="4" t="n">
        <v>2.05</v>
      </c>
      <c r="I5" s="4" t="n">
        <v>0.9399999999999999</v>
      </c>
      <c r="J5" s="4" t="n">
        <v>0.35</v>
      </c>
      <c r="K5" s="4" t="n">
        <v>-0.32</v>
      </c>
      <c r="L5" s="4" t="n">
        <v>-0.04</v>
      </c>
      <c r="M5" s="4" t="n">
        <v>0.17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Derby</t>
        </is>
      </c>
      <c r="C6" s="3" t="inlineStr">
        <is>
          <t>Home</t>
        </is>
      </c>
      <c r="D6" s="3" t="n">
        <v>3</v>
      </c>
      <c r="E6" s="3" t="n">
        <v>0</v>
      </c>
      <c r="F6" s="4" t="n">
        <v>2.18</v>
      </c>
      <c r="G6" s="4" t="n">
        <v>0.76</v>
      </c>
      <c r="H6" s="4" t="n">
        <v>3.79</v>
      </c>
      <c r="I6" s="4" t="n">
        <v>0.11</v>
      </c>
      <c r="J6" s="4" t="n">
        <v>1.61</v>
      </c>
      <c r="K6" s="4" t="n">
        <v>-0.65</v>
      </c>
      <c r="L6" s="4" t="n">
        <v>0.29</v>
      </c>
      <c r="M6" s="4" t="n">
        <v>0.01</v>
      </c>
      <c r="N6" s="4">
        <f>(H6-I6)-(F6-G6)</f>
        <v/>
      </c>
      <c r="O6" s="4">
        <f>(H6+I6)-(F6+G6)</f>
        <v/>
      </c>
    </row>
    <row r="7">
      <c r="A7" s="3" t="inlineStr">
        <is>
          <t>2026-09-08</t>
        </is>
      </c>
      <c r="B7" s="3" t="inlineStr">
        <is>
          <t>Bolton Wanderers</t>
        </is>
      </c>
      <c r="C7" s="3" t="inlineStr">
        <is>
          <t>Away</t>
        </is>
      </c>
      <c r="D7" s="3" t="n">
        <v>3</v>
      </c>
      <c r="E7" s="3" t="n">
        <v>2</v>
      </c>
      <c r="F7" s="4" t="n">
        <v>2.05</v>
      </c>
      <c r="G7" s="4" t="n">
        <v>1.08</v>
      </c>
      <c r="H7" s="4" t="n">
        <v>2.22</v>
      </c>
      <c r="I7" s="4" t="n">
        <v>1.56</v>
      </c>
      <c r="J7" s="4" t="n">
        <v>0.17</v>
      </c>
      <c r="K7" s="4" t="n">
        <v>0.48</v>
      </c>
      <c r="L7" s="4" t="n">
        <v>0.27</v>
      </c>
      <c r="M7" s="4" t="n">
        <v>0.09</v>
      </c>
      <c r="N7" s="4">
        <f>(H7-I7)-(F7-G7)</f>
        <v/>
      </c>
      <c r="O7" s="4">
        <f>(H7+I7)-(F7+G7)</f>
        <v/>
      </c>
    </row>
    <row r="8">
      <c r="A8" s="3" t="inlineStr">
        <is>
          <t>2026-09-11</t>
        </is>
      </c>
      <c r="B8" s="3" t="inlineStr">
        <is>
          <t>Wrexham</t>
        </is>
      </c>
      <c r="C8" s="3" t="inlineStr">
        <is>
          <t>Home</t>
        </is>
      </c>
      <c r="D8" s="3" t="n">
        <v>6</v>
      </c>
      <c r="E8" s="3" t="n">
        <v>0</v>
      </c>
      <c r="F8" s="4" t="n">
        <v>2</v>
      </c>
      <c r="G8" s="4" t="n">
        <v>1.01</v>
      </c>
      <c r="H8" s="4" t="n">
        <v>2.96</v>
      </c>
      <c r="I8" s="4" t="n">
        <v>0.44</v>
      </c>
      <c r="J8" s="4" t="n">
        <v>0.96</v>
      </c>
      <c r="K8" s="4" t="n">
        <v>-0.57</v>
      </c>
      <c r="L8" s="4" t="n">
        <v>0.47</v>
      </c>
      <c r="M8" s="4" t="n">
        <v>-0.13</v>
      </c>
      <c r="N8" s="4">
        <f>(H8-I8)-(F8-G8)</f>
        <v/>
      </c>
      <c r="O8" s="4">
        <f>(H8+I8)-(F8+G8)</f>
        <v/>
      </c>
    </row>
    <row r="10">
      <c r="A10" s="6" t="inlineStr">
        <is>
          <t>Season summary</t>
        </is>
      </c>
    </row>
    <row r="11">
      <c r="A11" s="3" t="inlineStr">
        <is>
          <t>Matches played</t>
        </is>
      </c>
      <c r="E11" s="7">
        <f>COUNTA(A2:A8)</f>
        <v/>
      </c>
    </row>
    <row r="12">
      <c r="A12" s="3" t="inlineStr">
        <is>
          <t>Total goals for</t>
        </is>
      </c>
      <c r="E12" s="7">
        <f>SUM(D2:D8)</f>
        <v/>
      </c>
    </row>
    <row r="13">
      <c r="A13" s="3" t="inlineStr">
        <is>
          <t>Total goals against</t>
        </is>
      </c>
      <c r="E13" s="7">
        <f>SUM(E2:E8)</f>
        <v/>
      </c>
    </row>
    <row r="14">
      <c r="A14" s="3" t="inlineStr">
        <is>
          <t>Avg xG Delta (For)</t>
        </is>
      </c>
      <c r="E14" s="8">
        <f>AVERAGE(J2:J8)</f>
        <v/>
      </c>
    </row>
    <row r="15">
      <c r="A15" s="3" t="inlineStr">
        <is>
          <t>Avg xG Delta (Against)</t>
        </is>
      </c>
      <c r="E15" s="8">
        <f>AVERAGE(K2:K8)</f>
        <v/>
      </c>
    </row>
    <row r="16">
      <c r="A16" s="3" t="inlineStr">
        <is>
          <t>Avg Supremacy Delta</t>
        </is>
      </c>
      <c r="E16" s="8">
        <f>AVERAGE(N2:N8)</f>
        <v/>
      </c>
    </row>
    <row r="17">
      <c r="A17" s="3" t="inlineStr">
        <is>
          <t>Avg Total xG Delta</t>
        </is>
      </c>
      <c r="E17" s="8">
        <f>AVERAGE(O2:O8)</f>
        <v/>
      </c>
    </row>
    <row r="18">
      <c r="A18" s="3" t="inlineStr">
        <is>
          <t>Current form (last 6, For)</t>
        </is>
      </c>
      <c r="E18" s="8">
        <f>L8</f>
        <v/>
      </c>
    </row>
    <row r="19">
      <c r="A19" s="3" t="inlineStr">
        <is>
          <t>Current form (last 6, Against)</t>
        </is>
      </c>
      <c r="E19" s="8">
        <f>M8</f>
        <v/>
      </c>
    </row>
  </sheetData>
  <mergeCells count="9">
    <mergeCell ref="A17:D17"/>
    <mergeCell ref="A18:D18"/>
    <mergeCell ref="A12:D12"/>
    <mergeCell ref="A15:D15"/>
    <mergeCell ref="A16:D16"/>
    <mergeCell ref="A11:D11"/>
    <mergeCell ref="A19:D19"/>
    <mergeCell ref="A13:D13"/>
    <mergeCell ref="A14:D14"/>
  </mergeCells>
  <conditionalFormatting sqref="J2:J8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8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8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8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8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2026-08-14</t>
        </is>
      </c>
      <c r="B2" s="3" t="inlineStr">
        <is>
          <t>Blackburn</t>
        </is>
      </c>
      <c r="C2" s="3" t="inlineStr">
        <is>
          <t>Home</t>
        </is>
      </c>
      <c r="D2" s="3" t="n">
        <v>2</v>
      </c>
      <c r="E2" s="3" t="n">
        <v>2</v>
      </c>
      <c r="F2" s="4" t="n">
        <v>1.9</v>
      </c>
      <c r="G2" s="4" t="n">
        <v>0.83</v>
      </c>
      <c r="H2" s="4" t="n">
        <v>1.97</v>
      </c>
      <c r="I2" s="4" t="n">
        <v>0.84</v>
      </c>
      <c r="J2" s="4" t="n">
        <v>0.07000000000000001</v>
      </c>
      <c r="K2" s="4" t="n">
        <v>0.01</v>
      </c>
      <c r="L2" s="4" t="n">
        <v>0.07000000000000001</v>
      </c>
      <c r="M2" s="4" t="n">
        <v>0.01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Preston North End</t>
        </is>
      </c>
      <c r="C3" s="3" t="inlineStr">
        <is>
          <t>Away</t>
        </is>
      </c>
      <c r="D3" s="3" t="n">
        <v>3</v>
      </c>
      <c r="E3" s="3" t="n">
        <v>1</v>
      </c>
      <c r="F3" s="4" t="n">
        <v>1.72</v>
      </c>
      <c r="G3" s="4" t="n">
        <v>1.08</v>
      </c>
      <c r="H3" s="4" t="n">
        <v>1.58</v>
      </c>
      <c r="I3" s="4" t="n">
        <v>0.58</v>
      </c>
      <c r="J3" s="4" t="n">
        <v>-0.14</v>
      </c>
      <c r="K3" s="4" t="n">
        <v>-0.5</v>
      </c>
      <c r="L3" s="4" t="n">
        <v>-0.04</v>
      </c>
      <c r="M3" s="4" t="n">
        <v>-0.24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Stoke</t>
        </is>
      </c>
      <c r="C4" s="3" t="inlineStr">
        <is>
          <t>Home</t>
        </is>
      </c>
      <c r="D4" s="3" t="n">
        <v>4</v>
      </c>
      <c r="E4" s="3" t="n">
        <v>1</v>
      </c>
      <c r="F4" s="4" t="n">
        <v>2.05</v>
      </c>
      <c r="G4" s="4" t="n">
        <v>0.86</v>
      </c>
      <c r="H4" s="4" t="n">
        <v>2.66</v>
      </c>
      <c r="I4" s="4" t="n">
        <v>0.83</v>
      </c>
      <c r="J4" s="4" t="n">
        <v>0.61</v>
      </c>
      <c r="K4" s="4" t="n">
        <v>-0.03</v>
      </c>
      <c r="L4" s="4" t="n">
        <v>0.18</v>
      </c>
      <c r="M4" s="4" t="n">
        <v>-0.17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West Ham</t>
        </is>
      </c>
      <c r="C5" s="3" t="inlineStr">
        <is>
          <t>Away</t>
        </is>
      </c>
      <c r="D5" s="3" t="n">
        <v>2</v>
      </c>
      <c r="E5" s="3" t="n">
        <v>4</v>
      </c>
      <c r="F5" s="4" t="n">
        <v>1.26</v>
      </c>
      <c r="G5" s="4" t="n">
        <v>1.7</v>
      </c>
      <c r="H5" s="4" t="n">
        <v>0.9399999999999999</v>
      </c>
      <c r="I5" s="4" t="n">
        <v>2.05</v>
      </c>
      <c r="J5" s="4" t="n">
        <v>-0.32</v>
      </c>
      <c r="K5" s="4" t="n">
        <v>0.35</v>
      </c>
      <c r="L5" s="4" t="n">
        <v>0.05</v>
      </c>
      <c r="M5" s="4" t="n">
        <v>-0.04</v>
      </c>
      <c r="N5" s="4">
        <f>(H5-I5)-(F5-G5)</f>
        <v/>
      </c>
      <c r="O5" s="4">
        <f>(H5+I5)-(F5+G5)</f>
        <v/>
      </c>
    </row>
    <row r="6">
      <c r="A6" s="3" t="inlineStr">
        <is>
          <t>2026-09-06</t>
        </is>
      </c>
      <c r="B6" s="3" t="inlineStr">
        <is>
          <t>Birmingham</t>
        </is>
      </c>
      <c r="C6" s="3" t="inlineStr">
        <is>
          <t>Away</t>
        </is>
      </c>
      <c r="D6" s="3" t="n">
        <v>2</v>
      </c>
      <c r="E6" s="3" t="n">
        <v>2</v>
      </c>
      <c r="F6" s="4" t="n">
        <v>1.33</v>
      </c>
      <c r="G6" s="4" t="n">
        <v>1.18</v>
      </c>
      <c r="H6" s="4" t="n">
        <v>2.47</v>
      </c>
      <c r="I6" s="4" t="n">
        <v>1.39</v>
      </c>
      <c r="J6" s="4" t="n">
        <v>1.14</v>
      </c>
      <c r="K6" s="4" t="n">
        <v>0.21</v>
      </c>
      <c r="L6" s="4" t="n">
        <v>0.27</v>
      </c>
      <c r="M6" s="4" t="n">
        <v>0.01</v>
      </c>
      <c r="N6" s="4">
        <f>(H6-I6)-(F6-G6)</f>
        <v/>
      </c>
      <c r="O6" s="4">
        <f>(H6+I6)-(F6+G6)</f>
        <v/>
      </c>
    </row>
    <row r="7">
      <c r="A7" s="3" t="inlineStr">
        <is>
          <t>2026-09-13</t>
        </is>
      </c>
      <c r="B7" s="3" t="inlineStr">
        <is>
          <t>Sheffield United</t>
        </is>
      </c>
      <c r="C7" s="3" t="inlineStr">
        <is>
          <t>Away</t>
        </is>
      </c>
      <c r="D7" s="3" t="n">
        <v>1</v>
      </c>
      <c r="E7" s="3" t="n">
        <v>0</v>
      </c>
      <c r="F7" s="4" t="n">
        <v>1.61</v>
      </c>
      <c r="G7" s="4" t="n">
        <v>1.27</v>
      </c>
      <c r="H7" s="4" t="n">
        <v>1.57</v>
      </c>
      <c r="I7" s="4" t="n">
        <v>0.63</v>
      </c>
      <c r="J7" s="4" t="n">
        <v>-0.04</v>
      </c>
      <c r="K7" s="4" t="n">
        <v>-0.64</v>
      </c>
      <c r="L7" s="4" t="n">
        <v>0.22</v>
      </c>
      <c r="M7" s="4" t="n">
        <v>-0.1</v>
      </c>
      <c r="N7" s="4">
        <f>(H7-I7)-(F7-G7)</f>
        <v/>
      </c>
      <c r="O7" s="4">
        <f>(H7+I7)-(F7+G7)</f>
        <v/>
      </c>
    </row>
    <row r="9">
      <c r="A9" s="6" t="inlineStr">
        <is>
          <t>Season summary</t>
        </is>
      </c>
    </row>
    <row r="10">
      <c r="A10" s="3" t="inlineStr">
        <is>
          <t>Matches played</t>
        </is>
      </c>
      <c r="E10" s="7">
        <f>COUNTA(A2:A7)</f>
        <v/>
      </c>
    </row>
    <row r="11">
      <c r="A11" s="3" t="inlineStr">
        <is>
          <t>Total goals for</t>
        </is>
      </c>
      <c r="E11" s="7">
        <f>SUM(D2:D7)</f>
        <v/>
      </c>
    </row>
    <row r="12">
      <c r="A12" s="3" t="inlineStr">
        <is>
          <t>Total goals against</t>
        </is>
      </c>
      <c r="E12" s="7">
        <f>SUM(E2:E7)</f>
        <v/>
      </c>
    </row>
    <row r="13">
      <c r="A13" s="3" t="inlineStr">
        <is>
          <t>Avg xG Delta (For)</t>
        </is>
      </c>
      <c r="E13" s="8">
        <f>AVERAGE(J2:J7)</f>
        <v/>
      </c>
    </row>
    <row r="14">
      <c r="A14" s="3" t="inlineStr">
        <is>
          <t>Avg xG Delta (Against)</t>
        </is>
      </c>
      <c r="E14" s="8">
        <f>AVERAGE(K2:K7)</f>
        <v/>
      </c>
    </row>
    <row r="15">
      <c r="A15" s="3" t="inlineStr">
        <is>
          <t>Avg Supremacy Delta</t>
        </is>
      </c>
      <c r="E15" s="8">
        <f>AVERAGE(N2:N7)</f>
        <v/>
      </c>
    </row>
    <row r="16">
      <c r="A16" s="3" t="inlineStr">
        <is>
          <t>Avg Total xG Delta</t>
        </is>
      </c>
      <c r="E16" s="8">
        <f>AVERAGE(O2:O7)</f>
        <v/>
      </c>
    </row>
    <row r="17">
      <c r="A17" s="3" t="inlineStr">
        <is>
          <t>Current form (last 6, For)</t>
        </is>
      </c>
      <c r="E17" s="8">
        <f>L7</f>
        <v/>
      </c>
    </row>
    <row r="18">
      <c r="A18" s="3" t="inlineStr">
        <is>
          <t>Current form (last 6, Against)</t>
        </is>
      </c>
      <c r="E18" s="8">
        <f>M7</f>
        <v/>
      </c>
    </row>
  </sheetData>
  <mergeCells count="9">
    <mergeCell ref="A17:D17"/>
    <mergeCell ref="A18:D18"/>
    <mergeCell ref="A12:D12"/>
    <mergeCell ref="A15:D15"/>
    <mergeCell ref="A16:D16"/>
    <mergeCell ref="A11:D11"/>
    <mergeCell ref="A10:D10"/>
    <mergeCell ref="A13:D13"/>
    <mergeCell ref="A14:D14"/>
  </mergeCells>
  <conditionalFormatting sqref="J2:J7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O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2026-08-17</t>
        </is>
      </c>
      <c r="B2" s="3" t="inlineStr">
        <is>
          <t>Cardiff</t>
        </is>
      </c>
      <c r="C2" s="3" t="inlineStr">
        <is>
          <t>Away</t>
        </is>
      </c>
      <c r="D2" s="3" t="n">
        <v>1</v>
      </c>
      <c r="E2" s="3" t="n">
        <v>1</v>
      </c>
      <c r="F2" s="4" t="n">
        <v>1.35</v>
      </c>
      <c r="G2" s="4" t="n">
        <v>1.52</v>
      </c>
      <c r="H2" s="4" t="n">
        <v>1.41</v>
      </c>
      <c r="I2" s="4" t="n">
        <v>0.8100000000000001</v>
      </c>
      <c r="J2" s="4" t="n">
        <v>0.06</v>
      </c>
      <c r="K2" s="4" t="n">
        <v>-0.71</v>
      </c>
      <c r="L2" s="4" t="n">
        <v>0.06</v>
      </c>
      <c r="M2" s="4" t="n">
        <v>-0.71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Watford</t>
        </is>
      </c>
      <c r="C3" s="3" t="inlineStr">
        <is>
          <t>Home</t>
        </is>
      </c>
      <c r="D3" s="3" t="n">
        <v>1</v>
      </c>
      <c r="E3" s="3" t="n">
        <v>1</v>
      </c>
      <c r="F3" s="4" t="n">
        <v>1.66</v>
      </c>
      <c r="G3" s="4" t="n">
        <v>1.06</v>
      </c>
      <c r="H3" s="4" t="n">
        <v>1.92</v>
      </c>
      <c r="I3" s="4" t="n">
        <v>0.65</v>
      </c>
      <c r="J3" s="4" t="n">
        <v>0.26</v>
      </c>
      <c r="K3" s="4" t="n">
        <v>-0.41</v>
      </c>
      <c r="L3" s="4" t="n">
        <v>0.16</v>
      </c>
      <c r="M3" s="4" t="n">
        <v>-0.5600000000000001</v>
      </c>
      <c r="N3" s="4">
        <f>(H3-I3)-(F3-G3)</f>
        <v/>
      </c>
      <c r="O3" s="4">
        <f>(H3+I3)-(F3+G3)</f>
        <v/>
      </c>
    </row>
    <row r="4">
      <c r="A4" s="3" t="inlineStr">
        <is>
          <t>2026-08-28</t>
        </is>
      </c>
      <c r="B4" s="3" t="inlineStr">
        <is>
          <t>Birmingham</t>
        </is>
      </c>
      <c r="C4" s="3" t="inlineStr">
        <is>
          <t>Home</t>
        </is>
      </c>
      <c r="D4" s="3" t="n">
        <v>1</v>
      </c>
      <c r="E4" s="3" t="n">
        <v>2</v>
      </c>
      <c r="F4" s="4" t="n">
        <v>1.45</v>
      </c>
      <c r="G4" s="4" t="n">
        <v>1.12</v>
      </c>
      <c r="H4" s="4" t="n">
        <v>1.37</v>
      </c>
      <c r="I4" s="4" t="n">
        <v>1.52</v>
      </c>
      <c r="J4" s="4" t="n">
        <v>-0.08</v>
      </c>
      <c r="K4" s="4" t="n">
        <v>0.4</v>
      </c>
      <c r="L4" s="4" t="n">
        <v>0.08</v>
      </c>
      <c r="M4" s="4" t="n">
        <v>-0.24</v>
      </c>
      <c r="N4" s="4">
        <f>(H4-I4)-(F4-G4)</f>
        <v/>
      </c>
      <c r="O4" s="4">
        <f>(H4+I4)-(F4+G4)</f>
        <v/>
      </c>
    </row>
    <row r="5">
      <c r="A5" s="3" t="inlineStr">
        <is>
          <t>2026-09-02</t>
        </is>
      </c>
      <c r="B5" s="3" t="inlineStr">
        <is>
          <t>Millwall</t>
        </is>
      </c>
      <c r="C5" s="3" t="inlineStr">
        <is>
          <t>Away</t>
        </is>
      </c>
      <c r="D5" s="3" t="n">
        <v>3</v>
      </c>
      <c r="E5" s="3" t="n">
        <v>0</v>
      </c>
      <c r="F5" s="4" t="n">
        <v>1.17</v>
      </c>
      <c r="G5" s="4" t="n">
        <v>1.46</v>
      </c>
      <c r="H5" s="4" t="n">
        <v>0.88</v>
      </c>
      <c r="I5" s="4" t="n">
        <v>0.23</v>
      </c>
      <c r="J5" s="4" t="n">
        <v>-0.29</v>
      </c>
      <c r="K5" s="4" t="n">
        <v>-1.23</v>
      </c>
      <c r="L5" s="4" t="n">
        <v>-0.01</v>
      </c>
      <c r="M5" s="4" t="n">
        <v>-0.49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Swansea</t>
        </is>
      </c>
      <c r="C6" s="3" t="inlineStr">
        <is>
          <t>Away</t>
        </is>
      </c>
      <c r="D6" s="3" t="n">
        <v>0</v>
      </c>
      <c r="E6" s="3" t="n">
        <v>0</v>
      </c>
      <c r="F6" s="4" t="n">
        <v>1.14</v>
      </c>
      <c r="G6" s="4" t="n">
        <v>1.47</v>
      </c>
      <c r="H6" s="4" t="n">
        <v>0.67</v>
      </c>
      <c r="I6" s="4" t="n">
        <v>0.74</v>
      </c>
      <c r="J6" s="4" t="n">
        <v>-0.47</v>
      </c>
      <c r="K6" s="4" t="n">
        <v>-0.73</v>
      </c>
      <c r="L6" s="4" t="n">
        <v>-0.1</v>
      </c>
      <c r="M6" s="4" t="n">
        <v>-0.54</v>
      </c>
      <c r="N6" s="4">
        <f>(H6-I6)-(F6-G6)</f>
        <v/>
      </c>
      <c r="O6" s="4">
        <f>(H6+I6)-(F6+G6)</f>
        <v/>
      </c>
    </row>
    <row r="7">
      <c r="A7" s="3" t="inlineStr">
        <is>
          <t>2026-09-08</t>
        </is>
      </c>
      <c r="B7" s="3" t="inlineStr">
        <is>
          <t>Burnley</t>
        </is>
      </c>
      <c r="C7" s="3" t="inlineStr">
        <is>
          <t>Home</t>
        </is>
      </c>
      <c r="D7" s="3" t="n">
        <v>1</v>
      </c>
      <c r="E7" s="3" t="n">
        <v>1</v>
      </c>
      <c r="F7" s="4" t="n">
        <v>1.58</v>
      </c>
      <c r="G7" s="4" t="n">
        <v>1.14</v>
      </c>
      <c r="H7" s="4" t="n">
        <v>1.35</v>
      </c>
      <c r="I7" s="4" t="n">
        <v>1.5</v>
      </c>
      <c r="J7" s="4" t="n">
        <v>-0.23</v>
      </c>
      <c r="K7" s="4" t="n">
        <v>0.36</v>
      </c>
      <c r="L7" s="4" t="n">
        <v>-0.13</v>
      </c>
      <c r="M7" s="4" t="n">
        <v>-0.39</v>
      </c>
      <c r="N7" s="4">
        <f>(H7-I7)-(F7-G7)</f>
        <v/>
      </c>
      <c r="O7" s="4">
        <f>(H7+I7)-(F7+G7)</f>
        <v/>
      </c>
    </row>
    <row r="8">
      <c r="A8" s="3" t="inlineStr">
        <is>
          <t>2026-09-11</t>
        </is>
      </c>
      <c r="B8" s="3" t="inlineStr">
        <is>
          <t>West Ham</t>
        </is>
      </c>
      <c r="C8" s="3" t="inlineStr">
        <is>
          <t>Away</t>
        </is>
      </c>
      <c r="D8" s="3" t="n">
        <v>0</v>
      </c>
      <c r="E8" s="3" t="n">
        <v>6</v>
      </c>
      <c r="F8" s="4" t="n">
        <v>1.01</v>
      </c>
      <c r="G8" s="4" t="n">
        <v>2</v>
      </c>
      <c r="H8" s="4" t="n">
        <v>0.44</v>
      </c>
      <c r="I8" s="4" t="n">
        <v>2.96</v>
      </c>
      <c r="J8" s="4" t="n">
        <v>-0.57</v>
      </c>
      <c r="K8" s="4" t="n">
        <v>0.96</v>
      </c>
      <c r="L8" s="4" t="n">
        <v>-0.23</v>
      </c>
      <c r="M8" s="4" t="n">
        <v>-0.11</v>
      </c>
      <c r="N8" s="4">
        <f>(H8-I8)-(F8-G8)</f>
        <v/>
      </c>
      <c r="O8" s="4">
        <f>(H8+I8)-(F8+G8)</f>
        <v/>
      </c>
    </row>
    <row r="10">
      <c r="A10" s="6" t="inlineStr">
        <is>
          <t>Season summary</t>
        </is>
      </c>
    </row>
    <row r="11">
      <c r="A11" s="3" t="inlineStr">
        <is>
          <t>Matches played</t>
        </is>
      </c>
      <c r="E11" s="7">
        <f>COUNTA(A2:A8)</f>
        <v/>
      </c>
    </row>
    <row r="12">
      <c r="A12" s="3" t="inlineStr">
        <is>
          <t>Total goals for</t>
        </is>
      </c>
      <c r="E12" s="7">
        <f>SUM(D2:D8)</f>
        <v/>
      </c>
    </row>
    <row r="13">
      <c r="A13" s="3" t="inlineStr">
        <is>
          <t>Total goals against</t>
        </is>
      </c>
      <c r="E13" s="7">
        <f>SUM(E2:E8)</f>
        <v/>
      </c>
    </row>
    <row r="14">
      <c r="A14" s="3" t="inlineStr">
        <is>
          <t>Avg xG Delta (For)</t>
        </is>
      </c>
      <c r="E14" s="8">
        <f>AVERAGE(J2:J8)</f>
        <v/>
      </c>
    </row>
    <row r="15">
      <c r="A15" s="3" t="inlineStr">
        <is>
          <t>Avg xG Delta (Against)</t>
        </is>
      </c>
      <c r="E15" s="8">
        <f>AVERAGE(K2:K8)</f>
        <v/>
      </c>
    </row>
    <row r="16">
      <c r="A16" s="3" t="inlineStr">
        <is>
          <t>Avg Supremacy Delta</t>
        </is>
      </c>
      <c r="E16" s="8">
        <f>AVERAGE(N2:N8)</f>
        <v/>
      </c>
    </row>
    <row r="17">
      <c r="A17" s="3" t="inlineStr">
        <is>
          <t>Avg Total xG Delta</t>
        </is>
      </c>
      <c r="E17" s="8">
        <f>AVERAGE(O2:O8)</f>
        <v/>
      </c>
    </row>
    <row r="18">
      <c r="A18" s="3" t="inlineStr">
        <is>
          <t>Current form (last 6, For)</t>
        </is>
      </c>
      <c r="E18" s="8">
        <f>L8</f>
        <v/>
      </c>
    </row>
    <row r="19">
      <c r="A19" s="3" t="inlineStr">
        <is>
          <t>Current form (last 6, Against)</t>
        </is>
      </c>
      <c r="E19" s="8">
        <f>M8</f>
        <v/>
      </c>
    </row>
  </sheetData>
  <mergeCells count="9">
    <mergeCell ref="A17:D17"/>
    <mergeCell ref="A18:D18"/>
    <mergeCell ref="A12:D12"/>
    <mergeCell ref="A15:D15"/>
    <mergeCell ref="A16:D16"/>
    <mergeCell ref="A11:D11"/>
    <mergeCell ref="A19:D19"/>
    <mergeCell ref="A13:D13"/>
    <mergeCell ref="A14:D14"/>
  </mergeCells>
  <conditionalFormatting sqref="J2:J8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8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8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8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8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82"/>
  <sheetViews>
    <sheetView workbookViewId="0">
      <selection activeCell="A1" sqref="A1"/>
    </sheetView>
  </sheetViews>
  <sheetFormatPr baseColWidth="8" defaultRowHeight="15"/>
  <cols>
    <col width="11" customWidth="1" min="1" max="1"/>
    <col width="21" customWidth="1" min="2" max="2"/>
    <col width="21" customWidth="1" min="3" max="3"/>
    <col width="4" customWidth="1" min="4" max="4"/>
    <col width="4" customWidth="1" min="5" max="5"/>
  </cols>
  <sheetData>
    <row r="1" ht="30" customHeight="1">
      <c r="A1" s="1" t="inlineStr">
        <is>
          <t>Date</t>
        </is>
      </c>
      <c r="B1" s="1" t="inlineStr">
        <is>
          <t>HomeTeam</t>
        </is>
      </c>
      <c r="C1" s="1" t="inlineStr">
        <is>
          <t>AwayTeam</t>
        </is>
      </c>
      <c r="D1" s="1" t="inlineStr">
        <is>
          <t>FTHG</t>
        </is>
      </c>
      <c r="E1" s="1" t="inlineStr">
        <is>
          <t>FTAG</t>
        </is>
      </c>
    </row>
    <row r="2">
      <c r="A2" t="inlineStr">
        <is>
          <t>2026-08-14</t>
        </is>
      </c>
      <c r="B2" t="inlineStr">
        <is>
          <t>Wolves</t>
        </is>
      </c>
      <c r="C2" t="inlineStr">
        <is>
          <t>Blackburn</t>
        </is>
      </c>
      <c r="D2" t="n">
        <v>2</v>
      </c>
      <c r="E2" t="n">
        <v>2</v>
      </c>
    </row>
    <row r="3">
      <c r="A3" t="inlineStr">
        <is>
          <t>2026-08-15</t>
        </is>
      </c>
      <c r="B3" t="inlineStr">
        <is>
          <t>Bolton Wanderers</t>
        </is>
      </c>
      <c r="C3" t="inlineStr">
        <is>
          <t>Preston North End</t>
        </is>
      </c>
      <c r="D3" t="n">
        <v>2</v>
      </c>
      <c r="E3" t="n">
        <v>1</v>
      </c>
    </row>
    <row r="4">
      <c r="A4" t="inlineStr">
        <is>
          <t>2026-08-15</t>
        </is>
      </c>
      <c r="B4" t="inlineStr">
        <is>
          <t>Bristol City</t>
        </is>
      </c>
      <c r="C4" t="inlineStr">
        <is>
          <t>Millwall</t>
        </is>
      </c>
      <c r="D4" t="n">
        <v>0</v>
      </c>
      <c r="E4" t="n">
        <v>2</v>
      </c>
    </row>
    <row r="5">
      <c r="A5" t="inlineStr">
        <is>
          <t>2026-08-15</t>
        </is>
      </c>
      <c r="B5" t="inlineStr">
        <is>
          <t>Charlton</t>
        </is>
      </c>
      <c r="C5" t="inlineStr">
        <is>
          <t>Derby</t>
        </is>
      </c>
      <c r="D5" t="n">
        <v>2</v>
      </c>
      <c r="E5" t="n">
        <v>1</v>
      </c>
    </row>
    <row r="6">
      <c r="A6" t="inlineStr">
        <is>
          <t>2026-08-15</t>
        </is>
      </c>
      <c r="B6" t="inlineStr">
        <is>
          <t>Middlesbrough</t>
        </is>
      </c>
      <c r="C6" t="inlineStr">
        <is>
          <t>Lincoln</t>
        </is>
      </c>
      <c r="D6" t="n">
        <v>2</v>
      </c>
      <c r="E6" t="n">
        <v>1</v>
      </c>
    </row>
    <row r="7">
      <c r="A7" t="inlineStr">
        <is>
          <t>2026-08-15</t>
        </is>
      </c>
      <c r="B7" t="inlineStr">
        <is>
          <t>Norwich</t>
        </is>
      </c>
      <c r="C7" t="inlineStr">
        <is>
          <t>West Bromwich Albion</t>
        </is>
      </c>
      <c r="D7" t="n">
        <v>1</v>
      </c>
      <c r="E7" t="n">
        <v>2</v>
      </c>
    </row>
    <row r="8">
      <c r="A8" t="inlineStr">
        <is>
          <t>2026-08-15</t>
        </is>
      </c>
      <c r="B8" t="inlineStr">
        <is>
          <t>Portsmouth</t>
        </is>
      </c>
      <c r="C8" t="inlineStr">
        <is>
          <t>Queens Park Rangers</t>
        </is>
      </c>
      <c r="D8" t="n">
        <v>1</v>
      </c>
      <c r="E8" t="n">
        <v>3</v>
      </c>
    </row>
    <row r="9">
      <c r="A9" t="inlineStr">
        <is>
          <t>2026-08-15</t>
        </is>
      </c>
      <c r="B9" t="inlineStr">
        <is>
          <t>Stoke</t>
        </is>
      </c>
      <c r="C9" t="inlineStr">
        <is>
          <t>Swansea</t>
        </is>
      </c>
      <c r="D9" t="n">
        <v>1</v>
      </c>
      <c r="E9" t="n">
        <v>2</v>
      </c>
    </row>
    <row r="10">
      <c r="A10" t="inlineStr">
        <is>
          <t>2026-08-15</t>
        </is>
      </c>
      <c r="B10" t="inlineStr">
        <is>
          <t>Sheffield United</t>
        </is>
      </c>
      <c r="C10" t="inlineStr">
        <is>
          <t>Birmingham</t>
        </is>
      </c>
      <c r="D10" t="n">
        <v>0</v>
      </c>
      <c r="E10" t="n">
        <v>0</v>
      </c>
    </row>
    <row r="11">
      <c r="A11" t="inlineStr">
        <is>
          <t>2026-08-16</t>
        </is>
      </c>
      <c r="B11" t="inlineStr">
        <is>
          <t>Watford</t>
        </is>
      </c>
      <c r="C11" t="inlineStr">
        <is>
          <t>Southampton</t>
        </is>
      </c>
      <c r="D11" t="n">
        <v>2</v>
      </c>
      <c r="E11" t="n">
        <v>1</v>
      </c>
    </row>
    <row r="12">
      <c r="A12" t="inlineStr">
        <is>
          <t>2026-08-16</t>
        </is>
      </c>
      <c r="B12" t="inlineStr">
        <is>
          <t>Burnley</t>
        </is>
      </c>
      <c r="C12" t="inlineStr">
        <is>
          <t>West Ham</t>
        </is>
      </c>
      <c r="D12" t="n">
        <v>2</v>
      </c>
      <c r="E12" t="n">
        <v>2</v>
      </c>
    </row>
    <row r="13">
      <c r="A13" t="inlineStr">
        <is>
          <t>2026-08-17</t>
        </is>
      </c>
      <c r="B13" t="inlineStr">
        <is>
          <t>Cardiff</t>
        </is>
      </c>
      <c r="C13" t="inlineStr">
        <is>
          <t>Wrexham</t>
        </is>
      </c>
      <c r="D13" t="n">
        <v>1</v>
      </c>
      <c r="E13" t="n">
        <v>1</v>
      </c>
    </row>
    <row r="14">
      <c r="A14" t="inlineStr">
        <is>
          <t>2026-08-22</t>
        </is>
      </c>
      <c r="B14" t="inlineStr">
        <is>
          <t>Birmingham</t>
        </is>
      </c>
      <c r="C14" t="inlineStr">
        <is>
          <t>Bristol City</t>
        </is>
      </c>
      <c r="D14" t="n">
        <v>2</v>
      </c>
      <c r="E14" t="n">
        <v>2</v>
      </c>
    </row>
    <row r="15">
      <c r="A15" t="inlineStr">
        <is>
          <t>2026-08-22</t>
        </is>
      </c>
      <c r="B15" t="inlineStr">
        <is>
          <t>Lincoln</t>
        </is>
      </c>
      <c r="C15" t="inlineStr">
        <is>
          <t>Portsmouth</t>
        </is>
      </c>
      <c r="D15" t="n">
        <v>1</v>
      </c>
      <c r="E15" t="n">
        <v>3</v>
      </c>
    </row>
    <row r="16">
      <c r="A16" t="inlineStr">
        <is>
          <t>2026-08-22</t>
        </is>
      </c>
      <c r="B16" t="inlineStr">
        <is>
          <t>Millwall</t>
        </is>
      </c>
      <c r="C16" t="inlineStr">
        <is>
          <t>Norwich</t>
        </is>
      </c>
      <c r="D16" t="n">
        <v>3</v>
      </c>
      <c r="E16" t="n">
        <v>0</v>
      </c>
    </row>
    <row r="17">
      <c r="A17" t="inlineStr">
        <is>
          <t>2026-08-22</t>
        </is>
      </c>
      <c r="B17" t="inlineStr">
        <is>
          <t>Blackburn</t>
        </is>
      </c>
      <c r="C17" t="inlineStr">
        <is>
          <t>Middlesbrough</t>
        </is>
      </c>
      <c r="D17" t="n">
        <v>2</v>
      </c>
      <c r="E17" t="n">
        <v>1</v>
      </c>
    </row>
    <row r="18">
      <c r="A18" t="inlineStr">
        <is>
          <t>2026-08-22</t>
        </is>
      </c>
      <c r="B18" t="inlineStr">
        <is>
          <t>Derby</t>
        </is>
      </c>
      <c r="C18" t="inlineStr">
        <is>
          <t>Cardiff</t>
        </is>
      </c>
      <c r="D18" t="n">
        <v>2</v>
      </c>
      <c r="E18" t="n">
        <v>2</v>
      </c>
    </row>
    <row r="19">
      <c r="A19" t="inlineStr">
        <is>
          <t>2026-08-22</t>
        </is>
      </c>
      <c r="B19" t="inlineStr">
        <is>
          <t>Preston North End</t>
        </is>
      </c>
      <c r="C19" t="inlineStr">
        <is>
          <t>Wolves</t>
        </is>
      </c>
      <c r="D19" t="n">
        <v>1</v>
      </c>
      <c r="E19" t="n">
        <v>3</v>
      </c>
    </row>
    <row r="20">
      <c r="A20" t="inlineStr">
        <is>
          <t>2026-08-22</t>
        </is>
      </c>
      <c r="B20" t="inlineStr">
        <is>
          <t>Queens Park Rangers</t>
        </is>
      </c>
      <c r="C20" t="inlineStr">
        <is>
          <t>Bolton Wanderers</t>
        </is>
      </c>
      <c r="D20" t="n">
        <v>0</v>
      </c>
      <c r="E20" t="n">
        <v>0</v>
      </c>
    </row>
    <row r="21">
      <c r="A21" t="inlineStr">
        <is>
          <t>2026-08-22</t>
        </is>
      </c>
      <c r="B21" t="inlineStr">
        <is>
          <t>Southampton</t>
        </is>
      </c>
      <c r="C21" t="inlineStr">
        <is>
          <t>Stoke</t>
        </is>
      </c>
      <c r="D21" t="n">
        <v>3</v>
      </c>
      <c r="E21" t="n">
        <v>1</v>
      </c>
    </row>
    <row r="22">
      <c r="A22" t="inlineStr">
        <is>
          <t>2026-08-22</t>
        </is>
      </c>
      <c r="B22" t="inlineStr">
        <is>
          <t>Swansea</t>
        </is>
      </c>
      <c r="C22" t="inlineStr">
        <is>
          <t>Sheffield United</t>
        </is>
      </c>
      <c r="D22" t="n">
        <v>0</v>
      </c>
      <c r="E22" t="n">
        <v>0</v>
      </c>
    </row>
    <row r="23">
      <c r="A23" t="inlineStr">
        <is>
          <t>2026-08-22</t>
        </is>
      </c>
      <c r="B23" t="inlineStr">
        <is>
          <t>West Ham</t>
        </is>
      </c>
      <c r="C23" t="inlineStr">
        <is>
          <t>Charlton</t>
        </is>
      </c>
      <c r="D23" t="n">
        <v>1</v>
      </c>
      <c r="E23" t="n">
        <v>2</v>
      </c>
    </row>
    <row r="24">
      <c r="A24" t="inlineStr">
        <is>
          <t>2026-08-22</t>
        </is>
      </c>
      <c r="B24" t="inlineStr">
        <is>
          <t>Wrexham</t>
        </is>
      </c>
      <c r="C24" t="inlineStr">
        <is>
          <t>Watford</t>
        </is>
      </c>
      <c r="D24" t="n">
        <v>1</v>
      </c>
      <c r="E24" t="n">
        <v>1</v>
      </c>
    </row>
    <row r="25">
      <c r="A25" t="inlineStr">
        <is>
          <t>2026-08-23</t>
        </is>
      </c>
      <c r="B25" t="inlineStr">
        <is>
          <t>West Bromwich Albion</t>
        </is>
      </c>
      <c r="C25" t="inlineStr">
        <is>
          <t>Burnley</t>
        </is>
      </c>
      <c r="D25" t="n">
        <v>3</v>
      </c>
      <c r="E25" t="n">
        <v>1</v>
      </c>
    </row>
    <row r="26">
      <c r="A26" t="inlineStr">
        <is>
          <t>2026-08-28</t>
        </is>
      </c>
      <c r="B26" t="inlineStr">
        <is>
          <t>Wrexham</t>
        </is>
      </c>
      <c r="C26" t="inlineStr">
        <is>
          <t>Birmingham</t>
        </is>
      </c>
      <c r="D26" t="n">
        <v>1</v>
      </c>
      <c r="E26" t="n">
        <v>2</v>
      </c>
    </row>
    <row r="27">
      <c r="A27" t="inlineStr">
        <is>
          <t>2026-08-29</t>
        </is>
      </c>
      <c r="B27" t="inlineStr">
        <is>
          <t>Derby</t>
        </is>
      </c>
      <c r="C27" t="inlineStr">
        <is>
          <t>Swansea</t>
        </is>
      </c>
      <c r="D27" t="n">
        <v>0</v>
      </c>
      <c r="E27" t="n">
        <v>3</v>
      </c>
    </row>
    <row r="28">
      <c r="A28" t="inlineStr">
        <is>
          <t>2026-08-29</t>
        </is>
      </c>
      <c r="B28" t="inlineStr">
        <is>
          <t>Middlesbrough</t>
        </is>
      </c>
      <c r="C28" t="inlineStr">
        <is>
          <t>West Bromwich Albion</t>
        </is>
      </c>
      <c r="D28" t="n">
        <v>3</v>
      </c>
      <c r="E28" t="n">
        <v>1</v>
      </c>
    </row>
    <row r="29">
      <c r="A29" t="inlineStr">
        <is>
          <t>2026-08-29</t>
        </is>
      </c>
      <c r="B29" t="inlineStr">
        <is>
          <t>Wolves</t>
        </is>
      </c>
      <c r="C29" t="inlineStr">
        <is>
          <t>Stoke</t>
        </is>
      </c>
      <c r="D29" t="n">
        <v>4</v>
      </c>
      <c r="E29" t="n">
        <v>1</v>
      </c>
    </row>
    <row r="30">
      <c r="A30" t="inlineStr">
        <is>
          <t>2026-08-29</t>
        </is>
      </c>
      <c r="B30" t="inlineStr">
        <is>
          <t>Blackburn</t>
        </is>
      </c>
      <c r="C30" t="inlineStr">
        <is>
          <t>Queens Park Rangers</t>
        </is>
      </c>
      <c r="D30" t="n">
        <v>1</v>
      </c>
      <c r="E30" t="n">
        <v>2</v>
      </c>
    </row>
    <row r="31">
      <c r="A31" t="inlineStr">
        <is>
          <t>2026-08-29</t>
        </is>
      </c>
      <c r="B31" t="inlineStr">
        <is>
          <t>Bolton Wanderers</t>
        </is>
      </c>
      <c r="C31" t="inlineStr">
        <is>
          <t>Lincoln</t>
        </is>
      </c>
      <c r="D31" t="n">
        <v>0</v>
      </c>
      <c r="E31" t="n">
        <v>1</v>
      </c>
    </row>
    <row r="32">
      <c r="A32" t="inlineStr">
        <is>
          <t>2026-08-29</t>
        </is>
      </c>
      <c r="B32" t="inlineStr">
        <is>
          <t>Bristol City</t>
        </is>
      </c>
      <c r="C32" t="inlineStr">
        <is>
          <t>Portsmouth</t>
        </is>
      </c>
      <c r="D32" t="n">
        <v>2</v>
      </c>
      <c r="E32" t="n">
        <v>1</v>
      </c>
    </row>
    <row r="33">
      <c r="A33" t="inlineStr">
        <is>
          <t>2026-08-29</t>
        </is>
      </c>
      <c r="B33" t="inlineStr">
        <is>
          <t>Cardiff</t>
        </is>
      </c>
      <c r="C33" t="inlineStr">
        <is>
          <t>Sheffield United</t>
        </is>
      </c>
      <c r="D33" t="n">
        <v>2</v>
      </c>
      <c r="E33" t="n">
        <v>2</v>
      </c>
    </row>
    <row r="34">
      <c r="A34" t="inlineStr">
        <is>
          <t>2026-08-29</t>
        </is>
      </c>
      <c r="B34" t="inlineStr">
        <is>
          <t>Charlton</t>
        </is>
      </c>
      <c r="C34" t="inlineStr">
        <is>
          <t>Preston North End</t>
        </is>
      </c>
      <c r="D34" t="n">
        <v>1</v>
      </c>
      <c r="E34" t="n">
        <v>0</v>
      </c>
    </row>
    <row r="35">
      <c r="A35" t="inlineStr">
        <is>
          <t>2026-08-29</t>
        </is>
      </c>
      <c r="B35" t="inlineStr">
        <is>
          <t>Norwich</t>
        </is>
      </c>
      <c r="C35" t="inlineStr">
        <is>
          <t>Burnley</t>
        </is>
      </c>
      <c r="D35" t="n">
        <v>4</v>
      </c>
      <c r="E35" t="n">
        <v>1</v>
      </c>
    </row>
    <row r="36">
      <c r="A36" t="inlineStr">
        <is>
          <t>2026-08-29</t>
        </is>
      </c>
      <c r="B36" t="inlineStr">
        <is>
          <t>Southampton</t>
        </is>
      </c>
      <c r="C36" t="inlineStr">
        <is>
          <t>Millwall</t>
        </is>
      </c>
      <c r="D36" t="n">
        <v>5</v>
      </c>
      <c r="E36" t="n">
        <v>1</v>
      </c>
    </row>
    <row r="37">
      <c r="A37" t="inlineStr">
        <is>
          <t>2026-08-29</t>
        </is>
      </c>
      <c r="B37" t="inlineStr">
        <is>
          <t>Watford</t>
        </is>
      </c>
      <c r="C37" t="inlineStr">
        <is>
          <t>West Ham</t>
        </is>
      </c>
      <c r="D37" t="n">
        <v>1</v>
      </c>
      <c r="E37" t="n">
        <v>1</v>
      </c>
    </row>
    <row r="38">
      <c r="A38" t="inlineStr">
        <is>
          <t>2026-09-01</t>
        </is>
      </c>
      <c r="B38" t="inlineStr">
        <is>
          <t>Lincoln</t>
        </is>
      </c>
      <c r="C38" t="inlineStr">
        <is>
          <t>Blackburn</t>
        </is>
      </c>
      <c r="D38" t="n">
        <v>0</v>
      </c>
      <c r="E38" t="n">
        <v>0</v>
      </c>
    </row>
    <row r="39">
      <c r="A39" t="inlineStr">
        <is>
          <t>2026-09-01</t>
        </is>
      </c>
      <c r="B39" t="inlineStr">
        <is>
          <t>Portsmouth</t>
        </is>
      </c>
      <c r="C39" t="inlineStr">
        <is>
          <t>Derby</t>
        </is>
      </c>
      <c r="D39" t="n">
        <v>0</v>
      </c>
      <c r="E39" t="n">
        <v>2</v>
      </c>
    </row>
    <row r="40">
      <c r="A40" t="inlineStr">
        <is>
          <t>2026-09-01</t>
        </is>
      </c>
      <c r="B40" t="inlineStr">
        <is>
          <t>Preston North End</t>
        </is>
      </c>
      <c r="C40" t="inlineStr">
        <is>
          <t>Bristol City</t>
        </is>
      </c>
      <c r="D40" t="n">
        <v>1</v>
      </c>
      <c r="E40" t="n">
        <v>3</v>
      </c>
    </row>
    <row r="41">
      <c r="A41" t="inlineStr">
        <is>
          <t>2026-09-01</t>
        </is>
      </c>
      <c r="B41" t="inlineStr">
        <is>
          <t>Sheffield United</t>
        </is>
      </c>
      <c r="C41" t="inlineStr">
        <is>
          <t>Bolton Wanderers</t>
        </is>
      </c>
      <c r="D41" t="n">
        <v>3</v>
      </c>
      <c r="E41" t="n">
        <v>2</v>
      </c>
    </row>
    <row r="42">
      <c r="A42" t="inlineStr">
        <is>
          <t>2026-09-01</t>
        </is>
      </c>
      <c r="B42" t="inlineStr">
        <is>
          <t>Swansea</t>
        </is>
      </c>
      <c r="C42" t="inlineStr">
        <is>
          <t>Watford</t>
        </is>
      </c>
      <c r="D42" t="n">
        <v>2</v>
      </c>
      <c r="E42" t="n">
        <v>0</v>
      </c>
    </row>
    <row r="43">
      <c r="A43" t="inlineStr">
        <is>
          <t>2026-09-01</t>
        </is>
      </c>
      <c r="B43" t="inlineStr">
        <is>
          <t>West Ham</t>
        </is>
      </c>
      <c r="C43" t="inlineStr">
        <is>
          <t>Wolves</t>
        </is>
      </c>
      <c r="D43" t="n">
        <v>4</v>
      </c>
      <c r="E43" t="n">
        <v>2</v>
      </c>
    </row>
    <row r="44">
      <c r="A44" t="inlineStr">
        <is>
          <t>2026-09-01</t>
        </is>
      </c>
      <c r="B44" t="inlineStr">
        <is>
          <t>Birmingham</t>
        </is>
      </c>
      <c r="C44" t="inlineStr">
        <is>
          <t>Southampton</t>
        </is>
      </c>
      <c r="D44" t="n">
        <v>1</v>
      </c>
      <c r="E44" t="n">
        <v>1</v>
      </c>
    </row>
    <row r="45">
      <c r="A45" t="inlineStr">
        <is>
          <t>2026-09-01</t>
        </is>
      </c>
      <c r="B45" t="inlineStr">
        <is>
          <t>Stoke</t>
        </is>
      </c>
      <c r="C45" t="inlineStr">
        <is>
          <t>Norwich</t>
        </is>
      </c>
      <c r="D45" t="n">
        <v>1</v>
      </c>
      <c r="E45" t="n">
        <v>0</v>
      </c>
    </row>
    <row r="46">
      <c r="A46" t="inlineStr">
        <is>
          <t>2026-09-02</t>
        </is>
      </c>
      <c r="B46" t="inlineStr">
        <is>
          <t>Millwall</t>
        </is>
      </c>
      <c r="C46" t="inlineStr">
        <is>
          <t>Wrexham</t>
        </is>
      </c>
      <c r="D46" t="n">
        <v>0</v>
      </c>
      <c r="E46" t="n">
        <v>3</v>
      </c>
    </row>
    <row r="47">
      <c r="A47" t="inlineStr">
        <is>
          <t>2026-09-02</t>
        </is>
      </c>
      <c r="B47" t="inlineStr">
        <is>
          <t>Queens Park Rangers</t>
        </is>
      </c>
      <c r="C47" t="inlineStr">
        <is>
          <t>Cardiff</t>
        </is>
      </c>
      <c r="D47" t="n">
        <v>2</v>
      </c>
      <c r="E47" t="n">
        <v>1</v>
      </c>
    </row>
    <row r="48">
      <c r="A48" t="inlineStr">
        <is>
          <t>2026-09-02</t>
        </is>
      </c>
      <c r="B48" t="inlineStr">
        <is>
          <t>West Bromwich Albion</t>
        </is>
      </c>
      <c r="C48" t="inlineStr">
        <is>
          <t>Charlton</t>
        </is>
      </c>
      <c r="D48" t="n">
        <v>1</v>
      </c>
      <c r="E48" t="n">
        <v>1</v>
      </c>
    </row>
    <row r="49">
      <c r="A49" t="inlineStr">
        <is>
          <t>2026-09-02</t>
        </is>
      </c>
      <c r="B49" t="inlineStr">
        <is>
          <t>Burnley</t>
        </is>
      </c>
      <c r="C49" t="inlineStr">
        <is>
          <t>Middlesbrough</t>
        </is>
      </c>
      <c r="D49" t="n">
        <v>1</v>
      </c>
      <c r="E49" t="n">
        <v>1</v>
      </c>
    </row>
    <row r="50">
      <c r="A50" t="inlineStr">
        <is>
          <t>2026-09-05</t>
        </is>
      </c>
      <c r="B50" t="inlineStr">
        <is>
          <t>Lincoln</t>
        </is>
      </c>
      <c r="C50" t="inlineStr">
        <is>
          <t>Southampton</t>
        </is>
      </c>
      <c r="D50" t="n">
        <v>1</v>
      </c>
      <c r="E50" t="n">
        <v>1</v>
      </c>
    </row>
    <row r="51">
      <c r="A51" t="inlineStr">
        <is>
          <t>2026-09-05</t>
        </is>
      </c>
      <c r="B51" t="inlineStr">
        <is>
          <t>Preston North End</t>
        </is>
      </c>
      <c r="C51" t="inlineStr">
        <is>
          <t>Blackburn</t>
        </is>
      </c>
      <c r="D51" t="n">
        <v>2</v>
      </c>
      <c r="E51" t="n">
        <v>1</v>
      </c>
    </row>
    <row r="52">
      <c r="A52" t="inlineStr">
        <is>
          <t>2026-09-05</t>
        </is>
      </c>
      <c r="B52" t="inlineStr">
        <is>
          <t>Stoke</t>
        </is>
      </c>
      <c r="C52" t="inlineStr">
        <is>
          <t>Charlton</t>
        </is>
      </c>
      <c r="D52" t="n">
        <v>4</v>
      </c>
      <c r="E52" t="n">
        <v>0</v>
      </c>
    </row>
    <row r="53">
      <c r="A53" t="inlineStr">
        <is>
          <t>2026-09-05</t>
        </is>
      </c>
      <c r="B53" t="inlineStr">
        <is>
          <t>Burnley</t>
        </is>
      </c>
      <c r="C53" t="inlineStr">
        <is>
          <t>Bristol City</t>
        </is>
      </c>
      <c r="D53" t="n">
        <v>1</v>
      </c>
      <c r="E53" t="n">
        <v>2</v>
      </c>
    </row>
    <row r="54">
      <c r="A54" t="inlineStr">
        <is>
          <t>2026-09-05</t>
        </is>
      </c>
      <c r="B54" t="inlineStr">
        <is>
          <t>Millwall</t>
        </is>
      </c>
      <c r="C54" t="inlineStr">
        <is>
          <t>Bolton Wanderers</t>
        </is>
      </c>
      <c r="D54" t="n">
        <v>4</v>
      </c>
      <c r="E54" t="n">
        <v>0</v>
      </c>
    </row>
    <row r="55">
      <c r="A55" t="inlineStr">
        <is>
          <t>2026-09-05</t>
        </is>
      </c>
      <c r="B55" t="inlineStr">
        <is>
          <t>Portsmouth</t>
        </is>
      </c>
      <c r="C55" t="inlineStr">
        <is>
          <t>Cardiff</t>
        </is>
      </c>
      <c r="D55" t="n">
        <v>2</v>
      </c>
      <c r="E55" t="n">
        <v>0</v>
      </c>
    </row>
    <row r="56">
      <c r="A56" t="inlineStr">
        <is>
          <t>2026-09-05</t>
        </is>
      </c>
      <c r="B56" t="inlineStr">
        <is>
          <t>Queens Park Rangers</t>
        </is>
      </c>
      <c r="C56" t="inlineStr">
        <is>
          <t>Middlesbrough</t>
        </is>
      </c>
      <c r="D56" t="n">
        <v>0</v>
      </c>
      <c r="E56" t="n">
        <v>1</v>
      </c>
    </row>
    <row r="57">
      <c r="A57" t="inlineStr">
        <is>
          <t>2026-09-05</t>
        </is>
      </c>
      <c r="B57" t="inlineStr">
        <is>
          <t>Sheffield United</t>
        </is>
      </c>
      <c r="C57" t="inlineStr">
        <is>
          <t>Norwich</t>
        </is>
      </c>
      <c r="D57" t="n">
        <v>1</v>
      </c>
      <c r="E57" t="n">
        <v>3</v>
      </c>
    </row>
    <row r="58">
      <c r="A58" t="inlineStr">
        <is>
          <t>2026-09-05</t>
        </is>
      </c>
      <c r="B58" t="inlineStr">
        <is>
          <t>West Bromwich Albion</t>
        </is>
      </c>
      <c r="C58" t="inlineStr">
        <is>
          <t>Watford</t>
        </is>
      </c>
      <c r="D58" t="n">
        <v>1</v>
      </c>
      <c r="E58" t="n">
        <v>0</v>
      </c>
    </row>
    <row r="59">
      <c r="A59" t="inlineStr">
        <is>
          <t>2026-09-05</t>
        </is>
      </c>
      <c r="B59" t="inlineStr">
        <is>
          <t>West Ham</t>
        </is>
      </c>
      <c r="C59" t="inlineStr">
        <is>
          <t>Derby</t>
        </is>
      </c>
      <c r="D59" t="n">
        <v>3</v>
      </c>
      <c r="E59" t="n">
        <v>0</v>
      </c>
    </row>
    <row r="60">
      <c r="A60" t="inlineStr">
        <is>
          <t>2026-09-05</t>
        </is>
      </c>
      <c r="B60" t="inlineStr">
        <is>
          <t>Swansea</t>
        </is>
      </c>
      <c r="C60" t="inlineStr">
        <is>
          <t>Wrexham</t>
        </is>
      </c>
      <c r="D60" t="n">
        <v>0</v>
      </c>
      <c r="E60" t="n">
        <v>0</v>
      </c>
    </row>
    <row r="61">
      <c r="A61" t="inlineStr">
        <is>
          <t>2026-09-06</t>
        </is>
      </c>
      <c r="B61" t="inlineStr">
        <is>
          <t>Birmingham</t>
        </is>
      </c>
      <c r="C61" t="inlineStr">
        <is>
          <t>Wolves</t>
        </is>
      </c>
      <c r="D61" t="n">
        <v>2</v>
      </c>
      <c r="E61" t="n">
        <v>2</v>
      </c>
    </row>
    <row r="62">
      <c r="A62" t="inlineStr">
        <is>
          <t>2026-09-08</t>
        </is>
      </c>
      <c r="B62" t="inlineStr">
        <is>
          <t>Blackburn</t>
        </is>
      </c>
      <c r="C62" t="inlineStr">
        <is>
          <t>Sheffield United</t>
        </is>
      </c>
      <c r="D62" t="n">
        <v>1</v>
      </c>
      <c r="E62" t="n">
        <v>2</v>
      </c>
    </row>
    <row r="63">
      <c r="A63" t="inlineStr">
        <is>
          <t>2026-09-08</t>
        </is>
      </c>
      <c r="B63" t="inlineStr">
        <is>
          <t>Cardiff</t>
        </is>
      </c>
      <c r="C63" t="inlineStr">
        <is>
          <t>Stoke</t>
        </is>
      </c>
      <c r="D63" t="n">
        <v>1</v>
      </c>
      <c r="E63" t="n">
        <v>1</v>
      </c>
    </row>
    <row r="64">
      <c r="A64" t="inlineStr">
        <is>
          <t>2026-09-08</t>
        </is>
      </c>
      <c r="B64" t="inlineStr">
        <is>
          <t>Southampton</t>
        </is>
      </c>
      <c r="C64" t="inlineStr">
        <is>
          <t>Swansea</t>
        </is>
      </c>
      <c r="D64" t="n">
        <v>3</v>
      </c>
      <c r="E64" t="n">
        <v>1</v>
      </c>
    </row>
    <row r="65">
      <c r="A65" t="inlineStr">
        <is>
          <t>2026-09-08</t>
        </is>
      </c>
      <c r="B65" t="inlineStr">
        <is>
          <t>Watford</t>
        </is>
      </c>
      <c r="C65" t="inlineStr">
        <is>
          <t>Preston North End</t>
        </is>
      </c>
      <c r="D65" t="n">
        <v>2</v>
      </c>
      <c r="E65" t="n">
        <v>1</v>
      </c>
    </row>
    <row r="66">
      <c r="A66" t="inlineStr">
        <is>
          <t>2026-09-08</t>
        </is>
      </c>
      <c r="B66" t="inlineStr">
        <is>
          <t>Wrexham</t>
        </is>
      </c>
      <c r="C66" t="inlineStr">
        <is>
          <t>Burnley</t>
        </is>
      </c>
      <c r="D66" t="n">
        <v>1</v>
      </c>
      <c r="E66" t="n">
        <v>1</v>
      </c>
    </row>
    <row r="67">
      <c r="A67" t="inlineStr">
        <is>
          <t>2026-09-08</t>
        </is>
      </c>
      <c r="B67" t="inlineStr">
        <is>
          <t>Bolton Wanderers</t>
        </is>
      </c>
      <c r="C67" t="inlineStr">
        <is>
          <t>West Ham</t>
        </is>
      </c>
      <c r="D67" t="n">
        <v>2</v>
      </c>
      <c r="E67" t="n">
        <v>3</v>
      </c>
    </row>
    <row r="68">
      <c r="A68" t="inlineStr">
        <is>
          <t>2026-09-09</t>
        </is>
      </c>
      <c r="B68" t="inlineStr">
        <is>
          <t>Derby</t>
        </is>
      </c>
      <c r="C68" t="inlineStr">
        <is>
          <t>West Bromwich Albion</t>
        </is>
      </c>
      <c r="D68" t="n">
        <v>0</v>
      </c>
      <c r="E68" t="n">
        <v>1</v>
      </c>
    </row>
    <row r="69">
      <c r="A69" t="inlineStr">
        <is>
          <t>2026-09-09</t>
        </is>
      </c>
      <c r="B69" t="inlineStr">
        <is>
          <t>Norwich</t>
        </is>
      </c>
      <c r="C69" t="inlineStr">
        <is>
          <t>Birmingham</t>
        </is>
      </c>
      <c r="D69" t="n">
        <v>2</v>
      </c>
      <c r="E69" t="n">
        <v>1</v>
      </c>
    </row>
    <row r="70">
      <c r="A70" t="inlineStr">
        <is>
          <t>2026-09-09</t>
        </is>
      </c>
      <c r="B70" t="inlineStr">
        <is>
          <t>Charlton</t>
        </is>
      </c>
      <c r="C70" t="inlineStr">
        <is>
          <t>Queens Park Rangers</t>
        </is>
      </c>
      <c r="D70" t="n">
        <v>0</v>
      </c>
      <c r="E70" t="n">
        <v>0</v>
      </c>
    </row>
    <row r="71">
      <c r="A71" t="inlineStr">
        <is>
          <t>2026-09-11</t>
        </is>
      </c>
      <c r="B71" t="inlineStr">
        <is>
          <t>West Ham</t>
        </is>
      </c>
      <c r="C71" t="inlineStr">
        <is>
          <t>Wrexham</t>
        </is>
      </c>
      <c r="D71" t="n">
        <v>6</v>
      </c>
      <c r="E71" t="n">
        <v>0</v>
      </c>
    </row>
    <row r="72">
      <c r="A72" t="inlineStr">
        <is>
          <t>2026-09-12</t>
        </is>
      </c>
      <c r="B72" t="inlineStr">
        <is>
          <t>Bolton Wanderers</t>
        </is>
      </c>
      <c r="C72" t="inlineStr">
        <is>
          <t>Cardiff</t>
        </is>
      </c>
      <c r="D72" t="n">
        <v>1</v>
      </c>
      <c r="E72" t="n">
        <v>0</v>
      </c>
    </row>
    <row r="73">
      <c r="A73" t="inlineStr">
        <is>
          <t>2026-09-12</t>
        </is>
      </c>
      <c r="B73" t="inlineStr">
        <is>
          <t>Derby</t>
        </is>
      </c>
      <c r="C73" t="inlineStr">
        <is>
          <t>Birmingham</t>
        </is>
      </c>
      <c r="D73" t="n">
        <v>1</v>
      </c>
      <c r="E73" t="n">
        <v>2</v>
      </c>
    </row>
    <row r="74">
      <c r="A74" t="inlineStr">
        <is>
          <t>2026-09-12</t>
        </is>
      </c>
      <c r="B74" t="inlineStr">
        <is>
          <t>West Bromwich Albion</t>
        </is>
      </c>
      <c r="C74" t="inlineStr">
        <is>
          <t>Queens Park Rangers</t>
        </is>
      </c>
      <c r="D74" t="n">
        <v>1</v>
      </c>
      <c r="E74" t="n">
        <v>1</v>
      </c>
    </row>
    <row r="75">
      <c r="A75" t="inlineStr">
        <is>
          <t>2026-09-12</t>
        </is>
      </c>
      <c r="B75" t="inlineStr">
        <is>
          <t>Blackburn</t>
        </is>
      </c>
      <c r="C75" t="inlineStr">
        <is>
          <t>Millwall</t>
        </is>
      </c>
      <c r="D75" t="n">
        <v>3</v>
      </c>
      <c r="E75" t="n">
        <v>1</v>
      </c>
    </row>
    <row r="76">
      <c r="A76" t="inlineStr">
        <is>
          <t>2026-09-12</t>
        </is>
      </c>
      <c r="B76" t="inlineStr">
        <is>
          <t>Charlton</t>
        </is>
      </c>
      <c r="C76" t="inlineStr">
        <is>
          <t>Portsmouth</t>
        </is>
      </c>
      <c r="D76" t="n">
        <v>0</v>
      </c>
      <c r="E76" t="n">
        <v>0</v>
      </c>
    </row>
    <row r="77">
      <c r="A77" t="inlineStr">
        <is>
          <t>2026-09-12</t>
        </is>
      </c>
      <c r="B77" t="inlineStr">
        <is>
          <t>Middlesbrough</t>
        </is>
      </c>
      <c r="C77" t="inlineStr">
        <is>
          <t>Norwich</t>
        </is>
      </c>
      <c r="D77" t="n">
        <v>4</v>
      </c>
      <c r="E77" t="n">
        <v>3</v>
      </c>
    </row>
    <row r="78">
      <c r="A78" t="inlineStr">
        <is>
          <t>2026-09-12</t>
        </is>
      </c>
      <c r="B78" t="inlineStr">
        <is>
          <t>Preston North End</t>
        </is>
      </c>
      <c r="C78" t="inlineStr">
        <is>
          <t>Lincoln</t>
        </is>
      </c>
      <c r="D78" t="n">
        <v>0</v>
      </c>
      <c r="E78" t="n">
        <v>1</v>
      </c>
    </row>
    <row r="79">
      <c r="A79" t="inlineStr">
        <is>
          <t>2026-09-12</t>
        </is>
      </c>
      <c r="B79" t="inlineStr">
        <is>
          <t>Southampton</t>
        </is>
      </c>
      <c r="C79" t="inlineStr">
        <is>
          <t>Bristol City</t>
        </is>
      </c>
      <c r="D79" t="n">
        <v>4</v>
      </c>
      <c r="E79" t="n">
        <v>1</v>
      </c>
    </row>
    <row r="80">
      <c r="A80" t="inlineStr">
        <is>
          <t>2026-09-12</t>
        </is>
      </c>
      <c r="B80" t="inlineStr">
        <is>
          <t>Swansea</t>
        </is>
      </c>
      <c r="C80" t="inlineStr">
        <is>
          <t>Burnley</t>
        </is>
      </c>
      <c r="D80" t="n">
        <v>3</v>
      </c>
      <c r="E80" t="n">
        <v>1</v>
      </c>
    </row>
    <row r="81">
      <c r="A81" t="inlineStr">
        <is>
          <t>2026-09-12</t>
        </is>
      </c>
      <c r="B81" t="inlineStr">
        <is>
          <t>Watford</t>
        </is>
      </c>
      <c r="C81" t="inlineStr">
        <is>
          <t>Stoke</t>
        </is>
      </c>
      <c r="D81" t="n">
        <v>1</v>
      </c>
      <c r="E81" t="n">
        <v>2</v>
      </c>
    </row>
    <row r="82">
      <c r="A82" t="inlineStr">
        <is>
          <t>2026-09-13</t>
        </is>
      </c>
      <c r="B82" t="inlineStr">
        <is>
          <t>Sheffield United</t>
        </is>
      </c>
      <c r="C82" t="inlineStr">
        <is>
          <t>Wolves</t>
        </is>
      </c>
      <c r="D82" t="n">
        <v>0</v>
      </c>
      <c r="E8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2026-09-15T06:06:43Z</dcterms:created>
  <dcterms:modified xsi:type="dcterms:W3CDTF">2026-09-15T06:06:44Z</dcterms:modified>
</cp:coreProperties>
</file>