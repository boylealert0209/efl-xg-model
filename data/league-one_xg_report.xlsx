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FC Wimbledon" sheetId="5" state="visible" r:id="rId5"/>
    <sheet name="Barnsley" sheetId="6" state="visible" r:id="rId6"/>
    <sheet name="Blackpool" sheetId="7" state="visible" r:id="rId7"/>
    <sheet name="Bradford City" sheetId="8" state="visible" r:id="rId8"/>
    <sheet name="Bromley" sheetId="9" state="visible" r:id="rId9"/>
    <sheet name="Burton Albion" sheetId="10" state="visible" r:id="rId10"/>
    <sheet name="Cambridge" sheetId="11" state="visible" r:id="rId11"/>
    <sheet name="Doncaster Rovers" sheetId="12" state="visible" r:id="rId12"/>
    <sheet name="Huddersfield Town" sheetId="13" state="visible" r:id="rId13"/>
    <sheet name="Leicester City" sheetId="14" state="visible" r:id="rId14"/>
    <sheet name="Leyton Orient" sheetId="15" state="visible" r:id="rId15"/>
    <sheet name="Luton" sheetId="16" state="visible" r:id="rId16"/>
    <sheet name="Mansfield" sheetId="17" state="visible" r:id="rId17"/>
    <sheet name="Milton Keynes Dons" sheetId="18" state="visible" r:id="rId18"/>
    <sheet name="Notts County" sheetId="19" state="visible" r:id="rId19"/>
    <sheet name="Oxford United" sheetId="20" state="visible" r:id="rId20"/>
    <sheet name="Peterborough United" sheetId="21" state="visible" r:id="rId21"/>
    <sheet name="Plymouth" sheetId="22" state="visible" r:id="rId22"/>
    <sheet name="Reading" sheetId="23" state="visible" r:id="rId23"/>
    <sheet name="Sheffield Wednesday" sheetId="24" state="visible" r:id="rId24"/>
    <sheet name="Stevenage" sheetId="25" state="visible" r:id="rId25"/>
    <sheet name="Stockport County" sheetId="26" state="visible" r:id="rId26"/>
    <sheet name="Wigan Athletic" sheetId="27" state="visible" r:id="rId27"/>
    <sheet name="Wycombe Wanderers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Sheffield Wednesday</t>
        </is>
      </c>
      <c r="C2" s="3">
        <f>COUNTIF('Results Data'!$B$2:$B$61,$B2)+COUNTIF('Results Data'!$C$2:$C$61,$B2)</f>
        <v/>
      </c>
      <c r="D2" s="3">
        <f>SUMPRODUCT(('Results Data'!$B$2:$B$61=$B2)*('Results Data'!$D$2:$D$61&gt;'Results Data'!$E$2:$E$61))+SUMPRODUCT(('Results Data'!$C$2:$C$61=$B2)*('Results Data'!$E$2:$E$61&gt;'Results Data'!$D$2:$D$61))</f>
        <v/>
      </c>
      <c r="E2" s="3">
        <f>SUMPRODUCT(('Results Data'!$B$2:$B$61=$B2)*('Results Data'!$D$2:$D$61='Results Data'!$E$2:$E$61))+SUMPRODUCT(('Results Data'!$C$2:$C$61=$B2)*('Results Data'!$E$2:$E$61='Results Data'!$D$2:$D$61))</f>
        <v/>
      </c>
      <c r="F2" s="3">
        <f>C2-D2-E2</f>
        <v/>
      </c>
      <c r="G2" s="3">
        <f>SUMIF('Results Data'!$B$2:$B$61,$B2,'Results Data'!$D$2:$D$61)+SUMIF('Results Data'!$C$2:$C$61,$B2,'Results Data'!$E$2:$E$61)</f>
        <v/>
      </c>
      <c r="H2" s="3">
        <f>SUMIF('Results Data'!$B$2:$B$61,$B2,'Results Data'!$E$2:$E$61)+SUMIF('Results Data'!$C$2:$C$61,$B2,'Results Data'!$D$2:$D$61)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Huddersfield Town</t>
        </is>
      </c>
      <c r="C3" s="3">
        <f>COUNTIF('Results Data'!$B$2:$B$61,$B3)+COUNTIF('Results Data'!$C$2:$C$61,$B3)</f>
        <v/>
      </c>
      <c r="D3" s="3">
        <f>SUMPRODUCT(('Results Data'!$B$2:$B$61=$B3)*('Results Data'!$D$2:$D$61&gt;'Results Data'!$E$2:$E$61))+SUMPRODUCT(('Results Data'!$C$2:$C$61=$B3)*('Results Data'!$E$2:$E$61&gt;'Results Data'!$D$2:$D$61))</f>
        <v/>
      </c>
      <c r="E3" s="3">
        <f>SUMPRODUCT(('Results Data'!$B$2:$B$61=$B3)*('Results Data'!$D$2:$D$61='Results Data'!$E$2:$E$61))+SUMPRODUCT(('Results Data'!$C$2:$C$61=$B3)*('Results Data'!$E$2:$E$61='Results Data'!$D$2:$D$61))</f>
        <v/>
      </c>
      <c r="F3" s="3">
        <f>C3-D3-E3</f>
        <v/>
      </c>
      <c r="G3" s="3">
        <f>SUMIF('Results Data'!$B$2:$B$61,$B3,'Results Data'!$D$2:$D$61)+SUMIF('Results Data'!$C$2:$C$61,$B3,'Results Data'!$E$2:$E$61)</f>
        <v/>
      </c>
      <c r="H3" s="3">
        <f>SUMIF('Results Data'!$B$2:$B$61,$B3,'Results Data'!$E$2:$E$61)+SUMIF('Results Data'!$C$2:$C$61,$B3,'Results Data'!$D$2:$D$61)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Stockport County</t>
        </is>
      </c>
      <c r="C4" s="3">
        <f>COUNTIF('Results Data'!$B$2:$B$61,$B4)+COUNTIF('Results Data'!$C$2:$C$61,$B4)</f>
        <v/>
      </c>
      <c r="D4" s="3">
        <f>SUMPRODUCT(('Results Data'!$B$2:$B$61=$B4)*('Results Data'!$D$2:$D$61&gt;'Results Data'!$E$2:$E$61))+SUMPRODUCT(('Results Data'!$C$2:$C$61=$B4)*('Results Data'!$E$2:$E$61&gt;'Results Data'!$D$2:$D$61))</f>
        <v/>
      </c>
      <c r="E4" s="3">
        <f>SUMPRODUCT(('Results Data'!$B$2:$B$61=$B4)*('Results Data'!$D$2:$D$61='Results Data'!$E$2:$E$61))+SUMPRODUCT(('Results Data'!$C$2:$C$61=$B4)*('Results Data'!$E$2:$E$61='Results Data'!$D$2:$D$61))</f>
        <v/>
      </c>
      <c r="F4" s="3">
        <f>C4-D4-E4</f>
        <v/>
      </c>
      <c r="G4" s="3">
        <f>SUMIF('Results Data'!$B$2:$B$61,$B4,'Results Data'!$D$2:$D$61)+SUMIF('Results Data'!$C$2:$C$61,$B4,'Results Data'!$E$2:$E$61)</f>
        <v/>
      </c>
      <c r="H4" s="3">
        <f>SUMIF('Results Data'!$B$2:$B$61,$B4,'Results Data'!$E$2:$E$61)+SUMIF('Results Data'!$C$2:$C$61,$B4,'Results Data'!$D$2:$D$61)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Stevenage</t>
        </is>
      </c>
      <c r="C5" s="3">
        <f>COUNTIF('Results Data'!$B$2:$B$61,$B5)+COUNTIF('Results Data'!$C$2:$C$61,$B5)</f>
        <v/>
      </c>
      <c r="D5" s="3">
        <f>SUMPRODUCT(('Results Data'!$B$2:$B$61=$B5)*('Results Data'!$D$2:$D$61&gt;'Results Data'!$E$2:$E$61))+SUMPRODUCT(('Results Data'!$C$2:$C$61=$B5)*('Results Data'!$E$2:$E$61&gt;'Results Data'!$D$2:$D$61))</f>
        <v/>
      </c>
      <c r="E5" s="3">
        <f>SUMPRODUCT(('Results Data'!$B$2:$B$61=$B5)*('Results Data'!$D$2:$D$61='Results Data'!$E$2:$E$61))+SUMPRODUCT(('Results Data'!$C$2:$C$61=$B5)*('Results Data'!$E$2:$E$61='Results Data'!$D$2:$D$61))</f>
        <v/>
      </c>
      <c r="F5" s="3">
        <f>C5-D5-E5</f>
        <v/>
      </c>
      <c r="G5" s="3">
        <f>SUMIF('Results Data'!$B$2:$B$61,$B5,'Results Data'!$D$2:$D$61)+SUMIF('Results Data'!$C$2:$C$61,$B5,'Results Data'!$E$2:$E$61)</f>
        <v/>
      </c>
      <c r="H5" s="3">
        <f>SUMIF('Results Data'!$B$2:$B$61,$B5,'Results Data'!$E$2:$E$61)+SUMIF('Results Data'!$C$2:$C$61,$B5,'Results Data'!$D$2:$D$61)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Bradford City</t>
        </is>
      </c>
      <c r="C6" s="3">
        <f>COUNTIF('Results Data'!$B$2:$B$61,$B6)+COUNTIF('Results Data'!$C$2:$C$61,$B6)</f>
        <v/>
      </c>
      <c r="D6" s="3">
        <f>SUMPRODUCT(('Results Data'!$B$2:$B$61=$B6)*('Results Data'!$D$2:$D$61&gt;'Results Data'!$E$2:$E$61))+SUMPRODUCT(('Results Data'!$C$2:$C$61=$B6)*('Results Data'!$E$2:$E$61&gt;'Results Data'!$D$2:$D$61))</f>
        <v/>
      </c>
      <c r="E6" s="3">
        <f>SUMPRODUCT(('Results Data'!$B$2:$B$61=$B6)*('Results Data'!$D$2:$D$61='Results Data'!$E$2:$E$61))+SUMPRODUCT(('Results Data'!$C$2:$C$61=$B6)*('Results Data'!$E$2:$E$61='Results Data'!$D$2:$D$61))</f>
        <v/>
      </c>
      <c r="F6" s="3">
        <f>C6-D6-E6</f>
        <v/>
      </c>
      <c r="G6" s="3">
        <f>SUMIF('Results Data'!$B$2:$B$61,$B6,'Results Data'!$D$2:$D$61)+SUMIF('Results Data'!$C$2:$C$61,$B6,'Results Data'!$E$2:$E$61)</f>
        <v/>
      </c>
      <c r="H6" s="3">
        <f>SUMIF('Results Data'!$B$2:$B$61,$B6,'Results Data'!$E$2:$E$61)+SUMIF('Results Data'!$C$2:$C$61,$B6,'Results Data'!$D$2:$D$61)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Burton Albion</t>
        </is>
      </c>
      <c r="C7" s="3">
        <f>COUNTIF('Results Data'!$B$2:$B$61,$B7)+COUNTIF('Results Data'!$C$2:$C$61,$B7)</f>
        <v/>
      </c>
      <c r="D7" s="3">
        <f>SUMPRODUCT(('Results Data'!$B$2:$B$61=$B7)*('Results Data'!$D$2:$D$61&gt;'Results Data'!$E$2:$E$61))+SUMPRODUCT(('Results Data'!$C$2:$C$61=$B7)*('Results Data'!$E$2:$E$61&gt;'Results Data'!$D$2:$D$61))</f>
        <v/>
      </c>
      <c r="E7" s="3">
        <f>SUMPRODUCT(('Results Data'!$B$2:$B$61=$B7)*('Results Data'!$D$2:$D$61='Results Data'!$E$2:$E$61))+SUMPRODUCT(('Results Data'!$C$2:$C$61=$B7)*('Results Data'!$E$2:$E$61='Results Data'!$D$2:$D$61))</f>
        <v/>
      </c>
      <c r="F7" s="3">
        <f>C7-D7-E7</f>
        <v/>
      </c>
      <c r="G7" s="3">
        <f>SUMIF('Results Data'!$B$2:$B$61,$B7,'Results Data'!$D$2:$D$61)+SUMIF('Results Data'!$C$2:$C$61,$B7,'Results Data'!$E$2:$E$61)</f>
        <v/>
      </c>
      <c r="H7" s="3">
        <f>SUMIF('Results Data'!$B$2:$B$61,$B7,'Results Data'!$E$2:$E$61)+SUMIF('Results Data'!$C$2:$C$61,$B7,'Results Data'!$D$2:$D$61)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Cambridge</t>
        </is>
      </c>
      <c r="C8" s="3">
        <f>COUNTIF('Results Data'!$B$2:$B$61,$B8)+COUNTIF('Results Data'!$C$2:$C$61,$B8)</f>
        <v/>
      </c>
      <c r="D8" s="3">
        <f>SUMPRODUCT(('Results Data'!$B$2:$B$61=$B8)*('Results Data'!$D$2:$D$61&gt;'Results Data'!$E$2:$E$61))+SUMPRODUCT(('Results Data'!$C$2:$C$61=$B8)*('Results Data'!$E$2:$E$61&gt;'Results Data'!$D$2:$D$61))</f>
        <v/>
      </c>
      <c r="E8" s="3">
        <f>SUMPRODUCT(('Results Data'!$B$2:$B$61=$B8)*('Results Data'!$D$2:$D$61='Results Data'!$E$2:$E$61))+SUMPRODUCT(('Results Data'!$C$2:$C$61=$B8)*('Results Data'!$E$2:$E$61='Results Data'!$D$2:$D$61))</f>
        <v/>
      </c>
      <c r="F8" s="3">
        <f>C8-D8-E8</f>
        <v/>
      </c>
      <c r="G8" s="3">
        <f>SUMIF('Results Data'!$B$2:$B$61,$B8,'Results Data'!$D$2:$D$61)+SUMIF('Results Data'!$C$2:$C$61,$B8,'Results Data'!$E$2:$E$61)</f>
        <v/>
      </c>
      <c r="H8" s="3">
        <f>SUMIF('Results Data'!$B$2:$B$61,$B8,'Results Data'!$E$2:$E$61)+SUMIF('Results Data'!$C$2:$C$61,$B8,'Results Data'!$D$2:$D$61)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Luton</t>
        </is>
      </c>
      <c r="C9" s="3">
        <f>COUNTIF('Results Data'!$B$2:$B$61,$B9)+COUNTIF('Results Data'!$C$2:$C$61,$B9)</f>
        <v/>
      </c>
      <c r="D9" s="3">
        <f>SUMPRODUCT(('Results Data'!$B$2:$B$61=$B9)*('Results Data'!$D$2:$D$61&gt;'Results Data'!$E$2:$E$61))+SUMPRODUCT(('Results Data'!$C$2:$C$61=$B9)*('Results Data'!$E$2:$E$61&gt;'Results Data'!$D$2:$D$61))</f>
        <v/>
      </c>
      <c r="E9" s="3">
        <f>SUMPRODUCT(('Results Data'!$B$2:$B$61=$B9)*('Results Data'!$D$2:$D$61='Results Data'!$E$2:$E$61))+SUMPRODUCT(('Results Data'!$C$2:$C$61=$B9)*('Results Data'!$E$2:$E$61='Results Data'!$D$2:$D$61))</f>
        <v/>
      </c>
      <c r="F9" s="3">
        <f>C9-D9-E9</f>
        <v/>
      </c>
      <c r="G9" s="3">
        <f>SUMIF('Results Data'!$B$2:$B$61,$B9,'Results Data'!$D$2:$D$61)+SUMIF('Results Data'!$C$2:$C$61,$B9,'Results Data'!$E$2:$E$61)</f>
        <v/>
      </c>
      <c r="H9" s="3">
        <f>SUMIF('Results Data'!$B$2:$B$61,$B9,'Results Data'!$E$2:$E$61)+SUMIF('Results Data'!$C$2:$C$61,$B9,'Results Data'!$D$2:$D$61)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Reading</t>
        </is>
      </c>
      <c r="C10" s="3">
        <f>COUNTIF('Results Data'!$B$2:$B$61,$B10)+COUNTIF('Results Data'!$C$2:$C$61,$B10)</f>
        <v/>
      </c>
      <c r="D10" s="3">
        <f>SUMPRODUCT(('Results Data'!$B$2:$B$61=$B10)*('Results Data'!$D$2:$D$61&gt;'Results Data'!$E$2:$E$61))+SUMPRODUCT(('Results Data'!$C$2:$C$61=$B10)*('Results Data'!$E$2:$E$61&gt;'Results Data'!$D$2:$D$61))</f>
        <v/>
      </c>
      <c r="E10" s="3">
        <f>SUMPRODUCT(('Results Data'!$B$2:$B$61=$B10)*('Results Data'!$D$2:$D$61='Results Data'!$E$2:$E$61))+SUMPRODUCT(('Results Data'!$C$2:$C$61=$B10)*('Results Data'!$E$2:$E$61='Results Data'!$D$2:$D$61))</f>
        <v/>
      </c>
      <c r="F10" s="3">
        <f>C10-D10-E10</f>
        <v/>
      </c>
      <c r="G10" s="3">
        <f>SUMIF('Results Data'!$B$2:$B$61,$B10,'Results Data'!$D$2:$D$61)+SUMIF('Results Data'!$C$2:$C$61,$B10,'Results Data'!$E$2:$E$61)</f>
        <v/>
      </c>
      <c r="H10" s="3">
        <f>SUMIF('Results Data'!$B$2:$B$61,$B10,'Results Data'!$E$2:$E$61)+SUMIF('Results Data'!$C$2:$C$61,$B10,'Results Data'!$D$2:$D$61)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Leyton Orient</t>
        </is>
      </c>
      <c r="C11" s="3">
        <f>COUNTIF('Results Data'!$B$2:$B$61,$B11)+COUNTIF('Results Data'!$C$2:$C$61,$B11)</f>
        <v/>
      </c>
      <c r="D11" s="3">
        <f>SUMPRODUCT(('Results Data'!$B$2:$B$61=$B11)*('Results Data'!$D$2:$D$61&gt;'Results Data'!$E$2:$E$61))+SUMPRODUCT(('Results Data'!$C$2:$C$61=$B11)*('Results Data'!$E$2:$E$61&gt;'Results Data'!$D$2:$D$61))</f>
        <v/>
      </c>
      <c r="E11" s="3">
        <f>SUMPRODUCT(('Results Data'!$B$2:$B$61=$B11)*('Results Data'!$D$2:$D$61='Results Data'!$E$2:$E$61))+SUMPRODUCT(('Results Data'!$C$2:$C$61=$B11)*('Results Data'!$E$2:$E$61='Results Data'!$D$2:$D$61))</f>
        <v/>
      </c>
      <c r="F11" s="3">
        <f>C11-D11-E11</f>
        <v/>
      </c>
      <c r="G11" s="3">
        <f>SUMIF('Results Data'!$B$2:$B$61,$B11,'Results Data'!$D$2:$D$61)+SUMIF('Results Data'!$C$2:$C$61,$B11,'Results Data'!$E$2:$E$61)</f>
        <v/>
      </c>
      <c r="H11" s="3">
        <f>SUMIF('Results Data'!$B$2:$B$61,$B11,'Results Data'!$E$2:$E$61)+SUMIF('Results Data'!$C$2:$C$61,$B11,'Results Data'!$D$2:$D$61)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Oxford United</t>
        </is>
      </c>
      <c r="C12" s="3">
        <f>COUNTIF('Results Data'!$B$2:$B$61,$B12)+COUNTIF('Results Data'!$C$2:$C$61,$B12)</f>
        <v/>
      </c>
      <c r="D12" s="3">
        <f>SUMPRODUCT(('Results Data'!$B$2:$B$61=$B12)*('Results Data'!$D$2:$D$61&gt;'Results Data'!$E$2:$E$61))+SUMPRODUCT(('Results Data'!$C$2:$C$61=$B12)*('Results Data'!$E$2:$E$61&gt;'Results Data'!$D$2:$D$61))</f>
        <v/>
      </c>
      <c r="E12" s="3">
        <f>SUMPRODUCT(('Results Data'!$B$2:$B$61=$B12)*('Results Data'!$D$2:$D$61='Results Data'!$E$2:$E$61))+SUMPRODUCT(('Results Data'!$C$2:$C$61=$B12)*('Results Data'!$E$2:$E$61='Results Data'!$D$2:$D$61))</f>
        <v/>
      </c>
      <c r="F12" s="3">
        <f>C12-D12-E12</f>
        <v/>
      </c>
      <c r="G12" s="3">
        <f>SUMIF('Results Data'!$B$2:$B$61,$B12,'Results Data'!$D$2:$D$61)+SUMIF('Results Data'!$C$2:$C$61,$B12,'Results Data'!$E$2:$E$61)</f>
        <v/>
      </c>
      <c r="H12" s="3">
        <f>SUMIF('Results Data'!$B$2:$B$61,$B12,'Results Data'!$E$2:$E$61)+SUMIF('Results Data'!$C$2:$C$61,$B12,'Results Data'!$D$2:$D$61)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Blackpool</t>
        </is>
      </c>
      <c r="C13" s="3">
        <f>COUNTIF('Results Data'!$B$2:$B$61,$B13)+COUNTIF('Results Data'!$C$2:$C$61,$B13)</f>
        <v/>
      </c>
      <c r="D13" s="3">
        <f>SUMPRODUCT(('Results Data'!$B$2:$B$61=$B13)*('Results Data'!$D$2:$D$61&gt;'Results Data'!$E$2:$E$61))+SUMPRODUCT(('Results Data'!$C$2:$C$61=$B13)*('Results Data'!$E$2:$E$61&gt;'Results Data'!$D$2:$D$61))</f>
        <v/>
      </c>
      <c r="E13" s="3">
        <f>SUMPRODUCT(('Results Data'!$B$2:$B$61=$B13)*('Results Data'!$D$2:$D$61='Results Data'!$E$2:$E$61))+SUMPRODUCT(('Results Data'!$C$2:$C$61=$B13)*('Results Data'!$E$2:$E$61='Results Data'!$D$2:$D$61))</f>
        <v/>
      </c>
      <c r="F13" s="3">
        <f>C13-D13-E13</f>
        <v/>
      </c>
      <c r="G13" s="3">
        <f>SUMIF('Results Data'!$B$2:$B$61,$B13,'Results Data'!$D$2:$D$61)+SUMIF('Results Data'!$C$2:$C$61,$B13,'Results Data'!$E$2:$E$61)</f>
        <v/>
      </c>
      <c r="H13" s="3">
        <f>SUMIF('Results Data'!$B$2:$B$61,$B13,'Results Data'!$E$2:$E$61)+SUMIF('Results Data'!$C$2:$C$61,$B13,'Results Data'!$D$2:$D$61)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Notts County</t>
        </is>
      </c>
      <c r="C14" s="3">
        <f>COUNTIF('Results Data'!$B$2:$B$61,$B14)+COUNTIF('Results Data'!$C$2:$C$61,$B14)</f>
        <v/>
      </c>
      <c r="D14" s="3">
        <f>SUMPRODUCT(('Results Data'!$B$2:$B$61=$B14)*('Results Data'!$D$2:$D$61&gt;'Results Data'!$E$2:$E$61))+SUMPRODUCT(('Results Data'!$C$2:$C$61=$B14)*('Results Data'!$E$2:$E$61&gt;'Results Data'!$D$2:$D$61))</f>
        <v/>
      </c>
      <c r="E14" s="3">
        <f>SUMPRODUCT(('Results Data'!$B$2:$B$61=$B14)*('Results Data'!$D$2:$D$61='Results Data'!$E$2:$E$61))+SUMPRODUCT(('Results Data'!$C$2:$C$61=$B14)*('Results Data'!$E$2:$E$61='Results Data'!$D$2:$D$61))</f>
        <v/>
      </c>
      <c r="F14" s="3">
        <f>C14-D14-E14</f>
        <v/>
      </c>
      <c r="G14" s="3">
        <f>SUMIF('Results Data'!$B$2:$B$61,$B14,'Results Data'!$D$2:$D$61)+SUMIF('Results Data'!$C$2:$C$61,$B14,'Results Data'!$E$2:$E$61)</f>
        <v/>
      </c>
      <c r="H14" s="3">
        <f>SUMIF('Results Data'!$B$2:$B$61,$B14,'Results Data'!$E$2:$E$61)+SUMIF('Results Data'!$C$2:$C$61,$B14,'Results Data'!$D$2:$D$61)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Plymouth</t>
        </is>
      </c>
      <c r="C15" s="3">
        <f>COUNTIF('Results Data'!$B$2:$B$61,$B15)+COUNTIF('Results Data'!$C$2:$C$61,$B15)</f>
        <v/>
      </c>
      <c r="D15" s="3">
        <f>SUMPRODUCT(('Results Data'!$B$2:$B$61=$B15)*('Results Data'!$D$2:$D$61&gt;'Results Data'!$E$2:$E$61))+SUMPRODUCT(('Results Data'!$C$2:$C$61=$B15)*('Results Data'!$E$2:$E$61&gt;'Results Data'!$D$2:$D$61))</f>
        <v/>
      </c>
      <c r="E15" s="3">
        <f>SUMPRODUCT(('Results Data'!$B$2:$B$61=$B15)*('Results Data'!$D$2:$D$61='Results Data'!$E$2:$E$61))+SUMPRODUCT(('Results Data'!$C$2:$C$61=$B15)*('Results Data'!$E$2:$E$61='Results Data'!$D$2:$D$61))</f>
        <v/>
      </c>
      <c r="F15" s="3">
        <f>C15-D15-E15</f>
        <v/>
      </c>
      <c r="G15" s="3">
        <f>SUMIF('Results Data'!$B$2:$B$61,$B15,'Results Data'!$D$2:$D$61)+SUMIF('Results Data'!$C$2:$C$61,$B15,'Results Data'!$E$2:$E$61)</f>
        <v/>
      </c>
      <c r="H15" s="3">
        <f>SUMIF('Results Data'!$B$2:$B$61,$B15,'Results Data'!$E$2:$E$61)+SUMIF('Results Data'!$C$2:$C$61,$B15,'Results Data'!$D$2:$D$61)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Barnsley</t>
        </is>
      </c>
      <c r="C16" s="3">
        <f>COUNTIF('Results Data'!$B$2:$B$61,$B16)+COUNTIF('Results Data'!$C$2:$C$61,$B16)</f>
        <v/>
      </c>
      <c r="D16" s="3">
        <f>SUMPRODUCT(('Results Data'!$B$2:$B$61=$B16)*('Results Data'!$D$2:$D$61&gt;'Results Data'!$E$2:$E$61))+SUMPRODUCT(('Results Data'!$C$2:$C$61=$B16)*('Results Data'!$E$2:$E$61&gt;'Results Data'!$D$2:$D$61))</f>
        <v/>
      </c>
      <c r="E16" s="3">
        <f>SUMPRODUCT(('Results Data'!$B$2:$B$61=$B16)*('Results Data'!$D$2:$D$61='Results Data'!$E$2:$E$61))+SUMPRODUCT(('Results Data'!$C$2:$C$61=$B16)*('Results Data'!$E$2:$E$61='Results Data'!$D$2:$D$61))</f>
        <v/>
      </c>
      <c r="F16" s="3">
        <f>C16-D16-E16</f>
        <v/>
      </c>
      <c r="G16" s="3">
        <f>SUMIF('Results Data'!$B$2:$B$61,$B16,'Results Data'!$D$2:$D$61)+SUMIF('Results Data'!$C$2:$C$61,$B16,'Results Data'!$E$2:$E$61)</f>
        <v/>
      </c>
      <c r="H16" s="3">
        <f>SUMIF('Results Data'!$B$2:$B$61,$B16,'Results Data'!$E$2:$E$61)+SUMIF('Results Data'!$C$2:$C$61,$B16,'Results Data'!$D$2:$D$61)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AFC Wimbledon</t>
        </is>
      </c>
      <c r="C17" s="3">
        <f>COUNTIF('Results Data'!$B$2:$B$61,$B17)+COUNTIF('Results Data'!$C$2:$C$61,$B17)</f>
        <v/>
      </c>
      <c r="D17" s="3">
        <f>SUMPRODUCT(('Results Data'!$B$2:$B$61=$B17)*('Results Data'!$D$2:$D$61&gt;'Results Data'!$E$2:$E$61))+SUMPRODUCT(('Results Data'!$C$2:$C$61=$B17)*('Results Data'!$E$2:$E$61&gt;'Results Data'!$D$2:$D$61))</f>
        <v/>
      </c>
      <c r="E17" s="3">
        <f>SUMPRODUCT(('Results Data'!$B$2:$B$61=$B17)*('Results Data'!$D$2:$D$61='Results Data'!$E$2:$E$61))+SUMPRODUCT(('Results Data'!$C$2:$C$61=$B17)*('Results Data'!$E$2:$E$61='Results Data'!$D$2:$D$61))</f>
        <v/>
      </c>
      <c r="F17" s="3">
        <f>C17-D17-E17</f>
        <v/>
      </c>
      <c r="G17" s="3">
        <f>SUMIF('Results Data'!$B$2:$B$61,$B17,'Results Data'!$D$2:$D$61)+SUMIF('Results Data'!$C$2:$C$61,$B17,'Results Data'!$E$2:$E$61)</f>
        <v/>
      </c>
      <c r="H17" s="3">
        <f>SUMIF('Results Data'!$B$2:$B$61,$B17,'Results Data'!$E$2:$E$61)+SUMIF('Results Data'!$C$2:$C$61,$B17,'Results Data'!$D$2:$D$61)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Mansfield</t>
        </is>
      </c>
      <c r="C18" s="3">
        <f>COUNTIF('Results Data'!$B$2:$B$61,$B18)+COUNTIF('Results Data'!$C$2:$C$61,$B18)</f>
        <v/>
      </c>
      <c r="D18" s="3">
        <f>SUMPRODUCT(('Results Data'!$B$2:$B$61=$B18)*('Results Data'!$D$2:$D$61&gt;'Results Data'!$E$2:$E$61))+SUMPRODUCT(('Results Data'!$C$2:$C$61=$B18)*('Results Data'!$E$2:$E$61&gt;'Results Data'!$D$2:$D$61))</f>
        <v/>
      </c>
      <c r="E18" s="3">
        <f>SUMPRODUCT(('Results Data'!$B$2:$B$61=$B18)*('Results Data'!$D$2:$D$61='Results Data'!$E$2:$E$61))+SUMPRODUCT(('Results Data'!$C$2:$C$61=$B18)*('Results Data'!$E$2:$E$61='Results Data'!$D$2:$D$61))</f>
        <v/>
      </c>
      <c r="F18" s="3">
        <f>C18-D18-E18</f>
        <v/>
      </c>
      <c r="G18" s="3">
        <f>SUMIF('Results Data'!$B$2:$B$61,$B18,'Results Data'!$D$2:$D$61)+SUMIF('Results Data'!$C$2:$C$61,$B18,'Results Data'!$E$2:$E$61)</f>
        <v/>
      </c>
      <c r="H18" s="3">
        <f>SUMIF('Results Data'!$B$2:$B$61,$B18,'Results Data'!$E$2:$E$61)+SUMIF('Results Data'!$C$2:$C$61,$B18,'Results Data'!$D$2:$D$61)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Leicester City</t>
        </is>
      </c>
      <c r="C19" s="3">
        <f>COUNTIF('Results Data'!$B$2:$B$61,$B19)+COUNTIF('Results Data'!$C$2:$C$61,$B19)</f>
        <v/>
      </c>
      <c r="D19" s="3">
        <f>SUMPRODUCT(('Results Data'!$B$2:$B$61=$B19)*('Results Data'!$D$2:$D$61&gt;'Results Data'!$E$2:$E$61))+SUMPRODUCT(('Results Data'!$C$2:$C$61=$B19)*('Results Data'!$E$2:$E$61&gt;'Results Data'!$D$2:$D$61))</f>
        <v/>
      </c>
      <c r="E19" s="3">
        <f>SUMPRODUCT(('Results Data'!$B$2:$B$61=$B19)*('Results Data'!$D$2:$D$61='Results Data'!$E$2:$E$61))+SUMPRODUCT(('Results Data'!$C$2:$C$61=$B19)*('Results Data'!$E$2:$E$61='Results Data'!$D$2:$D$61))</f>
        <v/>
      </c>
      <c r="F19" s="3">
        <f>C19-D19-E19</f>
        <v/>
      </c>
      <c r="G19" s="3">
        <f>SUMIF('Results Data'!$B$2:$B$61,$B19,'Results Data'!$D$2:$D$61)+SUMIF('Results Data'!$C$2:$C$61,$B19,'Results Data'!$E$2:$E$61)</f>
        <v/>
      </c>
      <c r="H19" s="3">
        <f>SUMIF('Results Data'!$B$2:$B$61,$B19,'Results Data'!$E$2:$E$61)+SUMIF('Results Data'!$C$2:$C$61,$B19,'Results Data'!$D$2:$D$61)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Milton Keynes Dons</t>
        </is>
      </c>
      <c r="C20" s="3">
        <f>COUNTIF('Results Data'!$B$2:$B$61,$B20)+COUNTIF('Results Data'!$C$2:$C$61,$B20)</f>
        <v/>
      </c>
      <c r="D20" s="3">
        <f>SUMPRODUCT(('Results Data'!$B$2:$B$61=$B20)*('Results Data'!$D$2:$D$61&gt;'Results Data'!$E$2:$E$61))+SUMPRODUCT(('Results Data'!$C$2:$C$61=$B20)*('Results Data'!$E$2:$E$61&gt;'Results Data'!$D$2:$D$61))</f>
        <v/>
      </c>
      <c r="E20" s="3">
        <f>SUMPRODUCT(('Results Data'!$B$2:$B$61=$B20)*('Results Data'!$D$2:$D$61='Results Data'!$E$2:$E$61))+SUMPRODUCT(('Results Data'!$C$2:$C$61=$B20)*('Results Data'!$E$2:$E$61='Results Data'!$D$2:$D$61))</f>
        <v/>
      </c>
      <c r="F20" s="3">
        <f>C20-D20-E20</f>
        <v/>
      </c>
      <c r="G20" s="3">
        <f>SUMIF('Results Data'!$B$2:$B$61,$B20,'Results Data'!$D$2:$D$61)+SUMIF('Results Data'!$C$2:$C$61,$B20,'Results Data'!$E$2:$E$61)</f>
        <v/>
      </c>
      <c r="H20" s="3">
        <f>SUMIF('Results Data'!$B$2:$B$61,$B20,'Results Data'!$E$2:$E$61)+SUMIF('Results Data'!$C$2:$C$61,$B20,'Results Data'!$D$2:$D$61)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Peterborough United</t>
        </is>
      </c>
      <c r="C21" s="3">
        <f>COUNTIF('Results Data'!$B$2:$B$61,$B21)+COUNTIF('Results Data'!$C$2:$C$61,$B21)</f>
        <v/>
      </c>
      <c r="D21" s="3">
        <f>SUMPRODUCT(('Results Data'!$B$2:$B$61=$B21)*('Results Data'!$D$2:$D$61&gt;'Results Data'!$E$2:$E$61))+SUMPRODUCT(('Results Data'!$C$2:$C$61=$B21)*('Results Data'!$E$2:$E$61&gt;'Results Data'!$D$2:$D$61))</f>
        <v/>
      </c>
      <c r="E21" s="3">
        <f>SUMPRODUCT(('Results Data'!$B$2:$B$61=$B21)*('Results Data'!$D$2:$D$61='Results Data'!$E$2:$E$61))+SUMPRODUCT(('Results Data'!$C$2:$C$61=$B21)*('Results Data'!$E$2:$E$61='Results Data'!$D$2:$D$61))</f>
        <v/>
      </c>
      <c r="F21" s="3">
        <f>C21-D21-E21</f>
        <v/>
      </c>
      <c r="G21" s="3">
        <f>SUMIF('Results Data'!$B$2:$B$61,$B21,'Results Data'!$D$2:$D$61)+SUMIF('Results Data'!$C$2:$C$61,$B21,'Results Data'!$E$2:$E$61)</f>
        <v/>
      </c>
      <c r="H21" s="3">
        <f>SUMIF('Results Data'!$B$2:$B$61,$B21,'Results Data'!$E$2:$E$61)+SUMIF('Results Data'!$C$2:$C$61,$B21,'Results Data'!$D$2:$D$61)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Bromley</t>
        </is>
      </c>
      <c r="C22" s="3">
        <f>COUNTIF('Results Data'!$B$2:$B$61,$B22)+COUNTIF('Results Data'!$C$2:$C$61,$B22)</f>
        <v/>
      </c>
      <c r="D22" s="3">
        <f>SUMPRODUCT(('Results Data'!$B$2:$B$61=$B22)*('Results Data'!$D$2:$D$61&gt;'Results Data'!$E$2:$E$61))+SUMPRODUCT(('Results Data'!$C$2:$C$61=$B22)*('Results Data'!$E$2:$E$61&gt;'Results Data'!$D$2:$D$61))</f>
        <v/>
      </c>
      <c r="E22" s="3">
        <f>SUMPRODUCT(('Results Data'!$B$2:$B$61=$B22)*('Results Data'!$D$2:$D$61='Results Data'!$E$2:$E$61))+SUMPRODUCT(('Results Data'!$C$2:$C$61=$B22)*('Results Data'!$E$2:$E$61='Results Data'!$D$2:$D$61))</f>
        <v/>
      </c>
      <c r="F22" s="3">
        <f>C22-D22-E22</f>
        <v/>
      </c>
      <c r="G22" s="3">
        <f>SUMIF('Results Data'!$B$2:$B$61,$B22,'Results Data'!$D$2:$D$61)+SUMIF('Results Data'!$C$2:$C$61,$B22,'Results Data'!$E$2:$E$61)</f>
        <v/>
      </c>
      <c r="H22" s="3">
        <f>SUMIF('Results Data'!$B$2:$B$61,$B22,'Results Data'!$E$2:$E$61)+SUMIF('Results Data'!$C$2:$C$61,$B22,'Results Data'!$D$2:$D$61)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Doncaster Rovers</t>
        </is>
      </c>
      <c r="C23" s="3">
        <f>COUNTIF('Results Data'!$B$2:$B$61,$B23)+COUNTIF('Results Data'!$C$2:$C$61,$B23)</f>
        <v/>
      </c>
      <c r="D23" s="3">
        <f>SUMPRODUCT(('Results Data'!$B$2:$B$61=$B23)*('Results Data'!$D$2:$D$61&gt;'Results Data'!$E$2:$E$61))+SUMPRODUCT(('Results Data'!$C$2:$C$61=$B23)*('Results Data'!$E$2:$E$61&gt;'Results Data'!$D$2:$D$61))</f>
        <v/>
      </c>
      <c r="E23" s="3">
        <f>SUMPRODUCT(('Results Data'!$B$2:$B$61=$B23)*('Results Data'!$D$2:$D$61='Results Data'!$E$2:$E$61))+SUMPRODUCT(('Results Data'!$C$2:$C$61=$B23)*('Results Data'!$E$2:$E$61='Results Data'!$D$2:$D$61))</f>
        <v/>
      </c>
      <c r="F23" s="3">
        <f>C23-D23-E23</f>
        <v/>
      </c>
      <c r="G23" s="3">
        <f>SUMIF('Results Data'!$B$2:$B$61,$B23,'Results Data'!$D$2:$D$61)+SUMIF('Results Data'!$C$2:$C$61,$B23,'Results Data'!$E$2:$E$61)</f>
        <v/>
      </c>
      <c r="H23" s="3">
        <f>SUMIF('Results Data'!$B$2:$B$61,$B23,'Results Data'!$E$2:$E$61)+SUMIF('Results Data'!$C$2:$C$61,$B23,'Results Data'!$D$2:$D$61)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Wycombe Wanderers</t>
        </is>
      </c>
      <c r="C24" s="3">
        <f>COUNTIF('Results Data'!$B$2:$B$61,$B24)+COUNTIF('Results Data'!$C$2:$C$61,$B24)</f>
        <v/>
      </c>
      <c r="D24" s="3">
        <f>SUMPRODUCT(('Results Data'!$B$2:$B$61=$B24)*('Results Data'!$D$2:$D$61&gt;'Results Data'!$E$2:$E$61))+SUMPRODUCT(('Results Data'!$C$2:$C$61=$B24)*('Results Data'!$E$2:$E$61&gt;'Results Data'!$D$2:$D$61))</f>
        <v/>
      </c>
      <c r="E24" s="3">
        <f>SUMPRODUCT(('Results Data'!$B$2:$B$61=$B24)*('Results Data'!$D$2:$D$61='Results Data'!$E$2:$E$61))+SUMPRODUCT(('Results Data'!$C$2:$C$61=$B24)*('Results Data'!$E$2:$E$61='Results Data'!$D$2:$D$61))</f>
        <v/>
      </c>
      <c r="F24" s="3">
        <f>C24-D24-E24</f>
        <v/>
      </c>
      <c r="G24" s="3">
        <f>SUMIF('Results Data'!$B$2:$B$61,$B24,'Results Data'!$D$2:$D$61)+SUMIF('Results Data'!$C$2:$C$61,$B24,'Results Data'!$E$2:$E$61)</f>
        <v/>
      </c>
      <c r="H24" s="3">
        <f>SUMIF('Results Data'!$B$2:$B$61,$B24,'Results Data'!$E$2:$E$61)+SUMIF('Results Data'!$C$2:$C$61,$B24,'Results Data'!$D$2:$D$61)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Wigan Athletic</t>
        </is>
      </c>
      <c r="C25" s="3">
        <f>COUNTIF('Results Data'!$B$2:$B$61,$B25)+COUNTIF('Results Data'!$C$2:$C$61,$B25)</f>
        <v/>
      </c>
      <c r="D25" s="3">
        <f>SUMPRODUCT(('Results Data'!$B$2:$B$61=$B25)*('Results Data'!$D$2:$D$61&gt;'Results Data'!$E$2:$E$61))+SUMPRODUCT(('Results Data'!$C$2:$C$61=$B25)*('Results Data'!$E$2:$E$61&gt;'Results Data'!$D$2:$D$61))</f>
        <v/>
      </c>
      <c r="E25" s="3">
        <f>SUMPRODUCT(('Results Data'!$B$2:$B$61=$B25)*('Results Data'!$D$2:$D$61='Results Data'!$E$2:$E$61))+SUMPRODUCT(('Results Data'!$C$2:$C$61=$B25)*('Results Data'!$E$2:$E$61='Results Data'!$D$2:$D$61))</f>
        <v/>
      </c>
      <c r="F25" s="3">
        <f>C25-D25-E25</f>
        <v/>
      </c>
      <c r="G25" s="3">
        <f>SUMIF('Results Data'!$B$2:$B$61,$B25,'Results Data'!$D$2:$D$61)+SUMIF('Results Data'!$C$2:$C$61,$B25,'Results Data'!$E$2:$E$61)</f>
        <v/>
      </c>
      <c r="H25" s="3">
        <f>SUMIF('Results Data'!$B$2:$B$61,$B25,'Results Data'!$E$2:$E$61)+SUMIF('Results Data'!$C$2:$C$61,$B25,'Results Data'!$D$2:$D$61)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AFC Wimbledon</t>
        </is>
      </c>
      <c r="B2" s="3">
        <f>'AFC Wimbledon'!$E$9</f>
        <v/>
      </c>
      <c r="C2" s="3">
        <f>'AFC Wimbledon'!$E$10</f>
        <v/>
      </c>
      <c r="D2" s="3">
        <f>'AFC Wimbledon'!$E$11</f>
        <v/>
      </c>
      <c r="E2" s="4">
        <f>'AFC Wimbledon'!$E$12</f>
        <v/>
      </c>
      <c r="F2" s="4">
        <f>'AFC Wimbledon'!$E$13</f>
        <v/>
      </c>
      <c r="G2" s="4">
        <f>'AFC Wimbledon'!$E$16</f>
        <v/>
      </c>
      <c r="H2" s="4">
        <f>'AFC Wimbledon'!$E$17</f>
        <v/>
      </c>
    </row>
    <row r="3">
      <c r="A3" s="3" t="inlineStr">
        <is>
          <t>Barnsley</t>
        </is>
      </c>
      <c r="B3" s="3">
        <f>'Barnsley'!$E$9</f>
        <v/>
      </c>
      <c r="C3" s="3">
        <f>'Barnsley'!$E$10</f>
        <v/>
      </c>
      <c r="D3" s="3">
        <f>'Barnsley'!$E$11</f>
        <v/>
      </c>
      <c r="E3" s="4">
        <f>'Barnsley'!$E$12</f>
        <v/>
      </c>
      <c r="F3" s="4">
        <f>'Barnsley'!$E$13</f>
        <v/>
      </c>
      <c r="G3" s="4">
        <f>'Barnsley'!$E$16</f>
        <v/>
      </c>
      <c r="H3" s="4">
        <f>'Barnsley'!$E$17</f>
        <v/>
      </c>
    </row>
    <row r="4">
      <c r="A4" s="3" t="inlineStr">
        <is>
          <t>Blackpool</t>
        </is>
      </c>
      <c r="B4" s="3">
        <f>'Blackpool'!$E$9</f>
        <v/>
      </c>
      <c r="C4" s="3">
        <f>'Blackpool'!$E$10</f>
        <v/>
      </c>
      <c r="D4" s="3">
        <f>'Blackpool'!$E$11</f>
        <v/>
      </c>
      <c r="E4" s="4">
        <f>'Blackpool'!$E$12</f>
        <v/>
      </c>
      <c r="F4" s="4">
        <f>'Blackpool'!$E$13</f>
        <v/>
      </c>
      <c r="G4" s="4">
        <f>'Blackpool'!$E$16</f>
        <v/>
      </c>
      <c r="H4" s="4">
        <f>'Blackpool'!$E$17</f>
        <v/>
      </c>
    </row>
    <row r="5">
      <c r="A5" s="3" t="inlineStr">
        <is>
          <t>Bradford City</t>
        </is>
      </c>
      <c r="B5" s="3">
        <f>'Bradford City'!$E$9</f>
        <v/>
      </c>
      <c r="C5" s="3">
        <f>'Bradford City'!$E$10</f>
        <v/>
      </c>
      <c r="D5" s="3">
        <f>'Bradford City'!$E$11</f>
        <v/>
      </c>
      <c r="E5" s="4">
        <f>'Bradford City'!$E$12</f>
        <v/>
      </c>
      <c r="F5" s="4">
        <f>'Bradford City'!$E$13</f>
        <v/>
      </c>
      <c r="G5" s="4">
        <f>'Bradford City'!$E$16</f>
        <v/>
      </c>
      <c r="H5" s="4">
        <f>'Bradford City'!$E$17</f>
        <v/>
      </c>
    </row>
    <row r="6">
      <c r="A6" s="3" t="inlineStr">
        <is>
          <t>Bromley</t>
        </is>
      </c>
      <c r="B6" s="3">
        <f>'Bromley'!$E$9</f>
        <v/>
      </c>
      <c r="C6" s="3">
        <f>'Bromley'!$E$10</f>
        <v/>
      </c>
      <c r="D6" s="3">
        <f>'Bromley'!$E$11</f>
        <v/>
      </c>
      <c r="E6" s="4">
        <f>'Bromley'!$E$12</f>
        <v/>
      </c>
      <c r="F6" s="4">
        <f>'Bromley'!$E$13</f>
        <v/>
      </c>
      <c r="G6" s="4">
        <f>'Bromley'!$E$16</f>
        <v/>
      </c>
      <c r="H6" s="4">
        <f>'Bromley'!$E$17</f>
        <v/>
      </c>
    </row>
    <row r="7">
      <c r="A7" s="3" t="inlineStr">
        <is>
          <t>Burton Albion</t>
        </is>
      </c>
      <c r="B7" s="3">
        <f>'Burton Albion'!$E$9</f>
        <v/>
      </c>
      <c r="C7" s="3">
        <f>'Burton Albion'!$E$10</f>
        <v/>
      </c>
      <c r="D7" s="3">
        <f>'Burton Albion'!$E$11</f>
        <v/>
      </c>
      <c r="E7" s="4">
        <f>'Burton Albion'!$E$12</f>
        <v/>
      </c>
      <c r="F7" s="4">
        <f>'Burton Albion'!$E$13</f>
        <v/>
      </c>
      <c r="G7" s="4">
        <f>'Burton Albion'!$E$16</f>
        <v/>
      </c>
      <c r="H7" s="4">
        <f>'Burton Albion'!$E$17</f>
        <v/>
      </c>
    </row>
    <row r="8">
      <c r="A8" s="3" t="inlineStr">
        <is>
          <t>Cambridge</t>
        </is>
      </c>
      <c r="B8" s="3">
        <f>'Cambridge'!$E$9</f>
        <v/>
      </c>
      <c r="C8" s="3">
        <f>'Cambridge'!$E$10</f>
        <v/>
      </c>
      <c r="D8" s="3">
        <f>'Cambridge'!$E$11</f>
        <v/>
      </c>
      <c r="E8" s="4">
        <f>'Cambridge'!$E$12</f>
        <v/>
      </c>
      <c r="F8" s="4">
        <f>'Cambridge'!$E$13</f>
        <v/>
      </c>
      <c r="G8" s="4">
        <f>'Cambridge'!$E$16</f>
        <v/>
      </c>
      <c r="H8" s="4">
        <f>'Cambridge'!$E$17</f>
        <v/>
      </c>
    </row>
    <row r="9">
      <c r="A9" s="3" t="inlineStr">
        <is>
          <t>Doncaster Rovers</t>
        </is>
      </c>
      <c r="B9" s="3">
        <f>'Doncaster Rovers'!$E$9</f>
        <v/>
      </c>
      <c r="C9" s="3">
        <f>'Doncaster Rovers'!$E$10</f>
        <v/>
      </c>
      <c r="D9" s="3">
        <f>'Doncaster Rovers'!$E$11</f>
        <v/>
      </c>
      <c r="E9" s="4">
        <f>'Doncaster Rovers'!$E$12</f>
        <v/>
      </c>
      <c r="F9" s="4">
        <f>'Doncaster Rovers'!$E$13</f>
        <v/>
      </c>
      <c r="G9" s="4">
        <f>'Doncaster Rovers'!$E$16</f>
        <v/>
      </c>
      <c r="H9" s="4">
        <f>'Doncaster Rovers'!$E$17</f>
        <v/>
      </c>
    </row>
    <row r="10">
      <c r="A10" s="3" t="inlineStr">
        <is>
          <t>Huddersfield Town</t>
        </is>
      </c>
      <c r="B10" s="3">
        <f>'Huddersfield Town'!$E$9</f>
        <v/>
      </c>
      <c r="C10" s="3">
        <f>'Huddersfield Town'!$E$10</f>
        <v/>
      </c>
      <c r="D10" s="3">
        <f>'Huddersfield Town'!$E$11</f>
        <v/>
      </c>
      <c r="E10" s="4">
        <f>'Huddersfield Town'!$E$12</f>
        <v/>
      </c>
      <c r="F10" s="4">
        <f>'Huddersfield Town'!$E$13</f>
        <v/>
      </c>
      <c r="G10" s="4">
        <f>'Huddersfield Town'!$E$16</f>
        <v/>
      </c>
      <c r="H10" s="4">
        <f>'Huddersfield Town'!$E$17</f>
        <v/>
      </c>
    </row>
    <row r="11">
      <c r="A11" s="3" t="inlineStr">
        <is>
          <t>Leicester City</t>
        </is>
      </c>
      <c r="B11" s="3">
        <f>'Leicester City'!$E$9</f>
        <v/>
      </c>
      <c r="C11" s="3">
        <f>'Leicester City'!$E$10</f>
        <v/>
      </c>
      <c r="D11" s="3">
        <f>'Leicester City'!$E$11</f>
        <v/>
      </c>
      <c r="E11" s="4">
        <f>'Leicester City'!$E$12</f>
        <v/>
      </c>
      <c r="F11" s="4">
        <f>'Leicester City'!$E$13</f>
        <v/>
      </c>
      <c r="G11" s="4">
        <f>'Leicester City'!$E$16</f>
        <v/>
      </c>
      <c r="H11" s="4">
        <f>'Leicester City'!$E$17</f>
        <v/>
      </c>
    </row>
    <row r="12">
      <c r="A12" s="3" t="inlineStr">
        <is>
          <t>Leyton Orient</t>
        </is>
      </c>
      <c r="B12" s="3">
        <f>'Leyton Orient'!$E$9</f>
        <v/>
      </c>
      <c r="C12" s="3">
        <f>'Leyton Orient'!$E$10</f>
        <v/>
      </c>
      <c r="D12" s="3">
        <f>'Leyton Orient'!$E$11</f>
        <v/>
      </c>
      <c r="E12" s="4">
        <f>'Leyton Orient'!$E$12</f>
        <v/>
      </c>
      <c r="F12" s="4">
        <f>'Leyton Orient'!$E$13</f>
        <v/>
      </c>
      <c r="G12" s="4">
        <f>'Leyton Orient'!$E$16</f>
        <v/>
      </c>
      <c r="H12" s="4">
        <f>'Leyton Orient'!$E$17</f>
        <v/>
      </c>
    </row>
    <row r="13">
      <c r="A13" s="3" t="inlineStr">
        <is>
          <t>Luton</t>
        </is>
      </c>
      <c r="B13" s="3">
        <f>'Luton'!$E$10</f>
        <v/>
      </c>
      <c r="C13" s="3">
        <f>'Luton'!$E$11</f>
        <v/>
      </c>
      <c r="D13" s="3">
        <f>'Luton'!$E$12</f>
        <v/>
      </c>
      <c r="E13" s="4">
        <f>'Luton'!$E$13</f>
        <v/>
      </c>
      <c r="F13" s="4">
        <f>'Luton'!$E$14</f>
        <v/>
      </c>
      <c r="G13" s="4">
        <f>'Luton'!$E$17</f>
        <v/>
      </c>
      <c r="H13" s="4">
        <f>'Luton'!$E$18</f>
        <v/>
      </c>
    </row>
    <row r="14">
      <c r="A14" s="3" t="inlineStr">
        <is>
          <t>Mansfield</t>
        </is>
      </c>
      <c r="B14" s="3">
        <f>'Mansfield'!$E$9</f>
        <v/>
      </c>
      <c r="C14" s="3">
        <f>'Mansfield'!$E$10</f>
        <v/>
      </c>
      <c r="D14" s="3">
        <f>'Mansfield'!$E$11</f>
        <v/>
      </c>
      <c r="E14" s="4">
        <f>'Mansfield'!$E$12</f>
        <v/>
      </c>
      <c r="F14" s="4">
        <f>'Mansfield'!$E$13</f>
        <v/>
      </c>
      <c r="G14" s="4">
        <f>'Mansfield'!$E$16</f>
        <v/>
      </c>
      <c r="H14" s="4">
        <f>'Mansfield'!$E$17</f>
        <v/>
      </c>
    </row>
    <row r="15">
      <c r="A15" s="3" t="inlineStr">
        <is>
          <t>Milton Keynes Dons</t>
        </is>
      </c>
      <c r="B15" s="3">
        <f>'Milton Keynes Dons'!$E$9</f>
        <v/>
      </c>
      <c r="C15" s="3">
        <f>'Milton Keynes Dons'!$E$10</f>
        <v/>
      </c>
      <c r="D15" s="3">
        <f>'Milton Keynes Dons'!$E$11</f>
        <v/>
      </c>
      <c r="E15" s="4">
        <f>'Milton Keynes Dons'!$E$12</f>
        <v/>
      </c>
      <c r="F15" s="4">
        <f>'Milton Keynes Dons'!$E$13</f>
        <v/>
      </c>
      <c r="G15" s="4">
        <f>'Milton Keynes Dons'!$E$16</f>
        <v/>
      </c>
      <c r="H15" s="4">
        <f>'Milton Keynes Dons'!$E$17</f>
        <v/>
      </c>
    </row>
    <row r="16">
      <c r="A16" s="3" t="inlineStr">
        <is>
          <t>Notts County</t>
        </is>
      </c>
      <c r="B16" s="3">
        <f>'Notts County'!$E$9</f>
        <v/>
      </c>
      <c r="C16" s="3">
        <f>'Notts County'!$E$10</f>
        <v/>
      </c>
      <c r="D16" s="3">
        <f>'Notts County'!$E$11</f>
        <v/>
      </c>
      <c r="E16" s="4">
        <f>'Notts County'!$E$12</f>
        <v/>
      </c>
      <c r="F16" s="4">
        <f>'Notts County'!$E$13</f>
        <v/>
      </c>
      <c r="G16" s="4">
        <f>'Notts County'!$E$16</f>
        <v/>
      </c>
      <c r="H16" s="4">
        <f>'Notts County'!$E$17</f>
        <v/>
      </c>
    </row>
    <row r="17">
      <c r="A17" s="3" t="inlineStr">
        <is>
          <t>Oxford United</t>
        </is>
      </c>
      <c r="B17" s="3">
        <f>'Oxford United'!$E$8</f>
        <v/>
      </c>
      <c r="C17" s="3">
        <f>'Oxford United'!$E$9</f>
        <v/>
      </c>
      <c r="D17" s="3">
        <f>'Oxford United'!$E$10</f>
        <v/>
      </c>
      <c r="E17" s="4">
        <f>'Oxford United'!$E$11</f>
        <v/>
      </c>
      <c r="F17" s="4">
        <f>'Oxford United'!$E$12</f>
        <v/>
      </c>
      <c r="G17" s="4">
        <f>'Oxford United'!$E$15</f>
        <v/>
      </c>
      <c r="H17" s="4">
        <f>'Oxford United'!$E$16</f>
        <v/>
      </c>
    </row>
    <row r="18">
      <c r="A18" s="3" t="inlineStr">
        <is>
          <t>Peterborough United</t>
        </is>
      </c>
      <c r="B18" s="3">
        <f>'Peterborough United'!$E$9</f>
        <v/>
      </c>
      <c r="C18" s="3">
        <f>'Peterborough United'!$E$10</f>
        <v/>
      </c>
      <c r="D18" s="3">
        <f>'Peterborough United'!$E$11</f>
        <v/>
      </c>
      <c r="E18" s="4">
        <f>'Peterborough United'!$E$12</f>
        <v/>
      </c>
      <c r="F18" s="4">
        <f>'Peterborough United'!$E$13</f>
        <v/>
      </c>
      <c r="G18" s="4">
        <f>'Peterborough United'!$E$16</f>
        <v/>
      </c>
      <c r="H18" s="4">
        <f>'Peterborough United'!$E$17</f>
        <v/>
      </c>
    </row>
    <row r="19">
      <c r="A19" s="3" t="inlineStr">
        <is>
          <t>Plymouth</t>
        </is>
      </c>
      <c r="B19" s="3">
        <f>'Plymouth'!$E$9</f>
        <v/>
      </c>
      <c r="C19" s="3">
        <f>'Plymouth'!$E$10</f>
        <v/>
      </c>
      <c r="D19" s="3">
        <f>'Plymouth'!$E$11</f>
        <v/>
      </c>
      <c r="E19" s="4">
        <f>'Plymouth'!$E$12</f>
        <v/>
      </c>
      <c r="F19" s="4">
        <f>'Plymouth'!$E$13</f>
        <v/>
      </c>
      <c r="G19" s="4">
        <f>'Plymouth'!$E$16</f>
        <v/>
      </c>
      <c r="H19" s="4">
        <f>'Plymouth'!$E$17</f>
        <v/>
      </c>
    </row>
    <row r="20">
      <c r="A20" s="3" t="inlineStr">
        <is>
          <t>Reading</t>
        </is>
      </c>
      <c r="B20" s="3">
        <f>'Reading'!$E$8</f>
        <v/>
      </c>
      <c r="C20" s="3">
        <f>'Reading'!$E$9</f>
        <v/>
      </c>
      <c r="D20" s="3">
        <f>'Reading'!$E$10</f>
        <v/>
      </c>
      <c r="E20" s="4">
        <f>'Reading'!$E$11</f>
        <v/>
      </c>
      <c r="F20" s="4">
        <f>'Reading'!$E$12</f>
        <v/>
      </c>
      <c r="G20" s="4">
        <f>'Reading'!$E$15</f>
        <v/>
      </c>
      <c r="H20" s="4">
        <f>'Reading'!$E$16</f>
        <v/>
      </c>
    </row>
    <row r="21">
      <c r="A21" s="3" t="inlineStr">
        <is>
          <t>Sheffield Wednesday</t>
        </is>
      </c>
      <c r="B21" s="3">
        <f>'Sheffield Wednesday'!$E$9</f>
        <v/>
      </c>
      <c r="C21" s="3">
        <f>'Sheffield Wednesday'!$E$10</f>
        <v/>
      </c>
      <c r="D21" s="3">
        <f>'Sheffield Wednesday'!$E$11</f>
        <v/>
      </c>
      <c r="E21" s="4">
        <f>'Sheffield Wednesday'!$E$12</f>
        <v/>
      </c>
      <c r="F21" s="4">
        <f>'Sheffield Wednesday'!$E$13</f>
        <v/>
      </c>
      <c r="G21" s="4">
        <f>'Sheffield Wednesday'!$E$16</f>
        <v/>
      </c>
      <c r="H21" s="4">
        <f>'Sheffield Wednesday'!$E$17</f>
        <v/>
      </c>
    </row>
    <row r="22">
      <c r="A22" s="3" t="inlineStr">
        <is>
          <t>Stevenage</t>
        </is>
      </c>
      <c r="B22" s="3">
        <f>'Stevenage'!$E$10</f>
        <v/>
      </c>
      <c r="C22" s="3">
        <f>'Stevenage'!$E$11</f>
        <v/>
      </c>
      <c r="D22" s="3">
        <f>'Stevenage'!$E$12</f>
        <v/>
      </c>
      <c r="E22" s="4">
        <f>'Stevenage'!$E$13</f>
        <v/>
      </c>
      <c r="F22" s="4">
        <f>'Stevenage'!$E$14</f>
        <v/>
      </c>
      <c r="G22" s="4">
        <f>'Stevenage'!$E$17</f>
        <v/>
      </c>
      <c r="H22" s="4">
        <f>'Stevenage'!$E$18</f>
        <v/>
      </c>
    </row>
    <row r="23">
      <c r="A23" s="3" t="inlineStr">
        <is>
          <t>Stockport County</t>
        </is>
      </c>
      <c r="B23" s="3">
        <f>'Stockport County'!$E$9</f>
        <v/>
      </c>
      <c r="C23" s="3">
        <f>'Stockport County'!$E$10</f>
        <v/>
      </c>
      <c r="D23" s="3">
        <f>'Stockport County'!$E$11</f>
        <v/>
      </c>
      <c r="E23" s="4">
        <f>'Stockport County'!$E$12</f>
        <v/>
      </c>
      <c r="F23" s="4">
        <f>'Stockport County'!$E$13</f>
        <v/>
      </c>
      <c r="G23" s="4">
        <f>'Stockport County'!$E$16</f>
        <v/>
      </c>
      <c r="H23" s="4">
        <f>'Stockport County'!$E$17</f>
        <v/>
      </c>
    </row>
    <row r="24">
      <c r="A24" s="3" t="inlineStr">
        <is>
          <t>Wigan Athletic</t>
        </is>
      </c>
      <c r="B24" s="3">
        <f>'Wigan Athletic'!$E$9</f>
        <v/>
      </c>
      <c r="C24" s="3">
        <f>'Wigan Athletic'!$E$10</f>
        <v/>
      </c>
      <c r="D24" s="3">
        <f>'Wigan Athletic'!$E$11</f>
        <v/>
      </c>
      <c r="E24" s="4">
        <f>'Wigan Athletic'!$E$12</f>
        <v/>
      </c>
      <c r="F24" s="4">
        <f>'Wigan Athletic'!$E$13</f>
        <v/>
      </c>
      <c r="G24" s="4">
        <f>'Wigan Athletic'!$E$16</f>
        <v/>
      </c>
      <c r="H24" s="4">
        <f>'Wigan Athletic'!$E$17</f>
        <v/>
      </c>
    </row>
    <row r="25">
      <c r="A25" s="3" t="inlineStr">
        <is>
          <t>Wycombe Wanderers</t>
        </is>
      </c>
      <c r="B25" s="3">
        <f>'Wycombe Wanderers'!$E$9</f>
        <v/>
      </c>
      <c r="C25" s="3">
        <f>'Wycombe Wanderers'!$E$10</f>
        <v/>
      </c>
      <c r="D25" s="3">
        <f>'Wycombe Wanderers'!$E$11</f>
        <v/>
      </c>
      <c r="E25" s="4">
        <f>'Wycombe Wanderers'!$E$12</f>
        <v/>
      </c>
      <c r="F25" s="4">
        <f>'Wycombe Wanderers'!$E$13</f>
        <v/>
      </c>
      <c r="G25" s="4">
        <f>'Wycombe Wanderers'!$E$16</f>
        <v/>
      </c>
      <c r="H25" s="4">
        <f>'Wycombe Wanderers'!$E$17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Leicester City</t>
        </is>
      </c>
      <c r="B2" s="5">
        <f>'Leicester City'!$E$14</f>
        <v/>
      </c>
      <c r="C2" s="4">
        <f>'Leicester City'!$N$2</f>
        <v/>
      </c>
      <c r="D2" s="4">
        <f>'Leicester City'!$N$3</f>
        <v/>
      </c>
      <c r="E2" s="4">
        <f>'Leicester City'!$N$4</f>
        <v/>
      </c>
      <c r="F2" s="4">
        <f>'Leicester City'!$N$5</f>
        <v/>
      </c>
      <c r="G2" s="4">
        <f>'Leicester City'!$N$6</f>
        <v/>
      </c>
      <c r="H2" s="3" t="n"/>
    </row>
    <row r="3">
      <c r="A3" s="3" t="inlineStr">
        <is>
          <t>Bromley</t>
        </is>
      </c>
      <c r="B3" s="5">
        <f>'Bromley'!$E$14</f>
        <v/>
      </c>
      <c r="C3" s="4">
        <f>'Bromley'!$N$2</f>
        <v/>
      </c>
      <c r="D3" s="4">
        <f>'Bromley'!$N$3</f>
        <v/>
      </c>
      <c r="E3" s="4">
        <f>'Bromley'!$N$4</f>
        <v/>
      </c>
      <c r="F3" s="4">
        <f>'Bromley'!$N$5</f>
        <v/>
      </c>
      <c r="G3" s="4">
        <f>'Bromley'!$N$6</f>
        <v/>
      </c>
      <c r="H3" s="3" t="n"/>
    </row>
    <row r="4">
      <c r="A4" s="3" t="inlineStr">
        <is>
          <t>Leyton Orient</t>
        </is>
      </c>
      <c r="B4" s="5">
        <f>'Leyton Orient'!$E$14</f>
        <v/>
      </c>
      <c r="C4" s="4">
        <f>'Leyton Orient'!$N$2</f>
        <v/>
      </c>
      <c r="D4" s="4">
        <f>'Leyton Orient'!$N$3</f>
        <v/>
      </c>
      <c r="E4" s="4">
        <f>'Leyton Orient'!$N$4</f>
        <v/>
      </c>
      <c r="F4" s="4">
        <f>'Leyton Orient'!$N$5</f>
        <v/>
      </c>
      <c r="G4" s="4">
        <f>'Leyton Orient'!$N$6</f>
        <v/>
      </c>
      <c r="H4" s="3" t="n"/>
    </row>
    <row r="5">
      <c r="A5" s="3" t="inlineStr">
        <is>
          <t>Plymouth</t>
        </is>
      </c>
      <c r="B5" s="5">
        <f>'Plymouth'!$E$14</f>
        <v/>
      </c>
      <c r="C5" s="4">
        <f>'Plymouth'!$N$2</f>
        <v/>
      </c>
      <c r="D5" s="4">
        <f>'Plymouth'!$N$3</f>
        <v/>
      </c>
      <c r="E5" s="4">
        <f>'Plymouth'!$N$4</f>
        <v/>
      </c>
      <c r="F5" s="4">
        <f>'Plymouth'!$N$5</f>
        <v/>
      </c>
      <c r="G5" s="4">
        <f>'Plymouth'!$N$6</f>
        <v/>
      </c>
      <c r="H5" s="3" t="n"/>
    </row>
    <row r="6">
      <c r="A6" s="3" t="inlineStr">
        <is>
          <t>Blackpool</t>
        </is>
      </c>
      <c r="B6" s="5">
        <f>'Blackpool'!$E$14</f>
        <v/>
      </c>
      <c r="C6" s="4">
        <f>'Blackpool'!$N$2</f>
        <v/>
      </c>
      <c r="D6" s="4">
        <f>'Blackpool'!$N$3</f>
        <v/>
      </c>
      <c r="E6" s="4">
        <f>'Blackpool'!$N$4</f>
        <v/>
      </c>
      <c r="F6" s="4">
        <f>'Blackpool'!$N$5</f>
        <v/>
      </c>
      <c r="G6" s="4">
        <f>'Blackpool'!$N$6</f>
        <v/>
      </c>
      <c r="H6" s="3" t="n"/>
    </row>
    <row r="7">
      <c r="A7" s="3" t="inlineStr">
        <is>
          <t>Cambridge</t>
        </is>
      </c>
      <c r="B7" s="5">
        <f>'Cambridge'!$E$14</f>
        <v/>
      </c>
      <c r="C7" s="4">
        <f>'Cambridge'!$N$2</f>
        <v/>
      </c>
      <c r="D7" s="4">
        <f>'Cambridge'!$N$3</f>
        <v/>
      </c>
      <c r="E7" s="4">
        <f>'Cambridge'!$N$4</f>
        <v/>
      </c>
      <c r="F7" s="4">
        <f>'Cambridge'!$N$5</f>
        <v/>
      </c>
      <c r="G7" s="4">
        <f>'Cambridge'!$N$6</f>
        <v/>
      </c>
      <c r="H7" s="3" t="n"/>
    </row>
    <row r="8">
      <c r="A8" s="3" t="inlineStr">
        <is>
          <t>Mansfield</t>
        </is>
      </c>
      <c r="B8" s="5">
        <f>'Mansfield'!$E$14</f>
        <v/>
      </c>
      <c r="C8" s="4">
        <f>'Mansfield'!$N$2</f>
        <v/>
      </c>
      <c r="D8" s="4">
        <f>'Mansfield'!$N$3</f>
        <v/>
      </c>
      <c r="E8" s="4">
        <f>'Mansfield'!$N$4</f>
        <v/>
      </c>
      <c r="F8" s="4">
        <f>'Mansfield'!$N$5</f>
        <v/>
      </c>
      <c r="G8" s="4">
        <f>'Mansfield'!$N$6</f>
        <v/>
      </c>
      <c r="H8" s="3" t="n"/>
    </row>
    <row r="9">
      <c r="A9" s="3" t="inlineStr">
        <is>
          <t>Wycombe Wanderers</t>
        </is>
      </c>
      <c r="B9" s="5">
        <f>'Wycombe Wanderers'!$E$14</f>
        <v/>
      </c>
      <c r="C9" s="4">
        <f>'Wycombe Wanderers'!$N$2</f>
        <v/>
      </c>
      <c r="D9" s="4">
        <f>'Wycombe Wanderers'!$N$3</f>
        <v/>
      </c>
      <c r="E9" s="4">
        <f>'Wycombe Wanderers'!$N$4</f>
        <v/>
      </c>
      <c r="F9" s="4">
        <f>'Wycombe Wanderers'!$N$5</f>
        <v/>
      </c>
      <c r="G9" s="4">
        <f>'Wycombe Wanderers'!$N$6</f>
        <v/>
      </c>
      <c r="H9" s="3" t="n"/>
    </row>
    <row r="10">
      <c r="A10" s="3" t="inlineStr">
        <is>
          <t>Burton Albion</t>
        </is>
      </c>
      <c r="B10" s="5">
        <f>'Burton Albion'!$E$14</f>
        <v/>
      </c>
      <c r="C10" s="4">
        <f>'Burton Albion'!$N$2</f>
        <v/>
      </c>
      <c r="D10" s="4">
        <f>'Burton Albion'!$N$3</f>
        <v/>
      </c>
      <c r="E10" s="4">
        <f>'Burton Albion'!$N$4</f>
        <v/>
      </c>
      <c r="F10" s="4">
        <f>'Burton Albion'!$N$5</f>
        <v/>
      </c>
      <c r="G10" s="4">
        <f>'Burton Albion'!$N$6</f>
        <v/>
      </c>
      <c r="H10" s="3" t="n"/>
    </row>
    <row r="11">
      <c r="A11" s="3" t="inlineStr">
        <is>
          <t>AFC Wimbledon</t>
        </is>
      </c>
      <c r="B11" s="5">
        <f>'AFC Wimbledon'!$E$14</f>
        <v/>
      </c>
      <c r="C11" s="4">
        <f>'AFC Wimbledon'!$N$2</f>
        <v/>
      </c>
      <c r="D11" s="4">
        <f>'AFC Wimbledon'!$N$3</f>
        <v/>
      </c>
      <c r="E11" s="4">
        <f>'AFC Wimbledon'!$N$4</f>
        <v/>
      </c>
      <c r="F11" s="4">
        <f>'AFC Wimbledon'!$N$5</f>
        <v/>
      </c>
      <c r="G11" s="4">
        <f>'AFC Wimbledon'!$N$6</f>
        <v/>
      </c>
      <c r="H11" s="3" t="n"/>
    </row>
    <row r="12">
      <c r="A12" s="3" t="inlineStr">
        <is>
          <t>Bradford City</t>
        </is>
      </c>
      <c r="B12" s="5">
        <f>'Bradford City'!$E$14</f>
        <v/>
      </c>
      <c r="C12" s="4">
        <f>'Bradford City'!$N$2</f>
        <v/>
      </c>
      <c r="D12" s="4">
        <f>'Bradford City'!$N$3</f>
        <v/>
      </c>
      <c r="E12" s="4">
        <f>'Bradford City'!$N$4</f>
        <v/>
      </c>
      <c r="F12" s="4">
        <f>'Bradford City'!$N$5</f>
        <v/>
      </c>
      <c r="G12" s="4">
        <f>'Bradford City'!$N$6</f>
        <v/>
      </c>
      <c r="H12" s="3" t="n"/>
    </row>
    <row r="13">
      <c r="A13" s="3" t="inlineStr">
        <is>
          <t>Luton</t>
        </is>
      </c>
      <c r="B13" s="5">
        <f>'Luton'!$E$15</f>
        <v/>
      </c>
      <c r="C13" s="4">
        <f>'Luton'!$N$2</f>
        <v/>
      </c>
      <c r="D13" s="4">
        <f>'Luton'!$N$3</f>
        <v/>
      </c>
      <c r="E13" s="4">
        <f>'Luton'!$N$4</f>
        <v/>
      </c>
      <c r="F13" s="4">
        <f>'Luton'!$N$5</f>
        <v/>
      </c>
      <c r="G13" s="4">
        <f>'Luton'!$N$6</f>
        <v/>
      </c>
      <c r="H13" s="4">
        <f>'Luton'!$N$7</f>
        <v/>
      </c>
    </row>
    <row r="14">
      <c r="A14" s="3" t="inlineStr">
        <is>
          <t>Barnsley</t>
        </is>
      </c>
      <c r="B14" s="5">
        <f>'Barnsley'!$E$14</f>
        <v/>
      </c>
      <c r="C14" s="4">
        <f>'Barnsley'!$N$2</f>
        <v/>
      </c>
      <c r="D14" s="4">
        <f>'Barnsley'!$N$3</f>
        <v/>
      </c>
      <c r="E14" s="4">
        <f>'Barnsley'!$N$4</f>
        <v/>
      </c>
      <c r="F14" s="4">
        <f>'Barnsley'!$N$5</f>
        <v/>
      </c>
      <c r="G14" s="4">
        <f>'Barnsley'!$N$6</f>
        <v/>
      </c>
      <c r="H14" s="3" t="n"/>
    </row>
    <row r="15">
      <c r="A15" s="3" t="inlineStr">
        <is>
          <t>Stevenage</t>
        </is>
      </c>
      <c r="B15" s="5">
        <f>'Stevenage'!$E$15</f>
        <v/>
      </c>
      <c r="C15" s="4">
        <f>'Stevenage'!$N$2</f>
        <v/>
      </c>
      <c r="D15" s="4">
        <f>'Stevenage'!$N$3</f>
        <v/>
      </c>
      <c r="E15" s="4">
        <f>'Stevenage'!$N$4</f>
        <v/>
      </c>
      <c r="F15" s="4">
        <f>'Stevenage'!$N$5</f>
        <v/>
      </c>
      <c r="G15" s="4">
        <f>'Stevenage'!$N$6</f>
        <v/>
      </c>
      <c r="H15" s="4">
        <f>'Stevenage'!$N$7</f>
        <v/>
      </c>
    </row>
    <row r="16">
      <c r="A16" s="3" t="inlineStr">
        <is>
          <t>Wigan Athletic</t>
        </is>
      </c>
      <c r="B16" s="5">
        <f>'Wigan Athletic'!$E$14</f>
        <v/>
      </c>
      <c r="C16" s="4">
        <f>'Wigan Athletic'!$N$2</f>
        <v/>
      </c>
      <c r="D16" s="4">
        <f>'Wigan Athletic'!$N$3</f>
        <v/>
      </c>
      <c r="E16" s="4">
        <f>'Wigan Athletic'!$N$4</f>
        <v/>
      </c>
      <c r="F16" s="4">
        <f>'Wigan Athletic'!$N$5</f>
        <v/>
      </c>
      <c r="G16" s="4">
        <f>'Wigan Athletic'!$N$6</f>
        <v/>
      </c>
      <c r="H16" s="3" t="n"/>
    </row>
    <row r="17">
      <c r="A17" s="3" t="inlineStr">
        <is>
          <t>Oxford United</t>
        </is>
      </c>
      <c r="B17" s="5">
        <f>'Oxford United'!$E$13</f>
        <v/>
      </c>
      <c r="C17" s="4">
        <f>'Oxford United'!$N$2</f>
        <v/>
      </c>
      <c r="D17" s="4">
        <f>'Oxford United'!$N$3</f>
        <v/>
      </c>
      <c r="E17" s="4">
        <f>'Oxford United'!$N$4</f>
        <v/>
      </c>
      <c r="F17" s="4">
        <f>'Oxford United'!$N$5</f>
        <v/>
      </c>
      <c r="G17" s="3" t="n"/>
      <c r="H17" s="3" t="n"/>
    </row>
    <row r="18">
      <c r="A18" s="3" t="inlineStr">
        <is>
          <t>Huddersfield Town</t>
        </is>
      </c>
      <c r="B18" s="5">
        <f>'Huddersfield Town'!$E$14</f>
        <v/>
      </c>
      <c r="C18" s="4">
        <f>'Huddersfield Town'!$N$2</f>
        <v/>
      </c>
      <c r="D18" s="4">
        <f>'Huddersfield Town'!$N$3</f>
        <v/>
      </c>
      <c r="E18" s="4">
        <f>'Huddersfield Town'!$N$4</f>
        <v/>
      </c>
      <c r="F18" s="4">
        <f>'Huddersfield Town'!$N$5</f>
        <v/>
      </c>
      <c r="G18" s="4">
        <f>'Huddersfield Town'!$N$6</f>
        <v/>
      </c>
      <c r="H18" s="3" t="n"/>
    </row>
    <row r="19">
      <c r="A19" s="3" t="inlineStr">
        <is>
          <t>Milton Keynes Dons</t>
        </is>
      </c>
      <c r="B19" s="5">
        <f>'Milton Keynes Dons'!$E$14</f>
        <v/>
      </c>
      <c r="C19" s="4">
        <f>'Milton Keynes Dons'!$N$2</f>
        <v/>
      </c>
      <c r="D19" s="4">
        <f>'Milton Keynes Dons'!$N$3</f>
        <v/>
      </c>
      <c r="E19" s="4">
        <f>'Milton Keynes Dons'!$N$4</f>
        <v/>
      </c>
      <c r="F19" s="4">
        <f>'Milton Keynes Dons'!$N$5</f>
        <v/>
      </c>
      <c r="G19" s="4">
        <f>'Milton Keynes Dons'!$N$6</f>
        <v/>
      </c>
      <c r="H19" s="3" t="n"/>
    </row>
    <row r="20">
      <c r="A20" s="3" t="inlineStr">
        <is>
          <t>Peterborough United</t>
        </is>
      </c>
      <c r="B20" s="5">
        <f>'Peterborough United'!$E$14</f>
        <v/>
      </c>
      <c r="C20" s="4">
        <f>'Peterborough United'!$N$2</f>
        <v/>
      </c>
      <c r="D20" s="4">
        <f>'Peterborough United'!$N$3</f>
        <v/>
      </c>
      <c r="E20" s="4">
        <f>'Peterborough United'!$N$4</f>
        <v/>
      </c>
      <c r="F20" s="4">
        <f>'Peterborough United'!$N$5</f>
        <v/>
      </c>
      <c r="G20" s="4">
        <f>'Peterborough United'!$N$6</f>
        <v/>
      </c>
      <c r="H20" s="3" t="n"/>
    </row>
    <row r="21">
      <c r="A21" s="3" t="inlineStr">
        <is>
          <t>Doncaster Rovers</t>
        </is>
      </c>
      <c r="B21" s="5">
        <f>'Doncaster Rovers'!$E$14</f>
        <v/>
      </c>
      <c r="C21" s="4">
        <f>'Doncaster Rovers'!$N$2</f>
        <v/>
      </c>
      <c r="D21" s="4">
        <f>'Doncaster Rovers'!$N$3</f>
        <v/>
      </c>
      <c r="E21" s="4">
        <f>'Doncaster Rovers'!$N$4</f>
        <v/>
      </c>
      <c r="F21" s="4">
        <f>'Doncaster Rovers'!$N$5</f>
        <v/>
      </c>
      <c r="G21" s="4">
        <f>'Doncaster Rovers'!$N$6</f>
        <v/>
      </c>
      <c r="H21" s="3" t="n"/>
    </row>
    <row r="22">
      <c r="A22" s="3" t="inlineStr">
        <is>
          <t>Stockport County</t>
        </is>
      </c>
      <c r="B22" s="5">
        <f>'Stockport County'!$E$14</f>
        <v/>
      </c>
      <c r="C22" s="4">
        <f>'Stockport County'!$N$2</f>
        <v/>
      </c>
      <c r="D22" s="4">
        <f>'Stockport County'!$N$3</f>
        <v/>
      </c>
      <c r="E22" s="4">
        <f>'Stockport County'!$N$4</f>
        <v/>
      </c>
      <c r="F22" s="4">
        <f>'Stockport County'!$N$5</f>
        <v/>
      </c>
      <c r="G22" s="4">
        <f>'Stockport County'!$N$6</f>
        <v/>
      </c>
      <c r="H22" s="3" t="n"/>
    </row>
    <row r="23">
      <c r="A23" s="3" t="inlineStr">
        <is>
          <t>Notts County</t>
        </is>
      </c>
      <c r="B23" s="5">
        <f>'Notts County'!$E$14</f>
        <v/>
      </c>
      <c r="C23" s="4">
        <f>'Notts County'!$N$2</f>
        <v/>
      </c>
      <c r="D23" s="4">
        <f>'Notts County'!$N$3</f>
        <v/>
      </c>
      <c r="E23" s="4">
        <f>'Notts County'!$N$4</f>
        <v/>
      </c>
      <c r="F23" s="4">
        <f>'Notts County'!$N$5</f>
        <v/>
      </c>
      <c r="G23" s="4">
        <f>'Notts County'!$N$6</f>
        <v/>
      </c>
      <c r="H23" s="3" t="n"/>
    </row>
    <row r="24">
      <c r="A24" s="3" t="inlineStr">
        <is>
          <t>Sheffield Wednesday</t>
        </is>
      </c>
      <c r="B24" s="5">
        <f>'Sheffield Wednesday'!$E$14</f>
        <v/>
      </c>
      <c r="C24" s="4">
        <f>'Sheffield Wednesday'!$N$2</f>
        <v/>
      </c>
      <c r="D24" s="4">
        <f>'Sheffield Wednesday'!$N$3</f>
        <v/>
      </c>
      <c r="E24" s="4">
        <f>'Sheffield Wednesday'!$N$4</f>
        <v/>
      </c>
      <c r="F24" s="4">
        <f>'Sheffield Wednesday'!$N$5</f>
        <v/>
      </c>
      <c r="G24" s="4">
        <f>'Sheffield Wednesday'!$N$6</f>
        <v/>
      </c>
      <c r="H24" s="3" t="n"/>
    </row>
    <row r="25">
      <c r="A25" s="3" t="inlineStr">
        <is>
          <t>Reading</t>
        </is>
      </c>
      <c r="B25" s="5">
        <f>'Reading'!$E$13</f>
        <v/>
      </c>
      <c r="C25" s="4">
        <f>'Reading'!$N$2</f>
        <v/>
      </c>
      <c r="D25" s="4">
        <f>'Reading'!$N$3</f>
        <v/>
      </c>
      <c r="E25" s="4">
        <f>'Reading'!$N$4</f>
        <v/>
      </c>
      <c r="F25" s="4">
        <f>'Reading'!$N$5</f>
        <v/>
      </c>
      <c r="G25" s="3" t="n"/>
      <c r="H25" s="3" t="n"/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Stevenage</t>
        </is>
      </c>
      <c r="B2" s="5">
        <f>'Stevenage'!$E$16</f>
        <v/>
      </c>
      <c r="C2" s="4">
        <f>'Stevenage'!$O$2</f>
        <v/>
      </c>
      <c r="D2" s="4">
        <f>'Stevenage'!$O$3</f>
        <v/>
      </c>
      <c r="E2" s="4">
        <f>'Stevenage'!$O$4</f>
        <v/>
      </c>
      <c r="F2" s="4">
        <f>'Stevenage'!$O$5</f>
        <v/>
      </c>
      <c r="G2" s="4">
        <f>'Stevenage'!$O$6</f>
        <v/>
      </c>
      <c r="H2" s="4">
        <f>'Stevenage'!$O$7</f>
        <v/>
      </c>
    </row>
    <row r="3">
      <c r="A3" s="3" t="inlineStr">
        <is>
          <t>AFC Wimbledon</t>
        </is>
      </c>
      <c r="B3" s="5">
        <f>'AFC Wimbledon'!$E$15</f>
        <v/>
      </c>
      <c r="C3" s="4">
        <f>'AFC Wimbledon'!$O$2</f>
        <v/>
      </c>
      <c r="D3" s="4">
        <f>'AFC Wimbledon'!$O$3</f>
        <v/>
      </c>
      <c r="E3" s="4">
        <f>'AFC Wimbledon'!$O$4</f>
        <v/>
      </c>
      <c r="F3" s="4">
        <f>'AFC Wimbledon'!$O$5</f>
        <v/>
      </c>
      <c r="G3" s="4">
        <f>'AFC Wimbledon'!$O$6</f>
        <v/>
      </c>
      <c r="H3" s="3" t="n"/>
    </row>
    <row r="4">
      <c r="A4" s="3" t="inlineStr">
        <is>
          <t>Bradford City</t>
        </is>
      </c>
      <c r="B4" s="5">
        <f>'Bradford City'!$E$15</f>
        <v/>
      </c>
      <c r="C4" s="4">
        <f>'Bradford City'!$O$2</f>
        <v/>
      </c>
      <c r="D4" s="4">
        <f>'Bradford City'!$O$3</f>
        <v/>
      </c>
      <c r="E4" s="4">
        <f>'Bradford City'!$O$4</f>
        <v/>
      </c>
      <c r="F4" s="4">
        <f>'Bradford City'!$O$5</f>
        <v/>
      </c>
      <c r="G4" s="4">
        <f>'Bradford City'!$O$6</f>
        <v/>
      </c>
      <c r="H4" s="3" t="n"/>
    </row>
    <row r="5">
      <c r="A5" s="3" t="inlineStr">
        <is>
          <t>Burton Albion</t>
        </is>
      </c>
      <c r="B5" s="5">
        <f>'Burton Albion'!$E$15</f>
        <v/>
      </c>
      <c r="C5" s="4">
        <f>'Burton Albion'!$O$2</f>
        <v/>
      </c>
      <c r="D5" s="4">
        <f>'Burton Albion'!$O$3</f>
        <v/>
      </c>
      <c r="E5" s="4">
        <f>'Burton Albion'!$O$4</f>
        <v/>
      </c>
      <c r="F5" s="4">
        <f>'Burton Albion'!$O$5</f>
        <v/>
      </c>
      <c r="G5" s="4">
        <f>'Burton Albion'!$O$6</f>
        <v/>
      </c>
      <c r="H5" s="3" t="n"/>
    </row>
    <row r="6">
      <c r="A6" s="3" t="inlineStr">
        <is>
          <t>Leicester City</t>
        </is>
      </c>
      <c r="B6" s="5">
        <f>'Leicester City'!$E$15</f>
        <v/>
      </c>
      <c r="C6" s="4">
        <f>'Leicester City'!$O$2</f>
        <v/>
      </c>
      <c r="D6" s="4">
        <f>'Leicester City'!$O$3</f>
        <v/>
      </c>
      <c r="E6" s="4">
        <f>'Leicester City'!$O$4</f>
        <v/>
      </c>
      <c r="F6" s="4">
        <f>'Leicester City'!$O$5</f>
        <v/>
      </c>
      <c r="G6" s="4">
        <f>'Leicester City'!$O$6</f>
        <v/>
      </c>
      <c r="H6" s="3" t="n"/>
    </row>
    <row r="7">
      <c r="A7" s="3" t="inlineStr">
        <is>
          <t>Luton</t>
        </is>
      </c>
      <c r="B7" s="5">
        <f>'Luton'!$E$16</f>
        <v/>
      </c>
      <c r="C7" s="4">
        <f>'Luton'!$O$2</f>
        <v/>
      </c>
      <c r="D7" s="4">
        <f>'Luton'!$O$3</f>
        <v/>
      </c>
      <c r="E7" s="4">
        <f>'Luton'!$O$4</f>
        <v/>
      </c>
      <c r="F7" s="4">
        <f>'Luton'!$O$5</f>
        <v/>
      </c>
      <c r="G7" s="4">
        <f>'Luton'!$O$6</f>
        <v/>
      </c>
      <c r="H7" s="4">
        <f>'Luton'!$O$7</f>
        <v/>
      </c>
    </row>
    <row r="8">
      <c r="A8" s="3" t="inlineStr">
        <is>
          <t>Notts County</t>
        </is>
      </c>
      <c r="B8" s="5">
        <f>'Notts County'!$E$15</f>
        <v/>
      </c>
      <c r="C8" s="4">
        <f>'Notts County'!$O$2</f>
        <v/>
      </c>
      <c r="D8" s="4">
        <f>'Notts County'!$O$3</f>
        <v/>
      </c>
      <c r="E8" s="4">
        <f>'Notts County'!$O$4</f>
        <v/>
      </c>
      <c r="F8" s="4">
        <f>'Notts County'!$O$5</f>
        <v/>
      </c>
      <c r="G8" s="4">
        <f>'Notts County'!$O$6</f>
        <v/>
      </c>
      <c r="H8" s="3" t="n"/>
    </row>
    <row r="9">
      <c r="A9" s="3" t="inlineStr">
        <is>
          <t>Doncaster Rovers</t>
        </is>
      </c>
      <c r="B9" s="5">
        <f>'Doncaster Rovers'!$E$15</f>
        <v/>
      </c>
      <c r="C9" s="4">
        <f>'Doncaster Rovers'!$O$2</f>
        <v/>
      </c>
      <c r="D9" s="4">
        <f>'Doncaster Rovers'!$O$3</f>
        <v/>
      </c>
      <c r="E9" s="4">
        <f>'Doncaster Rovers'!$O$4</f>
        <v/>
      </c>
      <c r="F9" s="4">
        <f>'Doncaster Rovers'!$O$5</f>
        <v/>
      </c>
      <c r="G9" s="4">
        <f>'Doncaster Rovers'!$O$6</f>
        <v/>
      </c>
      <c r="H9" s="3" t="n"/>
    </row>
    <row r="10">
      <c r="A10" s="3" t="inlineStr">
        <is>
          <t>Peterborough United</t>
        </is>
      </c>
      <c r="B10" s="5">
        <f>'Peterborough United'!$E$15</f>
        <v/>
      </c>
      <c r="C10" s="4">
        <f>'Peterborough United'!$O$2</f>
        <v/>
      </c>
      <c r="D10" s="4">
        <f>'Peterborough United'!$O$3</f>
        <v/>
      </c>
      <c r="E10" s="4">
        <f>'Peterborough United'!$O$4</f>
        <v/>
      </c>
      <c r="F10" s="4">
        <f>'Peterborough United'!$O$5</f>
        <v/>
      </c>
      <c r="G10" s="4">
        <f>'Peterborough United'!$O$6</f>
        <v/>
      </c>
      <c r="H10" s="3" t="n"/>
    </row>
    <row r="11">
      <c r="A11" s="3" t="inlineStr">
        <is>
          <t>Mansfield</t>
        </is>
      </c>
      <c r="B11" s="5">
        <f>'Mansfield'!$E$15</f>
        <v/>
      </c>
      <c r="C11" s="4">
        <f>'Mansfield'!$O$2</f>
        <v/>
      </c>
      <c r="D11" s="4">
        <f>'Mansfield'!$O$3</f>
        <v/>
      </c>
      <c r="E11" s="4">
        <f>'Mansfield'!$O$4</f>
        <v/>
      </c>
      <c r="F11" s="4">
        <f>'Mansfield'!$O$5</f>
        <v/>
      </c>
      <c r="G11" s="4">
        <f>'Mansfield'!$O$6</f>
        <v/>
      </c>
      <c r="H11" s="3" t="n"/>
    </row>
    <row r="12">
      <c r="A12" s="3" t="inlineStr">
        <is>
          <t>Bromley</t>
        </is>
      </c>
      <c r="B12" s="5">
        <f>'Bromley'!$E$15</f>
        <v/>
      </c>
      <c r="C12" s="4">
        <f>'Bromley'!$O$2</f>
        <v/>
      </c>
      <c r="D12" s="4">
        <f>'Bromley'!$O$3</f>
        <v/>
      </c>
      <c r="E12" s="4">
        <f>'Bromley'!$O$4</f>
        <v/>
      </c>
      <c r="F12" s="4">
        <f>'Bromley'!$O$5</f>
        <v/>
      </c>
      <c r="G12" s="4">
        <f>'Bromley'!$O$6</f>
        <v/>
      </c>
      <c r="H12" s="3" t="n"/>
    </row>
    <row r="13">
      <c r="A13" s="3" t="inlineStr">
        <is>
          <t>Plymouth</t>
        </is>
      </c>
      <c r="B13" s="5">
        <f>'Plymouth'!$E$15</f>
        <v/>
      </c>
      <c r="C13" s="4">
        <f>'Plymouth'!$O$2</f>
        <v/>
      </c>
      <c r="D13" s="4">
        <f>'Plymouth'!$O$3</f>
        <v/>
      </c>
      <c r="E13" s="4">
        <f>'Plymouth'!$O$4</f>
        <v/>
      </c>
      <c r="F13" s="4">
        <f>'Plymouth'!$O$5</f>
        <v/>
      </c>
      <c r="G13" s="4">
        <f>'Plymouth'!$O$6</f>
        <v/>
      </c>
      <c r="H13" s="3" t="n"/>
    </row>
    <row r="14">
      <c r="A14" s="3" t="inlineStr">
        <is>
          <t>Leyton Orient</t>
        </is>
      </c>
      <c r="B14" s="5">
        <f>'Leyton Orient'!$E$15</f>
        <v/>
      </c>
      <c r="C14" s="4">
        <f>'Leyton Orient'!$O$2</f>
        <v/>
      </c>
      <c r="D14" s="4">
        <f>'Leyton Orient'!$O$3</f>
        <v/>
      </c>
      <c r="E14" s="4">
        <f>'Leyton Orient'!$O$4</f>
        <v/>
      </c>
      <c r="F14" s="4">
        <f>'Leyton Orient'!$O$5</f>
        <v/>
      </c>
      <c r="G14" s="4">
        <f>'Leyton Orient'!$O$6</f>
        <v/>
      </c>
      <c r="H14" s="3" t="n"/>
    </row>
    <row r="15">
      <c r="A15" s="3" t="inlineStr">
        <is>
          <t>Cambridge</t>
        </is>
      </c>
      <c r="B15" s="5">
        <f>'Cambridge'!$E$15</f>
        <v/>
      </c>
      <c r="C15" s="4">
        <f>'Cambridge'!$O$2</f>
        <v/>
      </c>
      <c r="D15" s="4">
        <f>'Cambridge'!$O$3</f>
        <v/>
      </c>
      <c r="E15" s="4">
        <f>'Cambridge'!$O$4</f>
        <v/>
      </c>
      <c r="F15" s="4">
        <f>'Cambridge'!$O$5</f>
        <v/>
      </c>
      <c r="G15" s="4">
        <f>'Cambridge'!$O$6</f>
        <v/>
      </c>
      <c r="H15" s="3" t="n"/>
    </row>
    <row r="16">
      <c r="A16" s="3" t="inlineStr">
        <is>
          <t>Huddersfield Town</t>
        </is>
      </c>
      <c r="B16" s="5">
        <f>'Huddersfield Town'!$E$15</f>
        <v/>
      </c>
      <c r="C16" s="4">
        <f>'Huddersfield Town'!$O$2</f>
        <v/>
      </c>
      <c r="D16" s="4">
        <f>'Huddersfield Town'!$O$3</f>
        <v/>
      </c>
      <c r="E16" s="4">
        <f>'Huddersfield Town'!$O$4</f>
        <v/>
      </c>
      <c r="F16" s="4">
        <f>'Huddersfield Town'!$O$5</f>
        <v/>
      </c>
      <c r="G16" s="4">
        <f>'Huddersfield Town'!$O$6</f>
        <v/>
      </c>
      <c r="H16" s="3" t="n"/>
    </row>
    <row r="17">
      <c r="A17" s="3" t="inlineStr">
        <is>
          <t>Barnsley</t>
        </is>
      </c>
      <c r="B17" s="5">
        <f>'Barnsley'!$E$15</f>
        <v/>
      </c>
      <c r="C17" s="4">
        <f>'Barnsley'!$O$2</f>
        <v/>
      </c>
      <c r="D17" s="4">
        <f>'Barnsley'!$O$3</f>
        <v/>
      </c>
      <c r="E17" s="4">
        <f>'Barnsley'!$O$4</f>
        <v/>
      </c>
      <c r="F17" s="4">
        <f>'Barnsley'!$O$5</f>
        <v/>
      </c>
      <c r="G17" s="4">
        <f>'Barnsley'!$O$6</f>
        <v/>
      </c>
      <c r="H17" s="3" t="n"/>
    </row>
    <row r="18">
      <c r="A18" s="3" t="inlineStr">
        <is>
          <t>Wycombe Wanderers</t>
        </is>
      </c>
      <c r="B18" s="5">
        <f>'Wycombe Wanderers'!$E$15</f>
        <v/>
      </c>
      <c r="C18" s="4">
        <f>'Wycombe Wanderers'!$O$2</f>
        <v/>
      </c>
      <c r="D18" s="4">
        <f>'Wycombe Wanderers'!$O$3</f>
        <v/>
      </c>
      <c r="E18" s="4">
        <f>'Wycombe Wanderers'!$O$4</f>
        <v/>
      </c>
      <c r="F18" s="4">
        <f>'Wycombe Wanderers'!$O$5</f>
        <v/>
      </c>
      <c r="G18" s="4">
        <f>'Wycombe Wanderers'!$O$6</f>
        <v/>
      </c>
      <c r="H18" s="3" t="n"/>
    </row>
    <row r="19">
      <c r="A19" s="3" t="inlineStr">
        <is>
          <t>Stockport County</t>
        </is>
      </c>
      <c r="B19" s="5">
        <f>'Stockport County'!$E$15</f>
        <v/>
      </c>
      <c r="C19" s="4">
        <f>'Stockport County'!$O$2</f>
        <v/>
      </c>
      <c r="D19" s="4">
        <f>'Stockport County'!$O$3</f>
        <v/>
      </c>
      <c r="E19" s="4">
        <f>'Stockport County'!$O$4</f>
        <v/>
      </c>
      <c r="F19" s="4">
        <f>'Stockport County'!$O$5</f>
        <v/>
      </c>
      <c r="G19" s="4">
        <f>'Stockport County'!$O$6</f>
        <v/>
      </c>
      <c r="H19" s="3" t="n"/>
    </row>
    <row r="20">
      <c r="A20" s="3" t="inlineStr">
        <is>
          <t>Reading</t>
        </is>
      </c>
      <c r="B20" s="5">
        <f>'Reading'!$E$14</f>
        <v/>
      </c>
      <c r="C20" s="4">
        <f>'Reading'!$O$2</f>
        <v/>
      </c>
      <c r="D20" s="4">
        <f>'Reading'!$O$3</f>
        <v/>
      </c>
      <c r="E20" s="4">
        <f>'Reading'!$O$4</f>
        <v/>
      </c>
      <c r="F20" s="4">
        <f>'Reading'!$O$5</f>
        <v/>
      </c>
      <c r="G20" s="3" t="n"/>
      <c r="H20" s="3" t="n"/>
    </row>
    <row r="21">
      <c r="A21" s="3" t="inlineStr">
        <is>
          <t>Milton Keynes Dons</t>
        </is>
      </c>
      <c r="B21" s="5">
        <f>'Milton Keynes Dons'!$E$15</f>
        <v/>
      </c>
      <c r="C21" s="4">
        <f>'Milton Keynes Dons'!$O$2</f>
        <v/>
      </c>
      <c r="D21" s="4">
        <f>'Milton Keynes Dons'!$O$3</f>
        <v/>
      </c>
      <c r="E21" s="4">
        <f>'Milton Keynes Dons'!$O$4</f>
        <v/>
      </c>
      <c r="F21" s="4">
        <f>'Milton Keynes Dons'!$O$5</f>
        <v/>
      </c>
      <c r="G21" s="4">
        <f>'Milton Keynes Dons'!$O$6</f>
        <v/>
      </c>
      <c r="H21" s="3" t="n"/>
    </row>
    <row r="22">
      <c r="A22" s="3" t="inlineStr">
        <is>
          <t>Oxford United</t>
        </is>
      </c>
      <c r="B22" s="5">
        <f>'Oxford United'!$E$14</f>
        <v/>
      </c>
      <c r="C22" s="4">
        <f>'Oxford United'!$O$2</f>
        <v/>
      </c>
      <c r="D22" s="4">
        <f>'Oxford United'!$O$3</f>
        <v/>
      </c>
      <c r="E22" s="4">
        <f>'Oxford United'!$O$4</f>
        <v/>
      </c>
      <c r="F22" s="4">
        <f>'Oxford United'!$O$5</f>
        <v/>
      </c>
      <c r="G22" s="3" t="n"/>
      <c r="H22" s="3" t="n"/>
    </row>
    <row r="23">
      <c r="A23" s="3" t="inlineStr">
        <is>
          <t>Sheffield Wednesday</t>
        </is>
      </c>
      <c r="B23" s="5">
        <f>'Sheffield Wednesday'!$E$15</f>
        <v/>
      </c>
      <c r="C23" s="4">
        <f>'Sheffield Wednesday'!$O$2</f>
        <v/>
      </c>
      <c r="D23" s="4">
        <f>'Sheffield Wednesday'!$O$3</f>
        <v/>
      </c>
      <c r="E23" s="4">
        <f>'Sheffield Wednesday'!$O$4</f>
        <v/>
      </c>
      <c r="F23" s="4">
        <f>'Sheffield Wednesday'!$O$5</f>
        <v/>
      </c>
      <c r="G23" s="4">
        <f>'Sheffield Wednesday'!$O$6</f>
        <v/>
      </c>
      <c r="H23" s="3" t="n"/>
    </row>
    <row r="24">
      <c r="A24" s="3" t="inlineStr">
        <is>
          <t>Wigan Athletic</t>
        </is>
      </c>
      <c r="B24" s="5">
        <f>'Wigan Athletic'!$E$15</f>
        <v/>
      </c>
      <c r="C24" s="4">
        <f>'Wigan Athletic'!$O$2</f>
        <v/>
      </c>
      <c r="D24" s="4">
        <f>'Wigan Athletic'!$O$3</f>
        <v/>
      </c>
      <c r="E24" s="4">
        <f>'Wigan Athletic'!$O$4</f>
        <v/>
      </c>
      <c r="F24" s="4">
        <f>'Wigan Athletic'!$O$5</f>
        <v/>
      </c>
      <c r="G24" s="4">
        <f>'Wigan Athletic'!$O$6</f>
        <v/>
      </c>
      <c r="H24" s="3" t="n"/>
    </row>
    <row r="25">
      <c r="A25" s="3" t="inlineStr">
        <is>
          <t>Blackpool</t>
        </is>
      </c>
      <c r="B25" s="5">
        <f>'Blackpool'!$E$15</f>
        <v/>
      </c>
      <c r="C25" s="4">
        <f>'Blackpool'!$O$2</f>
        <v/>
      </c>
      <c r="D25" s="4">
        <f>'Blackpool'!$O$3</f>
        <v/>
      </c>
      <c r="E25" s="4">
        <f>'Blackpool'!$O$4</f>
        <v/>
      </c>
      <c r="F25" s="4">
        <f>'Blackpool'!$O$5</f>
        <v/>
      </c>
      <c r="G25" s="4">
        <f>'Blackpool'!$O$6</f>
        <v/>
      </c>
      <c r="H25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Huddersfield Town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0.97</v>
      </c>
      <c r="G2" s="4" t="n">
        <v>1.91</v>
      </c>
      <c r="H2" s="4" t="n">
        <v>0.38</v>
      </c>
      <c r="I2" s="4" t="n">
        <v>1.24</v>
      </c>
      <c r="J2" s="4" t="n">
        <v>-0.59</v>
      </c>
      <c r="K2" s="4" t="n">
        <v>-0.67</v>
      </c>
      <c r="L2" s="4" t="n">
        <v>-0.59</v>
      </c>
      <c r="M2" s="4" t="n">
        <v>-0.67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Reading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1.3</v>
      </c>
      <c r="G3" s="4" t="n">
        <v>1.28</v>
      </c>
      <c r="H3" s="4" t="n">
        <v>0.37</v>
      </c>
      <c r="I3" s="4" t="n">
        <v>1.28</v>
      </c>
      <c r="J3" s="4" t="n">
        <v>-0.93</v>
      </c>
      <c r="K3" s="4" t="n">
        <v>0</v>
      </c>
      <c r="L3" s="4" t="n">
        <v>-0.76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Wigan Athletic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1.11</v>
      </c>
      <c r="G4" s="4" t="n">
        <v>1.39</v>
      </c>
      <c r="H4" s="4" t="n">
        <v>1.21</v>
      </c>
      <c r="I4" s="4" t="n">
        <v>2.96</v>
      </c>
      <c r="J4" s="4" t="n">
        <v>0.1</v>
      </c>
      <c r="K4" s="4" t="n">
        <v>1.57</v>
      </c>
      <c r="L4" s="4" t="n">
        <v>-0.47</v>
      </c>
      <c r="M4" s="4" t="n">
        <v>0.3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Burton Albion</t>
        </is>
      </c>
      <c r="C5" s="3" t="inlineStr">
        <is>
          <t>Away</t>
        </is>
      </c>
      <c r="D5" s="3" t="n">
        <v>1</v>
      </c>
      <c r="E5" s="3" t="n">
        <v>4</v>
      </c>
      <c r="F5" s="4" t="n">
        <v>0.99</v>
      </c>
      <c r="G5" s="4" t="n">
        <v>1.53</v>
      </c>
      <c r="H5" s="4" t="n">
        <v>1.34</v>
      </c>
      <c r="I5" s="4" t="n">
        <v>0.92</v>
      </c>
      <c r="J5" s="4" t="n">
        <v>0.35</v>
      </c>
      <c r="K5" s="4" t="n">
        <v>-0.61</v>
      </c>
      <c r="L5" s="4" t="n">
        <v>-0.27</v>
      </c>
      <c r="M5" s="4" t="n">
        <v>0.07000000000000001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Bromley</t>
        </is>
      </c>
      <c r="C6" s="3" t="inlineStr">
        <is>
          <t>Away</t>
        </is>
      </c>
      <c r="D6" s="3" t="n">
        <v>2</v>
      </c>
      <c r="E6" s="3" t="n">
        <v>0</v>
      </c>
      <c r="F6" s="4" t="n">
        <v>1.24</v>
      </c>
      <c r="G6" s="4" t="n">
        <v>1.39</v>
      </c>
      <c r="H6" s="4" t="n">
        <v>1.22</v>
      </c>
      <c r="I6" s="4" t="n">
        <v>0.55</v>
      </c>
      <c r="J6" s="4" t="n">
        <v>-0.02</v>
      </c>
      <c r="K6" s="4" t="n">
        <v>-0.84</v>
      </c>
      <c r="L6" s="4" t="n">
        <v>-0.22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Bromley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1.55</v>
      </c>
      <c r="G2" s="4" t="n">
        <v>1.17</v>
      </c>
      <c r="H2" s="4" t="n">
        <v>1.32</v>
      </c>
      <c r="I2" s="4" t="n">
        <v>1.42</v>
      </c>
      <c r="J2" s="4" t="n">
        <v>-0.23</v>
      </c>
      <c r="K2" s="4" t="n">
        <v>0.25</v>
      </c>
      <c r="L2" s="4" t="n">
        <v>-0.23</v>
      </c>
      <c r="M2" s="4" t="n">
        <v>0.25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Doncaster Rovers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1.21</v>
      </c>
      <c r="G3" s="4" t="n">
        <v>1.68</v>
      </c>
      <c r="H3" s="4" t="n">
        <v>0.45</v>
      </c>
      <c r="I3" s="4" t="n">
        <v>1.82</v>
      </c>
      <c r="J3" s="4" t="n">
        <v>-0.76</v>
      </c>
      <c r="K3" s="4" t="n">
        <v>0.14</v>
      </c>
      <c r="L3" s="4" t="n">
        <v>-0.5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Leyton Orient</t>
        </is>
      </c>
      <c r="C4" s="3" t="inlineStr">
        <is>
          <t>Away</t>
        </is>
      </c>
      <c r="D4" s="3" t="n">
        <v>3</v>
      </c>
      <c r="E4" s="3" t="n">
        <v>1</v>
      </c>
      <c r="F4" s="4" t="n">
        <v>1.26</v>
      </c>
      <c r="G4" s="4" t="n">
        <v>1.53</v>
      </c>
      <c r="H4" s="4" t="n">
        <v>2.13</v>
      </c>
      <c r="I4" s="4" t="n">
        <v>0.62</v>
      </c>
      <c r="J4" s="4" t="n">
        <v>0.86</v>
      </c>
      <c r="K4" s="4" t="n">
        <v>-0.91</v>
      </c>
      <c r="L4" s="4" t="n">
        <v>-0.04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Blackpool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1.6</v>
      </c>
      <c r="G5" s="4" t="n">
        <v>1.3</v>
      </c>
      <c r="H5" s="4" t="n">
        <v>2.43</v>
      </c>
      <c r="I5" s="4" t="n">
        <v>2.08</v>
      </c>
      <c r="J5" s="4" t="n">
        <v>0.83</v>
      </c>
      <c r="K5" s="4" t="n">
        <v>0.78</v>
      </c>
      <c r="L5" s="4" t="n">
        <v>0.18</v>
      </c>
      <c r="M5" s="4" t="n">
        <v>0.06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Stevenage</t>
        </is>
      </c>
      <c r="C6" s="3" t="inlineStr">
        <is>
          <t>Home</t>
        </is>
      </c>
      <c r="D6" s="3" t="n">
        <v>1</v>
      </c>
      <c r="E6" s="3" t="n">
        <v>5</v>
      </c>
      <c r="F6" s="4" t="n">
        <v>1.5</v>
      </c>
      <c r="G6" s="4" t="n">
        <v>1.11</v>
      </c>
      <c r="H6" s="4" t="n">
        <v>1.79</v>
      </c>
      <c r="I6" s="4" t="n">
        <v>1.98</v>
      </c>
      <c r="J6" s="4" t="n">
        <v>0.29</v>
      </c>
      <c r="K6" s="4" t="n">
        <v>0.87</v>
      </c>
      <c r="L6" s="4" t="n">
        <v>0.2</v>
      </c>
      <c r="M6" s="4" t="n">
        <v>0.22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Wycombe Wanderers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1.36</v>
      </c>
      <c r="G2" s="4" t="n">
        <v>1.3</v>
      </c>
      <c r="H2" s="4" t="n">
        <v>2.37</v>
      </c>
      <c r="I2" s="4" t="n">
        <v>1.29</v>
      </c>
      <c r="J2" s="4" t="n">
        <v>1.01</v>
      </c>
      <c r="K2" s="4" t="n">
        <v>-0.01</v>
      </c>
      <c r="L2" s="4" t="n">
        <v>1.01</v>
      </c>
      <c r="M2" s="4" t="n">
        <v>-0.01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Stockport County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0.92</v>
      </c>
      <c r="G3" s="4" t="n">
        <v>1.88</v>
      </c>
      <c r="H3" s="4" t="n">
        <v>1.79</v>
      </c>
      <c r="I3" s="4" t="n">
        <v>3.54</v>
      </c>
      <c r="J3" s="4" t="n">
        <v>0.87</v>
      </c>
      <c r="K3" s="4" t="n">
        <v>1.66</v>
      </c>
      <c r="L3" s="4" t="n">
        <v>0.9399999999999999</v>
      </c>
      <c r="M3" s="4" t="n">
        <v>0.83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Peterborough United</t>
        </is>
      </c>
      <c r="C4" s="3" t="inlineStr">
        <is>
          <t>Home</t>
        </is>
      </c>
      <c r="D4" s="3" t="n">
        <v>4</v>
      </c>
      <c r="E4" s="3" t="n">
        <v>0</v>
      </c>
      <c r="F4" s="4" t="n">
        <v>1.89</v>
      </c>
      <c r="G4" s="4" t="n">
        <v>1.14</v>
      </c>
      <c r="H4" s="4" t="n">
        <v>2.68</v>
      </c>
      <c r="I4" s="4" t="n">
        <v>1.46</v>
      </c>
      <c r="J4" s="4" t="n">
        <v>0.79</v>
      </c>
      <c r="K4" s="4" t="n">
        <v>0.32</v>
      </c>
      <c r="L4" s="4" t="n">
        <v>0.89</v>
      </c>
      <c r="M4" s="4" t="n">
        <v>0.66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Barnsley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1.3</v>
      </c>
      <c r="G5" s="4" t="n">
        <v>1.6</v>
      </c>
      <c r="H5" s="4" t="n">
        <v>2.08</v>
      </c>
      <c r="I5" s="4" t="n">
        <v>2.43</v>
      </c>
      <c r="J5" s="4" t="n">
        <v>0.78</v>
      </c>
      <c r="K5" s="4" t="n">
        <v>0.83</v>
      </c>
      <c r="L5" s="4" t="n">
        <v>0.86</v>
      </c>
      <c r="M5" s="4" t="n">
        <v>0.7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Reading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1.14</v>
      </c>
      <c r="G6" s="4" t="n">
        <v>1.66</v>
      </c>
      <c r="H6" s="4" t="n">
        <v>0.53</v>
      </c>
      <c r="I6" s="4" t="n">
        <v>3.52</v>
      </c>
      <c r="J6" s="4" t="n">
        <v>-0.6</v>
      </c>
      <c r="K6" s="4" t="n">
        <v>1.86</v>
      </c>
      <c r="L6" s="4" t="n">
        <v>0.57</v>
      </c>
      <c r="M6" s="4" t="n">
        <v>0.93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Peterborough United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1.81</v>
      </c>
      <c r="G2" s="4" t="n">
        <v>0.96</v>
      </c>
      <c r="H2" s="4" t="n">
        <v>1.97</v>
      </c>
      <c r="I2" s="4" t="n">
        <v>1.11</v>
      </c>
      <c r="J2" s="4" t="n">
        <v>0.16</v>
      </c>
      <c r="K2" s="4" t="n">
        <v>0.15</v>
      </c>
      <c r="L2" s="4" t="n">
        <v>0.16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Sheffield Wednesday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1.27</v>
      </c>
      <c r="G3" s="4" t="n">
        <v>1.36</v>
      </c>
      <c r="H3" s="4" t="n">
        <v>0.59</v>
      </c>
      <c r="I3" s="4" t="n">
        <v>1.49</v>
      </c>
      <c r="J3" s="4" t="n">
        <v>-0.68</v>
      </c>
      <c r="K3" s="4" t="n">
        <v>0.12</v>
      </c>
      <c r="L3" s="4" t="n">
        <v>-0.26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Plymouth</t>
        </is>
      </c>
      <c r="C4" s="3" t="inlineStr">
        <is>
          <t>Away</t>
        </is>
      </c>
      <c r="D4" s="3" t="n">
        <v>0</v>
      </c>
      <c r="E4" s="3" t="n">
        <v>2</v>
      </c>
      <c r="F4" s="4" t="n">
        <v>1.24</v>
      </c>
      <c r="G4" s="4" t="n">
        <v>1.55</v>
      </c>
      <c r="H4" s="4" t="n">
        <v>0.88</v>
      </c>
      <c r="I4" s="4" t="n">
        <v>1.22</v>
      </c>
      <c r="J4" s="4" t="n">
        <v>-0.36</v>
      </c>
      <c r="K4" s="4" t="n">
        <v>-0.33</v>
      </c>
      <c r="L4" s="4" t="n">
        <v>-0.3</v>
      </c>
      <c r="M4" s="4" t="n">
        <v>-0.02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Cambridge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1.67</v>
      </c>
      <c r="G5" s="4" t="n">
        <v>0.95</v>
      </c>
      <c r="H5" s="4" t="n">
        <v>2.15</v>
      </c>
      <c r="I5" s="4" t="n">
        <v>0.99</v>
      </c>
      <c r="J5" s="4" t="n">
        <v>0.48</v>
      </c>
      <c r="K5" s="4" t="n">
        <v>0.04</v>
      </c>
      <c r="L5" s="4" t="n">
        <v>-0.1</v>
      </c>
      <c r="M5" s="4" t="n">
        <v>-0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Mansfield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1.69</v>
      </c>
      <c r="G6" s="4" t="n">
        <v>1.05</v>
      </c>
      <c r="H6" s="4" t="n">
        <v>1.2</v>
      </c>
      <c r="I6" s="4" t="n">
        <v>0.49</v>
      </c>
      <c r="J6" s="4" t="n">
        <v>-0.49</v>
      </c>
      <c r="K6" s="4" t="n">
        <v>-0.5600000000000001</v>
      </c>
      <c r="L6" s="4" t="n">
        <v>-0.18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Barnsley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1.17</v>
      </c>
      <c r="G2" s="4" t="n">
        <v>1.55</v>
      </c>
      <c r="H2" s="4" t="n">
        <v>1.42</v>
      </c>
      <c r="I2" s="4" t="n">
        <v>1.32</v>
      </c>
      <c r="J2" s="4" t="n">
        <v>0.25</v>
      </c>
      <c r="K2" s="4" t="n">
        <v>-0.23</v>
      </c>
      <c r="L2" s="4" t="n">
        <v>0.25</v>
      </c>
      <c r="M2" s="4" t="n">
        <v>-0.23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Cambridge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1.26</v>
      </c>
      <c r="G3" s="4" t="n">
        <v>1.28</v>
      </c>
      <c r="H3" s="4" t="n">
        <v>0.58</v>
      </c>
      <c r="I3" s="4" t="n">
        <v>0.59</v>
      </c>
      <c r="J3" s="4" t="n">
        <v>-0.68</v>
      </c>
      <c r="K3" s="4" t="n">
        <v>-0.6899999999999999</v>
      </c>
      <c r="L3" s="4" t="n">
        <v>-0.21</v>
      </c>
      <c r="M3" s="4" t="n">
        <v>-0.46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Sheffield Wednesday</t>
        </is>
      </c>
      <c r="C4" s="3" t="inlineStr">
        <is>
          <t>Away</t>
        </is>
      </c>
      <c r="D4" s="3" t="n">
        <v>2</v>
      </c>
      <c r="E4" s="3" t="n">
        <v>7</v>
      </c>
      <c r="F4" s="4" t="n">
        <v>1.04</v>
      </c>
      <c r="G4" s="4" t="n">
        <v>1.7</v>
      </c>
      <c r="H4" s="4" t="n">
        <v>1.58</v>
      </c>
      <c r="I4" s="4" t="n">
        <v>4.23</v>
      </c>
      <c r="J4" s="4" t="n">
        <v>0.54</v>
      </c>
      <c r="K4" s="4" t="n">
        <v>2.53</v>
      </c>
      <c r="L4" s="4" t="n">
        <v>0.04</v>
      </c>
      <c r="M4" s="4" t="n">
        <v>0.54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Leyton Orient</t>
        </is>
      </c>
      <c r="C5" s="3" t="inlineStr">
        <is>
          <t>Home</t>
        </is>
      </c>
      <c r="D5" s="3" t="n">
        <v>0</v>
      </c>
      <c r="E5" s="3" t="n">
        <v>5</v>
      </c>
      <c r="F5" s="4" t="n">
        <v>1.33</v>
      </c>
      <c r="G5" s="4" t="n">
        <v>1.33</v>
      </c>
      <c r="H5" s="4" t="n">
        <v>0.63</v>
      </c>
      <c r="I5" s="4" t="n">
        <v>1.67</v>
      </c>
      <c r="J5" s="4" t="n">
        <v>-0.7</v>
      </c>
      <c r="K5" s="4" t="n">
        <v>0.34</v>
      </c>
      <c r="L5" s="4" t="n">
        <v>-0.15</v>
      </c>
      <c r="M5" s="4" t="n">
        <v>0.49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AFC Wimbledon</t>
        </is>
      </c>
      <c r="C6" s="3" t="inlineStr">
        <is>
          <t>Home</t>
        </is>
      </c>
      <c r="D6" s="3" t="n">
        <v>0</v>
      </c>
      <c r="E6" s="3" t="n">
        <v>2</v>
      </c>
      <c r="F6" s="4" t="n">
        <v>1.39</v>
      </c>
      <c r="G6" s="4" t="n">
        <v>1.24</v>
      </c>
      <c r="H6" s="4" t="n">
        <v>0.55</v>
      </c>
      <c r="I6" s="4" t="n">
        <v>1.22</v>
      </c>
      <c r="J6" s="4" t="n">
        <v>-0.84</v>
      </c>
      <c r="K6" s="4" t="n">
        <v>-0.02</v>
      </c>
      <c r="L6" s="4" t="n">
        <v>-0.29</v>
      </c>
      <c r="M6" s="4" t="n">
        <v>0.38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Stevenage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1.27</v>
      </c>
      <c r="G2" s="4" t="n">
        <v>1.03</v>
      </c>
      <c r="H2" s="4" t="n">
        <v>0.9399999999999999</v>
      </c>
      <c r="I2" s="4" t="n">
        <v>0.53</v>
      </c>
      <c r="J2" s="4" t="n">
        <v>-0.33</v>
      </c>
      <c r="K2" s="4" t="n">
        <v>-0.5</v>
      </c>
      <c r="L2" s="4" t="n">
        <v>-0.33</v>
      </c>
      <c r="M2" s="4" t="n">
        <v>-0.5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Leicester City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0.95</v>
      </c>
      <c r="G3" s="4" t="n">
        <v>2.02</v>
      </c>
      <c r="H3" s="4" t="n">
        <v>0.8100000000000001</v>
      </c>
      <c r="I3" s="4" t="n">
        <v>1.31</v>
      </c>
      <c r="J3" s="4" t="n">
        <v>-0.14</v>
      </c>
      <c r="K3" s="4" t="n">
        <v>-0.71</v>
      </c>
      <c r="L3" s="4" t="n">
        <v>-0.23</v>
      </c>
      <c r="M3" s="4" t="n">
        <v>-0.61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Notts County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1.19</v>
      </c>
      <c r="G4" s="4" t="n">
        <v>1.43</v>
      </c>
      <c r="H4" s="4" t="n">
        <v>0.16</v>
      </c>
      <c r="I4" s="4" t="n">
        <v>2.08</v>
      </c>
      <c r="J4" s="4" t="n">
        <v>-1.02</v>
      </c>
      <c r="K4" s="4" t="n">
        <v>0.65</v>
      </c>
      <c r="L4" s="4" t="n">
        <v>-0.5</v>
      </c>
      <c r="M4" s="4" t="n">
        <v>-0.19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AFC Wimbledon</t>
        </is>
      </c>
      <c r="C5" s="3" t="inlineStr">
        <is>
          <t>Home</t>
        </is>
      </c>
      <c r="D5" s="3" t="n">
        <v>4</v>
      </c>
      <c r="E5" s="3" t="n">
        <v>1</v>
      </c>
      <c r="F5" s="4" t="n">
        <v>1.53</v>
      </c>
      <c r="G5" s="4" t="n">
        <v>0.99</v>
      </c>
      <c r="H5" s="4" t="n">
        <v>0.92</v>
      </c>
      <c r="I5" s="4" t="n">
        <v>1.34</v>
      </c>
      <c r="J5" s="4" t="n">
        <v>-0.61</v>
      </c>
      <c r="K5" s="4" t="n">
        <v>0.35</v>
      </c>
      <c r="L5" s="4" t="n">
        <v>-0.53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Cambridge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1.23</v>
      </c>
      <c r="G6" s="4" t="n">
        <v>1.29</v>
      </c>
      <c r="H6" s="4" t="n">
        <v>2.23</v>
      </c>
      <c r="I6" s="4" t="n">
        <v>1.28</v>
      </c>
      <c r="J6" s="4" t="n">
        <v>1</v>
      </c>
      <c r="K6" s="4" t="n">
        <v>-0.01</v>
      </c>
      <c r="L6" s="4" t="n">
        <v>-0.22</v>
      </c>
      <c r="M6" s="4" t="n">
        <v>-0.05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Wigan Athletic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1.28</v>
      </c>
      <c r="G2" s="4" t="n">
        <v>1.13</v>
      </c>
      <c r="H2" s="4" t="n">
        <v>1.74</v>
      </c>
      <c r="I2" s="4" t="n">
        <v>2.2</v>
      </c>
      <c r="J2" s="4" t="n">
        <v>0.46</v>
      </c>
      <c r="K2" s="4" t="n">
        <v>1.07</v>
      </c>
      <c r="L2" s="4" t="n">
        <v>0.46</v>
      </c>
      <c r="M2" s="4" t="n">
        <v>1.07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Bromley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1.28</v>
      </c>
      <c r="G3" s="4" t="n">
        <v>1.26</v>
      </c>
      <c r="H3" s="4" t="n">
        <v>0.59</v>
      </c>
      <c r="I3" s="4" t="n">
        <v>0.58</v>
      </c>
      <c r="J3" s="4" t="n">
        <v>-0.6899999999999999</v>
      </c>
      <c r="K3" s="4" t="n">
        <v>-0.68</v>
      </c>
      <c r="L3" s="4" t="n">
        <v>-0.12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Huddersfield Town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1.29</v>
      </c>
      <c r="G4" s="4" t="n">
        <v>1.5</v>
      </c>
      <c r="H4" s="4" t="n">
        <v>1.4</v>
      </c>
      <c r="I4" s="4" t="n">
        <v>1.1</v>
      </c>
      <c r="J4" s="4" t="n">
        <v>0.11</v>
      </c>
      <c r="K4" s="4" t="n">
        <v>-0.4</v>
      </c>
      <c r="L4" s="4" t="n">
        <v>-0.04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Bradford City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0.95</v>
      </c>
      <c r="G5" s="4" t="n">
        <v>1.67</v>
      </c>
      <c r="H5" s="4" t="n">
        <v>0.99</v>
      </c>
      <c r="I5" s="4" t="n">
        <v>2.15</v>
      </c>
      <c r="J5" s="4" t="n">
        <v>0.04</v>
      </c>
      <c r="K5" s="4" t="n">
        <v>0.48</v>
      </c>
      <c r="L5" s="4" t="n">
        <v>-0.02</v>
      </c>
      <c r="M5" s="4" t="n">
        <v>0.12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Burton Albion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1.29</v>
      </c>
      <c r="G6" s="4" t="n">
        <v>1.23</v>
      </c>
      <c r="H6" s="4" t="n">
        <v>1.28</v>
      </c>
      <c r="I6" s="4" t="n">
        <v>2.23</v>
      </c>
      <c r="J6" s="4" t="n">
        <v>-0.01</v>
      </c>
      <c r="K6" s="4" t="n">
        <v>1</v>
      </c>
      <c r="L6" s="4" t="n">
        <v>-0.02</v>
      </c>
      <c r="M6" s="4" t="n">
        <v>0.3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Mansfield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1.15</v>
      </c>
      <c r="G2" s="4" t="n">
        <v>1.52</v>
      </c>
      <c r="H2" s="4" t="n">
        <v>1.06</v>
      </c>
      <c r="I2" s="4" t="n">
        <v>1.44</v>
      </c>
      <c r="J2" s="4" t="n">
        <v>-0.09</v>
      </c>
      <c r="K2" s="4" t="n">
        <v>-0.08</v>
      </c>
      <c r="L2" s="4" t="n">
        <v>-0.09</v>
      </c>
      <c r="M2" s="4" t="n">
        <v>-0.08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Barnsley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1.68</v>
      </c>
      <c r="G3" s="4" t="n">
        <v>1.21</v>
      </c>
      <c r="H3" s="4" t="n">
        <v>1.82</v>
      </c>
      <c r="I3" s="4" t="n">
        <v>0.45</v>
      </c>
      <c r="J3" s="4" t="n">
        <v>0.14</v>
      </c>
      <c r="K3" s="4" t="n">
        <v>-0.76</v>
      </c>
      <c r="L3" s="4" t="n">
        <v>0.03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Stevenage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1.09</v>
      </c>
      <c r="G4" s="4" t="n">
        <v>1.41</v>
      </c>
      <c r="H4" s="4" t="n">
        <v>0.75</v>
      </c>
      <c r="I4" s="4" t="n">
        <v>0.6</v>
      </c>
      <c r="J4" s="4" t="n">
        <v>-0.34</v>
      </c>
      <c r="K4" s="4" t="n">
        <v>-0.8100000000000001</v>
      </c>
      <c r="L4" s="4" t="n">
        <v>-0.1</v>
      </c>
      <c r="M4" s="4" t="n">
        <v>-0.55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Notts County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1.47</v>
      </c>
      <c r="G5" s="4" t="n">
        <v>1.21</v>
      </c>
      <c r="H5" s="4" t="n">
        <v>1.12</v>
      </c>
      <c r="I5" s="4" t="n">
        <v>0.85</v>
      </c>
      <c r="J5" s="4" t="n">
        <v>-0.35</v>
      </c>
      <c r="K5" s="4" t="n">
        <v>-0.36</v>
      </c>
      <c r="L5" s="4" t="n">
        <v>-0.16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Plymouth</t>
        </is>
      </c>
      <c r="C6" s="3" t="inlineStr">
        <is>
          <t>Home</t>
        </is>
      </c>
      <c r="D6" s="3" t="n">
        <v>2</v>
      </c>
      <c r="E6" s="3" t="n">
        <v>3</v>
      </c>
      <c r="F6" s="4" t="n">
        <v>1.47</v>
      </c>
      <c r="G6" s="4" t="n">
        <v>1.36</v>
      </c>
      <c r="H6" s="4" t="n">
        <v>2.63</v>
      </c>
      <c r="I6" s="4" t="n">
        <v>2.32</v>
      </c>
      <c r="J6" s="4" t="n">
        <v>1.16</v>
      </c>
      <c r="K6" s="4" t="n">
        <v>0.96</v>
      </c>
      <c r="L6" s="4" t="n">
        <v>0.1</v>
      </c>
      <c r="M6" s="4" t="n">
        <v>-0.21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AFC Wimbledon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1.91</v>
      </c>
      <c r="G2" s="4" t="n">
        <v>0.97</v>
      </c>
      <c r="H2" s="4" t="n">
        <v>1.24</v>
      </c>
      <c r="I2" s="4" t="n">
        <v>0.38</v>
      </c>
      <c r="J2" s="4" t="n">
        <v>-0.67</v>
      </c>
      <c r="K2" s="4" t="n">
        <v>-0.59</v>
      </c>
      <c r="L2" s="4" t="n">
        <v>-0.67</v>
      </c>
      <c r="M2" s="4" t="n">
        <v>-0.59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Milton Keynes Dons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1.37</v>
      </c>
      <c r="G3" s="4" t="n">
        <v>1.35</v>
      </c>
      <c r="H3" s="4" t="n">
        <v>2.28</v>
      </c>
      <c r="I3" s="4" t="n">
        <v>1.54</v>
      </c>
      <c r="J3" s="4" t="n">
        <v>0.91</v>
      </c>
      <c r="K3" s="4" t="n">
        <v>0.19</v>
      </c>
      <c r="L3" s="4" t="n">
        <v>0.12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Cambridge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1.5</v>
      </c>
      <c r="G4" s="4" t="n">
        <v>1.29</v>
      </c>
      <c r="H4" s="4" t="n">
        <v>1.1</v>
      </c>
      <c r="I4" s="4" t="n">
        <v>1.4</v>
      </c>
      <c r="J4" s="4" t="n">
        <v>-0.4</v>
      </c>
      <c r="K4" s="4" t="n">
        <v>0.11</v>
      </c>
      <c r="L4" s="4" t="n">
        <v>-0.05</v>
      </c>
      <c r="M4" s="4" t="n">
        <v>-0.1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Oxford United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1.85</v>
      </c>
      <c r="G5" s="4" t="n">
        <v>1.04</v>
      </c>
      <c r="H5" s="4" t="n">
        <v>3.57</v>
      </c>
      <c r="I5" s="4" t="n">
        <v>1.21</v>
      </c>
      <c r="J5" s="4" t="n">
        <v>1.72</v>
      </c>
      <c r="K5" s="4" t="n">
        <v>0.17</v>
      </c>
      <c r="L5" s="4" t="n">
        <v>0.39</v>
      </c>
      <c r="M5" s="4" t="n">
        <v>-0.03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Notts County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1.84</v>
      </c>
      <c r="G6" s="4" t="n">
        <v>0.93</v>
      </c>
      <c r="H6" s="4" t="n">
        <v>1.57</v>
      </c>
      <c r="I6" s="4" t="n">
        <v>1.44</v>
      </c>
      <c r="J6" s="4" t="n">
        <v>-0.27</v>
      </c>
      <c r="K6" s="4" t="n">
        <v>0.51</v>
      </c>
      <c r="L6" s="4" t="n">
        <v>0.26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Notts County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1.52</v>
      </c>
      <c r="G2" s="4" t="n">
        <v>1.06</v>
      </c>
      <c r="H2" s="4" t="n">
        <v>0.74</v>
      </c>
      <c r="I2" s="4" t="n">
        <v>2.18</v>
      </c>
      <c r="J2" s="4" t="n">
        <v>-0.78</v>
      </c>
      <c r="K2" s="4" t="n">
        <v>1.12</v>
      </c>
      <c r="L2" s="4" t="n">
        <v>-0.78</v>
      </c>
      <c r="M2" s="4" t="n">
        <v>1.12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Burton Albion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2.02</v>
      </c>
      <c r="G3" s="4" t="n">
        <v>0.95</v>
      </c>
      <c r="H3" s="4" t="n">
        <v>1.31</v>
      </c>
      <c r="I3" s="4" t="n">
        <v>0.8100000000000001</v>
      </c>
      <c r="J3" s="4" t="n">
        <v>-0.71</v>
      </c>
      <c r="K3" s="4" t="n">
        <v>-0.14</v>
      </c>
      <c r="L3" s="4" t="n">
        <v>-0.75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Milton Keynes Dons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1.48</v>
      </c>
      <c r="G4" s="4" t="n">
        <v>1.37</v>
      </c>
      <c r="H4" s="4" t="n">
        <v>1.48</v>
      </c>
      <c r="I4" s="4" t="n">
        <v>0.55</v>
      </c>
      <c r="J4" s="4" t="n">
        <v>0</v>
      </c>
      <c r="K4" s="4" t="n">
        <v>-0.82</v>
      </c>
      <c r="L4" s="4" t="n">
        <v>-0.5</v>
      </c>
      <c r="M4" s="4" t="n">
        <v>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Plymouth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1.77</v>
      </c>
      <c r="G5" s="4" t="n">
        <v>1.22</v>
      </c>
      <c r="H5" s="4" t="n">
        <v>1.49</v>
      </c>
      <c r="I5" s="4" t="n">
        <v>1.15</v>
      </c>
      <c r="J5" s="4" t="n">
        <v>-0.28</v>
      </c>
      <c r="K5" s="4" t="n">
        <v>-0.07000000000000001</v>
      </c>
      <c r="L5" s="4" t="n">
        <v>-0.44</v>
      </c>
      <c r="M5" s="4" t="n">
        <v>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Oxford United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1.83</v>
      </c>
      <c r="G6" s="4" t="n">
        <v>0.98</v>
      </c>
      <c r="H6" s="4" t="n">
        <v>0.99</v>
      </c>
      <c r="I6" s="4" t="n">
        <v>2.25</v>
      </c>
      <c r="J6" s="4" t="n">
        <v>-0.84</v>
      </c>
      <c r="K6" s="4" t="n">
        <v>1.27</v>
      </c>
      <c r="L6" s="4" t="n">
        <v>-0.52</v>
      </c>
      <c r="M6" s="4" t="n">
        <v>0.27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Sheffield Wednesday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1.25</v>
      </c>
      <c r="G2" s="4" t="n">
        <v>1.44</v>
      </c>
      <c r="H2" s="4" t="n">
        <v>1.38</v>
      </c>
      <c r="I2" s="4" t="n">
        <v>2.84</v>
      </c>
      <c r="J2" s="4" t="n">
        <v>0.13</v>
      </c>
      <c r="K2" s="4" t="n">
        <v>1.4</v>
      </c>
      <c r="L2" s="4" t="n">
        <v>0.13</v>
      </c>
      <c r="M2" s="4" t="n">
        <v>1.4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Wigan Athletic</t>
        </is>
      </c>
      <c r="C3" s="3" t="inlineStr">
        <is>
          <t>Away</t>
        </is>
      </c>
      <c r="D3" s="3" t="n">
        <v>2</v>
      </c>
      <c r="E3" s="3" t="n">
        <v>0</v>
      </c>
      <c r="F3" s="4" t="n">
        <v>1.07</v>
      </c>
      <c r="G3" s="4" t="n">
        <v>1.38</v>
      </c>
      <c r="H3" s="4" t="n">
        <v>1.25</v>
      </c>
      <c r="I3" s="4" t="n">
        <v>1.6</v>
      </c>
      <c r="J3" s="4" t="n">
        <v>0.17</v>
      </c>
      <c r="K3" s="4" t="n">
        <v>0.23</v>
      </c>
      <c r="L3" s="4" t="n">
        <v>0.15</v>
      </c>
      <c r="M3" s="4" t="n">
        <v>0.8100000000000001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Barnsley</t>
        </is>
      </c>
      <c r="C4" s="3" t="inlineStr">
        <is>
          <t>Home</t>
        </is>
      </c>
      <c r="D4" s="3" t="n">
        <v>1</v>
      </c>
      <c r="E4" s="3" t="n">
        <v>3</v>
      </c>
      <c r="F4" s="4" t="n">
        <v>1.53</v>
      </c>
      <c r="G4" s="4" t="n">
        <v>1.26</v>
      </c>
      <c r="H4" s="4" t="n">
        <v>0.62</v>
      </c>
      <c r="I4" s="4" t="n">
        <v>2.13</v>
      </c>
      <c r="J4" s="4" t="n">
        <v>-0.91</v>
      </c>
      <c r="K4" s="4" t="n">
        <v>0.86</v>
      </c>
      <c r="L4" s="4" t="n">
        <v>-0.2</v>
      </c>
      <c r="M4" s="4" t="n">
        <v>0.83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Bromley</t>
        </is>
      </c>
      <c r="C5" s="3" t="inlineStr">
        <is>
          <t>Away</t>
        </is>
      </c>
      <c r="D5" s="3" t="n">
        <v>5</v>
      </c>
      <c r="E5" s="3" t="n">
        <v>0</v>
      </c>
      <c r="F5" s="4" t="n">
        <v>1.33</v>
      </c>
      <c r="G5" s="4" t="n">
        <v>1.33</v>
      </c>
      <c r="H5" s="4" t="n">
        <v>1.67</v>
      </c>
      <c r="I5" s="4" t="n">
        <v>0.63</v>
      </c>
      <c r="J5" s="4" t="n">
        <v>0.34</v>
      </c>
      <c r="K5" s="4" t="n">
        <v>-0.7</v>
      </c>
      <c r="L5" s="4" t="n">
        <v>-0.07000000000000001</v>
      </c>
      <c r="M5" s="4" t="n">
        <v>0.45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Luton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1.1</v>
      </c>
      <c r="G6" s="4" t="n">
        <v>1.96</v>
      </c>
      <c r="H6" s="4" t="n">
        <v>0.58</v>
      </c>
      <c r="I6" s="4" t="n">
        <v>2.12</v>
      </c>
      <c r="J6" s="4" t="n">
        <v>-0.52</v>
      </c>
      <c r="K6" s="4" t="n">
        <v>0.16</v>
      </c>
      <c r="L6" s="4" t="n">
        <v>-0.16</v>
      </c>
      <c r="M6" s="4" t="n">
        <v>0.39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Reading</t>
        </is>
      </c>
      <c r="C2" s="3" t="inlineStr">
        <is>
          <t>Away</t>
        </is>
      </c>
      <c r="D2" s="3" t="n">
        <v>4</v>
      </c>
      <c r="E2" s="3" t="n">
        <v>3</v>
      </c>
      <c r="F2" s="4" t="n">
        <v>1.54</v>
      </c>
      <c r="G2" s="4" t="n">
        <v>1.17</v>
      </c>
      <c r="H2" s="4" t="n">
        <v>1.65</v>
      </c>
      <c r="I2" s="4" t="n">
        <v>1.61</v>
      </c>
      <c r="J2" s="4" t="n">
        <v>0.1</v>
      </c>
      <c r="K2" s="4" t="n">
        <v>0.44</v>
      </c>
      <c r="L2" s="4" t="n">
        <v>0.1</v>
      </c>
      <c r="M2" s="4" t="n">
        <v>0.44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Notts County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1.91</v>
      </c>
      <c r="G3" s="4" t="n">
        <v>0.98</v>
      </c>
      <c r="H3" s="4" t="n">
        <v>1.85</v>
      </c>
      <c r="I3" s="4" t="n">
        <v>0.76</v>
      </c>
      <c r="J3" s="4" t="n">
        <v>-0.06</v>
      </c>
      <c r="K3" s="4" t="n">
        <v>-0.22</v>
      </c>
      <c r="L3" s="4" t="n">
        <v>0.02</v>
      </c>
      <c r="M3" s="4" t="n">
        <v>0.11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Mansfield</t>
        </is>
      </c>
      <c r="C4" s="3" t="inlineStr">
        <is>
          <t>Away</t>
        </is>
      </c>
      <c r="D4" s="3" t="n">
        <v>2</v>
      </c>
      <c r="E4" s="3" t="n">
        <v>5</v>
      </c>
      <c r="F4" s="4" t="n">
        <v>1.61</v>
      </c>
      <c r="G4" s="4" t="n">
        <v>1.41</v>
      </c>
      <c r="H4" s="4" t="n">
        <v>1.39</v>
      </c>
      <c r="I4" s="4" t="n">
        <v>1.65</v>
      </c>
      <c r="J4" s="4" t="n">
        <v>-0.22</v>
      </c>
      <c r="K4" s="4" t="n">
        <v>0.24</v>
      </c>
      <c r="L4" s="4" t="n">
        <v>-0.06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Stockport County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1.6</v>
      </c>
      <c r="G5" s="4" t="n">
        <v>1.31</v>
      </c>
      <c r="H5" s="4" t="n">
        <v>1.4</v>
      </c>
      <c r="I5" s="4" t="n">
        <v>0.76</v>
      </c>
      <c r="J5" s="4" t="n">
        <v>-0.2</v>
      </c>
      <c r="K5" s="4" t="n">
        <v>-0.55</v>
      </c>
      <c r="L5" s="4" t="n">
        <v>-0.09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Leyton Orient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1.96</v>
      </c>
      <c r="G6" s="4" t="n">
        <v>1.1</v>
      </c>
      <c r="H6" s="4" t="n">
        <v>2.12</v>
      </c>
      <c r="I6" s="4" t="n">
        <v>0.58</v>
      </c>
      <c r="J6" s="4" t="n">
        <v>0.16</v>
      </c>
      <c r="K6" s="4" t="n">
        <v>-0.52</v>
      </c>
      <c r="L6" s="4" t="n">
        <v>-0.04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Stevenage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1.43</v>
      </c>
      <c r="G7" s="4" t="n">
        <v>1.19</v>
      </c>
      <c r="H7" s="4" t="n">
        <v>0.89</v>
      </c>
      <c r="I7" s="4" t="n">
        <v>1.31</v>
      </c>
      <c r="J7" s="4" t="n">
        <v>-0.54</v>
      </c>
      <c r="K7" s="4" t="n">
        <v>0.12</v>
      </c>
      <c r="L7" s="4" t="n">
        <v>-0.13</v>
      </c>
      <c r="M7" s="4" t="n">
        <v>-0.08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Doncaster Rovers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1.52</v>
      </c>
      <c r="G2" s="4" t="n">
        <v>1.15</v>
      </c>
      <c r="H2" s="4" t="n">
        <v>1.44</v>
      </c>
      <c r="I2" s="4" t="n">
        <v>1.06</v>
      </c>
      <c r="J2" s="4" t="n">
        <v>-0.08</v>
      </c>
      <c r="K2" s="4" t="n">
        <v>-0.09</v>
      </c>
      <c r="L2" s="4" t="n">
        <v>-0.08</v>
      </c>
      <c r="M2" s="4" t="n">
        <v>-0.09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Peterborough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1.6</v>
      </c>
      <c r="G3" s="4" t="n">
        <v>1.43</v>
      </c>
      <c r="H3" s="4" t="n">
        <v>1.25</v>
      </c>
      <c r="I3" s="4" t="n">
        <v>1.39</v>
      </c>
      <c r="J3" s="4" t="n">
        <v>-0.35</v>
      </c>
      <c r="K3" s="4" t="n">
        <v>-0.04</v>
      </c>
      <c r="L3" s="4" t="n">
        <v>-0.21</v>
      </c>
      <c r="M3" s="4" t="n">
        <v>-0.06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Luton</t>
        </is>
      </c>
      <c r="C4" s="3" t="inlineStr">
        <is>
          <t>Home</t>
        </is>
      </c>
      <c r="D4" s="3" t="n">
        <v>5</v>
      </c>
      <c r="E4" s="3" t="n">
        <v>2</v>
      </c>
      <c r="F4" s="4" t="n">
        <v>1.41</v>
      </c>
      <c r="G4" s="4" t="n">
        <v>1.61</v>
      </c>
      <c r="H4" s="4" t="n">
        <v>1.65</v>
      </c>
      <c r="I4" s="4" t="n">
        <v>1.39</v>
      </c>
      <c r="J4" s="4" t="n">
        <v>0.24</v>
      </c>
      <c r="K4" s="4" t="n">
        <v>-0.22</v>
      </c>
      <c r="L4" s="4" t="n">
        <v>-0.06</v>
      </c>
      <c r="M4" s="4" t="n">
        <v>-0.12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Reading</t>
        </is>
      </c>
      <c r="C5" s="3" t="inlineStr">
        <is>
          <t>Away</t>
        </is>
      </c>
      <c r="D5" s="3" t="n">
        <v>0</v>
      </c>
      <c r="E5" s="3" t="n">
        <v>5</v>
      </c>
      <c r="F5" s="4" t="n">
        <v>1.19</v>
      </c>
      <c r="G5" s="4" t="n">
        <v>1.64</v>
      </c>
      <c r="H5" s="4" t="n">
        <v>1.36</v>
      </c>
      <c r="I5" s="4" t="n">
        <v>3.3</v>
      </c>
      <c r="J5" s="4" t="n">
        <v>0.17</v>
      </c>
      <c r="K5" s="4" t="n">
        <v>1.66</v>
      </c>
      <c r="L5" s="4" t="n">
        <v>-0.01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Bradford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1.05</v>
      </c>
      <c r="G6" s="4" t="n">
        <v>1.69</v>
      </c>
      <c r="H6" s="4" t="n">
        <v>0.49</v>
      </c>
      <c r="I6" s="4" t="n">
        <v>1.2</v>
      </c>
      <c r="J6" s="4" t="n">
        <v>-0.5600000000000001</v>
      </c>
      <c r="K6" s="4" t="n">
        <v>-0.49</v>
      </c>
      <c r="L6" s="4" t="n">
        <v>-0.12</v>
      </c>
      <c r="M6" s="4" t="n">
        <v>0.17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Oxford United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1.07</v>
      </c>
      <c r="G2" s="4" t="n">
        <v>1.41</v>
      </c>
      <c r="H2" s="4" t="n">
        <v>2.2</v>
      </c>
      <c r="I2" s="4" t="n">
        <v>1.83</v>
      </c>
      <c r="J2" s="4" t="n">
        <v>1.13</v>
      </c>
      <c r="K2" s="4" t="n">
        <v>0.42</v>
      </c>
      <c r="L2" s="4" t="n">
        <v>1.13</v>
      </c>
      <c r="M2" s="4" t="n">
        <v>0.42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Huddersfield Town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1.35</v>
      </c>
      <c r="G3" s="4" t="n">
        <v>1.37</v>
      </c>
      <c r="H3" s="4" t="n">
        <v>1.54</v>
      </c>
      <c r="I3" s="4" t="n">
        <v>2.28</v>
      </c>
      <c r="J3" s="4" t="n">
        <v>0.19</v>
      </c>
      <c r="K3" s="4" t="n">
        <v>0.91</v>
      </c>
      <c r="L3" s="4" t="n">
        <v>0.66</v>
      </c>
      <c r="M3" s="4" t="n">
        <v>0.66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Leicester City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1.37</v>
      </c>
      <c r="G4" s="4" t="n">
        <v>1.48</v>
      </c>
      <c r="H4" s="4" t="n">
        <v>0.55</v>
      </c>
      <c r="I4" s="4" t="n">
        <v>1.48</v>
      </c>
      <c r="J4" s="4" t="n">
        <v>-0.82</v>
      </c>
      <c r="K4" s="4" t="n">
        <v>0</v>
      </c>
      <c r="L4" s="4" t="n">
        <v>0.17</v>
      </c>
      <c r="M4" s="4" t="n">
        <v>0.44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Wigan Athletic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1.2</v>
      </c>
      <c r="G5" s="4" t="n">
        <v>1.37</v>
      </c>
      <c r="H5" s="4" t="n">
        <v>2.47</v>
      </c>
      <c r="I5" s="4" t="n">
        <v>2.02</v>
      </c>
      <c r="J5" s="4" t="n">
        <v>1.27</v>
      </c>
      <c r="K5" s="4" t="n">
        <v>0.65</v>
      </c>
      <c r="L5" s="4" t="n">
        <v>0.44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Wycombe Wanderers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1.32</v>
      </c>
      <c r="G6" s="4" t="n">
        <v>1.5</v>
      </c>
      <c r="H6" s="4" t="n">
        <v>2.14</v>
      </c>
      <c r="I6" s="4" t="n">
        <v>1.17</v>
      </c>
      <c r="J6" s="4" t="n">
        <v>0.82</v>
      </c>
      <c r="K6" s="4" t="n">
        <v>-0.33</v>
      </c>
      <c r="L6" s="4" t="n">
        <v>0.52</v>
      </c>
      <c r="M6" s="4" t="n">
        <v>0.33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Leicester City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1.06</v>
      </c>
      <c r="G2" s="4" t="n">
        <v>1.52</v>
      </c>
      <c r="H2" s="4" t="n">
        <v>2.18</v>
      </c>
      <c r="I2" s="4" t="n">
        <v>0.74</v>
      </c>
      <c r="J2" s="4" t="n">
        <v>1.12</v>
      </c>
      <c r="K2" s="4" t="n">
        <v>-0.78</v>
      </c>
      <c r="L2" s="4" t="n">
        <v>1.12</v>
      </c>
      <c r="M2" s="4" t="n">
        <v>-0.78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Luton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0.98</v>
      </c>
      <c r="G3" s="4" t="n">
        <v>1.91</v>
      </c>
      <c r="H3" s="4" t="n">
        <v>0.76</v>
      </c>
      <c r="I3" s="4" t="n">
        <v>1.85</v>
      </c>
      <c r="J3" s="4" t="n">
        <v>-0.22</v>
      </c>
      <c r="K3" s="4" t="n">
        <v>-0.06</v>
      </c>
      <c r="L3" s="4" t="n">
        <v>0.45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Burton Albion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1.43</v>
      </c>
      <c r="G4" s="4" t="n">
        <v>1.19</v>
      </c>
      <c r="H4" s="4" t="n">
        <v>2.08</v>
      </c>
      <c r="I4" s="4" t="n">
        <v>0.16</v>
      </c>
      <c r="J4" s="4" t="n">
        <v>0.65</v>
      </c>
      <c r="K4" s="4" t="n">
        <v>-1.02</v>
      </c>
      <c r="L4" s="4" t="n">
        <v>0.52</v>
      </c>
      <c r="M4" s="4" t="n">
        <v>-0.62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Doncaster Rovers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1.21</v>
      </c>
      <c r="G5" s="4" t="n">
        <v>1.47</v>
      </c>
      <c r="H5" s="4" t="n">
        <v>0.85</v>
      </c>
      <c r="I5" s="4" t="n">
        <v>1.12</v>
      </c>
      <c r="J5" s="4" t="n">
        <v>-0.36</v>
      </c>
      <c r="K5" s="4" t="n">
        <v>-0.35</v>
      </c>
      <c r="L5" s="4" t="n">
        <v>0.3</v>
      </c>
      <c r="M5" s="4" t="n">
        <v>-0.55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Huddersfield Town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0.93</v>
      </c>
      <c r="G6" s="4" t="n">
        <v>1.84</v>
      </c>
      <c r="H6" s="4" t="n">
        <v>1.44</v>
      </c>
      <c r="I6" s="4" t="n">
        <v>1.57</v>
      </c>
      <c r="J6" s="4" t="n">
        <v>0.51</v>
      </c>
      <c r="K6" s="4" t="n">
        <v>-0.27</v>
      </c>
      <c r="L6" s="4" t="n">
        <v>0.34</v>
      </c>
      <c r="M6" s="4" t="n">
        <v>-0.5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Milton Keynes Dons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1.41</v>
      </c>
      <c r="G2" s="4" t="n">
        <v>1.07</v>
      </c>
      <c r="H2" s="4" t="n">
        <v>1.83</v>
      </c>
      <c r="I2" s="4" t="n">
        <v>2.2</v>
      </c>
      <c r="J2" s="4" t="n">
        <v>0.42</v>
      </c>
      <c r="K2" s="4" t="n">
        <v>1.13</v>
      </c>
      <c r="L2" s="4" t="n">
        <v>0.42</v>
      </c>
      <c r="M2" s="4" t="n">
        <v>1.13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Stevenage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1.17</v>
      </c>
      <c r="G3" s="4" t="n">
        <v>1.33</v>
      </c>
      <c r="H3" s="4" t="n">
        <v>1.36</v>
      </c>
      <c r="I3" s="4" t="n">
        <v>1.12</v>
      </c>
      <c r="J3" s="4" t="n">
        <v>0.19</v>
      </c>
      <c r="K3" s="4" t="n">
        <v>-0.21</v>
      </c>
      <c r="L3" s="4" t="n">
        <v>0.3</v>
      </c>
      <c r="M3" s="4" t="n">
        <v>0.46</v>
      </c>
      <c r="N3" s="4">
        <f>(H3-I3)-(F3-G3)</f>
        <v/>
      </c>
      <c r="O3" s="4">
        <f>(H3+I3)-(F3+G3)</f>
        <v/>
      </c>
    </row>
    <row r="4">
      <c r="A4" s="3" t="inlineStr">
        <is>
          <t>2026-09-01</t>
        </is>
      </c>
      <c r="B4" s="3" t="inlineStr">
        <is>
          <t>Huddersfield Town</t>
        </is>
      </c>
      <c r="C4" s="3" t="inlineStr">
        <is>
          <t>Away</t>
        </is>
      </c>
      <c r="D4" s="3" t="n">
        <v>1</v>
      </c>
      <c r="E4" s="3" t="n">
        <v>3</v>
      </c>
      <c r="F4" s="4" t="n">
        <v>1.04</v>
      </c>
      <c r="G4" s="4" t="n">
        <v>1.85</v>
      </c>
      <c r="H4" s="4" t="n">
        <v>1.21</v>
      </c>
      <c r="I4" s="4" t="n">
        <v>3.57</v>
      </c>
      <c r="J4" s="4" t="n">
        <v>0.17</v>
      </c>
      <c r="K4" s="4" t="n">
        <v>1.72</v>
      </c>
      <c r="L4" s="4" t="n">
        <v>0.26</v>
      </c>
      <c r="M4" s="4" t="n">
        <v>0.88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Leicester City</t>
        </is>
      </c>
      <c r="C5" s="3" t="inlineStr">
        <is>
          <t>Away</t>
        </is>
      </c>
      <c r="D5" s="3" t="n">
        <v>4</v>
      </c>
      <c r="E5" s="3" t="n">
        <v>0</v>
      </c>
      <c r="F5" s="4" t="n">
        <v>0.98</v>
      </c>
      <c r="G5" s="4" t="n">
        <v>1.83</v>
      </c>
      <c r="H5" s="4" t="n">
        <v>2.25</v>
      </c>
      <c r="I5" s="4" t="n">
        <v>0.99</v>
      </c>
      <c r="J5" s="4" t="n">
        <v>1.27</v>
      </c>
      <c r="K5" s="4" t="n">
        <v>-0.84</v>
      </c>
      <c r="L5" s="4" t="n">
        <v>0.51</v>
      </c>
      <c r="M5" s="4" t="n">
        <v>0.45</v>
      </c>
      <c r="N5" s="4">
        <f>(H5-I5)-(F5-G5)</f>
        <v/>
      </c>
      <c r="O5" s="4">
        <f>(H5+I5)-(F5+G5)</f>
        <v/>
      </c>
    </row>
    <row r="7">
      <c r="A7" s="6" t="inlineStr">
        <is>
          <t>Season summary</t>
        </is>
      </c>
    </row>
    <row r="8">
      <c r="A8" s="3" t="inlineStr">
        <is>
          <t>Matches played</t>
        </is>
      </c>
      <c r="E8" s="7">
        <f>COUNTA(A2:A5)</f>
        <v/>
      </c>
    </row>
    <row r="9">
      <c r="A9" s="3" t="inlineStr">
        <is>
          <t>Total goals for</t>
        </is>
      </c>
      <c r="E9" s="7">
        <f>SUM(D2:D5)</f>
        <v/>
      </c>
    </row>
    <row r="10">
      <c r="A10" s="3" t="inlineStr">
        <is>
          <t>Total goals against</t>
        </is>
      </c>
      <c r="E10" s="7">
        <f>SUM(E2:E5)</f>
        <v/>
      </c>
    </row>
    <row r="11">
      <c r="A11" s="3" t="inlineStr">
        <is>
          <t>Avg xG Delta (For)</t>
        </is>
      </c>
      <c r="E11" s="8">
        <f>AVERAGE(J2:J5)</f>
        <v/>
      </c>
    </row>
    <row r="12">
      <c r="A12" s="3" t="inlineStr">
        <is>
          <t>Avg xG Delta (Against)</t>
        </is>
      </c>
      <c r="E12" s="8">
        <f>AVERAGE(K2:K5)</f>
        <v/>
      </c>
    </row>
    <row r="13">
      <c r="A13" s="3" t="inlineStr">
        <is>
          <t>Avg Supremacy Delta</t>
        </is>
      </c>
      <c r="E13" s="8">
        <f>AVERAGE(N2:N5)</f>
        <v/>
      </c>
    </row>
    <row r="14">
      <c r="A14" s="3" t="inlineStr">
        <is>
          <t>Avg Total xG Delta</t>
        </is>
      </c>
      <c r="E14" s="8">
        <f>AVERAGE(O2:O5)</f>
        <v/>
      </c>
    </row>
    <row r="15">
      <c r="A15" s="3" t="inlineStr">
        <is>
          <t>Current form (last 6, For)</t>
        </is>
      </c>
      <c r="E15" s="8">
        <f>L5</f>
        <v/>
      </c>
    </row>
    <row r="16">
      <c r="A16" s="3" t="inlineStr">
        <is>
          <t>Current form (last 6, Against)</t>
        </is>
      </c>
      <c r="E16" s="8">
        <f>M5</f>
        <v/>
      </c>
    </row>
  </sheetData>
  <mergeCells count="9">
    <mergeCell ref="A9:D9"/>
    <mergeCell ref="A8:D8"/>
    <mergeCell ref="A12:D12"/>
    <mergeCell ref="A15:D15"/>
    <mergeCell ref="A16:D16"/>
    <mergeCell ref="A11:D11"/>
    <mergeCell ref="A10:D10"/>
    <mergeCell ref="A13:D13"/>
    <mergeCell ref="A14:D14"/>
  </mergeCells>
  <conditionalFormatting sqref="J2:J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Bradford City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0.96</v>
      </c>
      <c r="G2" s="4" t="n">
        <v>1.81</v>
      </c>
      <c r="H2" s="4" t="n">
        <v>1.11</v>
      </c>
      <c r="I2" s="4" t="n">
        <v>1.97</v>
      </c>
      <c r="J2" s="4" t="n">
        <v>0.15</v>
      </c>
      <c r="K2" s="4" t="n">
        <v>0.16</v>
      </c>
      <c r="L2" s="4" t="n">
        <v>0.15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Mansfield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1.43</v>
      </c>
      <c r="G3" s="4" t="n">
        <v>1.6</v>
      </c>
      <c r="H3" s="4" t="n">
        <v>1.39</v>
      </c>
      <c r="I3" s="4" t="n">
        <v>1.25</v>
      </c>
      <c r="J3" s="4" t="n">
        <v>-0.04</v>
      </c>
      <c r="K3" s="4" t="n">
        <v>-0.35</v>
      </c>
      <c r="L3" s="4" t="n">
        <v>0.06</v>
      </c>
      <c r="M3" s="4" t="n">
        <v>-0.09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Blackpool</t>
        </is>
      </c>
      <c r="C4" s="3" t="inlineStr">
        <is>
          <t>Away</t>
        </is>
      </c>
      <c r="D4" s="3" t="n">
        <v>0</v>
      </c>
      <c r="E4" s="3" t="n">
        <v>4</v>
      </c>
      <c r="F4" s="4" t="n">
        <v>1.14</v>
      </c>
      <c r="G4" s="4" t="n">
        <v>1.89</v>
      </c>
      <c r="H4" s="4" t="n">
        <v>1.46</v>
      </c>
      <c r="I4" s="4" t="n">
        <v>2.68</v>
      </c>
      <c r="J4" s="4" t="n">
        <v>0.32</v>
      </c>
      <c r="K4" s="4" t="n">
        <v>0.79</v>
      </c>
      <c r="L4" s="4" t="n">
        <v>0.14</v>
      </c>
      <c r="M4" s="4" t="n">
        <v>0.2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Stevenage</t>
        </is>
      </c>
      <c r="C5" s="3" t="inlineStr">
        <is>
          <t>Home</t>
        </is>
      </c>
      <c r="D5" s="3" t="n">
        <v>0</v>
      </c>
      <c r="E5" s="3" t="n">
        <v>0</v>
      </c>
      <c r="F5" s="4" t="n">
        <v>1.36</v>
      </c>
      <c r="G5" s="4" t="n">
        <v>1.24</v>
      </c>
      <c r="H5" s="4" t="n">
        <v>0.93</v>
      </c>
      <c r="I5" s="4" t="n">
        <v>0.5600000000000001</v>
      </c>
      <c r="J5" s="4" t="n">
        <v>-0.43</v>
      </c>
      <c r="K5" s="4" t="n">
        <v>-0.68</v>
      </c>
      <c r="L5" s="4" t="n">
        <v>0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Sheffield Wednesday</t>
        </is>
      </c>
      <c r="C6" s="3" t="inlineStr">
        <is>
          <t>Home</t>
        </is>
      </c>
      <c r="D6" s="3" t="n">
        <v>1</v>
      </c>
      <c r="E6" s="3" t="n">
        <v>2</v>
      </c>
      <c r="F6" s="4" t="n">
        <v>1.41</v>
      </c>
      <c r="G6" s="4" t="n">
        <v>1.74</v>
      </c>
      <c r="H6" s="4" t="n">
        <v>1.97</v>
      </c>
      <c r="I6" s="4" t="n">
        <v>1.36</v>
      </c>
      <c r="J6" s="4" t="n">
        <v>0.5600000000000001</v>
      </c>
      <c r="K6" s="4" t="n">
        <v>-0.38</v>
      </c>
      <c r="L6" s="4" t="n">
        <v>0.11</v>
      </c>
      <c r="M6" s="4" t="n">
        <v>-0.09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Stockport County</t>
        </is>
      </c>
      <c r="C2" s="3" t="inlineStr">
        <is>
          <t>Home</t>
        </is>
      </c>
      <c r="D2" s="3" t="n">
        <v>1</v>
      </c>
      <c r="E2" s="3" t="n">
        <v>3</v>
      </c>
      <c r="F2" s="4" t="n">
        <v>1.64</v>
      </c>
      <c r="G2" s="4" t="n">
        <v>1.27</v>
      </c>
      <c r="H2" s="4" t="n">
        <v>0.92</v>
      </c>
      <c r="I2" s="4" t="n">
        <v>1.81</v>
      </c>
      <c r="J2" s="4" t="n">
        <v>-0.72</v>
      </c>
      <c r="K2" s="4" t="n">
        <v>0.54</v>
      </c>
      <c r="L2" s="4" t="n">
        <v>-0.72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Wycombe Wanderers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1.35</v>
      </c>
      <c r="G3" s="4" t="n">
        <v>1.44</v>
      </c>
      <c r="H3" s="4" t="n">
        <v>0.76</v>
      </c>
      <c r="I3" s="4" t="n">
        <v>1.89</v>
      </c>
      <c r="J3" s="4" t="n">
        <v>-0.59</v>
      </c>
      <c r="K3" s="4" t="n">
        <v>0.45</v>
      </c>
      <c r="L3" s="4" t="n">
        <v>-0.65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Bradford City</t>
        </is>
      </c>
      <c r="C4" s="3" t="inlineStr">
        <is>
          <t>Home</t>
        </is>
      </c>
      <c r="D4" s="3" t="n">
        <v>2</v>
      </c>
      <c r="E4" s="3" t="n">
        <v>0</v>
      </c>
      <c r="F4" s="4" t="n">
        <v>1.55</v>
      </c>
      <c r="G4" s="4" t="n">
        <v>1.24</v>
      </c>
      <c r="H4" s="4" t="n">
        <v>1.22</v>
      </c>
      <c r="I4" s="4" t="n">
        <v>0.88</v>
      </c>
      <c r="J4" s="4" t="n">
        <v>-0.33</v>
      </c>
      <c r="K4" s="4" t="n">
        <v>-0.36</v>
      </c>
      <c r="L4" s="4" t="n">
        <v>-0.55</v>
      </c>
      <c r="M4" s="4" t="n">
        <v>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Leicester City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1.22</v>
      </c>
      <c r="G5" s="4" t="n">
        <v>1.77</v>
      </c>
      <c r="H5" s="4" t="n">
        <v>1.15</v>
      </c>
      <c r="I5" s="4" t="n">
        <v>1.49</v>
      </c>
      <c r="J5" s="4" t="n">
        <v>-0.07000000000000001</v>
      </c>
      <c r="K5" s="4" t="n">
        <v>-0.28</v>
      </c>
      <c r="L5" s="4" t="n">
        <v>-0.43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Doncaster Rovers</t>
        </is>
      </c>
      <c r="C6" s="3" t="inlineStr">
        <is>
          <t>Away</t>
        </is>
      </c>
      <c r="D6" s="3" t="n">
        <v>3</v>
      </c>
      <c r="E6" s="3" t="n">
        <v>2</v>
      </c>
      <c r="F6" s="4" t="n">
        <v>1.36</v>
      </c>
      <c r="G6" s="4" t="n">
        <v>1.47</v>
      </c>
      <c r="H6" s="4" t="n">
        <v>2.32</v>
      </c>
      <c r="I6" s="4" t="n">
        <v>2.63</v>
      </c>
      <c r="J6" s="4" t="n">
        <v>0.96</v>
      </c>
      <c r="K6" s="4" t="n">
        <v>1.16</v>
      </c>
      <c r="L6" s="4" t="n">
        <v>-0.15</v>
      </c>
      <c r="M6" s="4" t="n">
        <v>0.3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Luton</t>
        </is>
      </c>
      <c r="C2" s="3" t="inlineStr">
        <is>
          <t>Home</t>
        </is>
      </c>
      <c r="D2" s="3" t="n">
        <v>3</v>
      </c>
      <c r="E2" s="3" t="n">
        <v>4</v>
      </c>
      <c r="F2" s="4" t="n">
        <v>1.17</v>
      </c>
      <c r="G2" s="4" t="n">
        <v>1.54</v>
      </c>
      <c r="H2" s="4" t="n">
        <v>1.61</v>
      </c>
      <c r="I2" s="4" t="n">
        <v>1.65</v>
      </c>
      <c r="J2" s="4" t="n">
        <v>0.44</v>
      </c>
      <c r="K2" s="4" t="n">
        <v>0.1</v>
      </c>
      <c r="L2" s="4" t="n">
        <v>0.44</v>
      </c>
      <c r="M2" s="4" t="n">
        <v>0.1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AFC Wimbledon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1.28</v>
      </c>
      <c r="G3" s="4" t="n">
        <v>1.3</v>
      </c>
      <c r="H3" s="4" t="n">
        <v>1.28</v>
      </c>
      <c r="I3" s="4" t="n">
        <v>0.37</v>
      </c>
      <c r="J3" s="4" t="n">
        <v>0</v>
      </c>
      <c r="K3" s="4" t="n">
        <v>-0.93</v>
      </c>
      <c r="L3" s="4" t="n">
        <v>0.22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2026-09-02</t>
        </is>
      </c>
      <c r="B4" s="3" t="inlineStr">
        <is>
          <t>Mansfield</t>
        </is>
      </c>
      <c r="C4" s="3" t="inlineStr">
        <is>
          <t>Home</t>
        </is>
      </c>
      <c r="D4" s="3" t="n">
        <v>5</v>
      </c>
      <c r="E4" s="3" t="n">
        <v>0</v>
      </c>
      <c r="F4" s="4" t="n">
        <v>1.64</v>
      </c>
      <c r="G4" s="4" t="n">
        <v>1.19</v>
      </c>
      <c r="H4" s="4" t="n">
        <v>3.3</v>
      </c>
      <c r="I4" s="4" t="n">
        <v>1.36</v>
      </c>
      <c r="J4" s="4" t="n">
        <v>1.66</v>
      </c>
      <c r="K4" s="4" t="n">
        <v>0.17</v>
      </c>
      <c r="L4" s="4" t="n">
        <v>0.7</v>
      </c>
      <c r="M4" s="4" t="n">
        <v>-0.22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Blackpool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1.66</v>
      </c>
      <c r="G5" s="4" t="n">
        <v>1.14</v>
      </c>
      <c r="H5" s="4" t="n">
        <v>3.52</v>
      </c>
      <c r="I5" s="4" t="n">
        <v>0.53</v>
      </c>
      <c r="J5" s="4" t="n">
        <v>1.86</v>
      </c>
      <c r="K5" s="4" t="n">
        <v>-0.6</v>
      </c>
      <c r="L5" s="4" t="n">
        <v>0.99</v>
      </c>
      <c r="M5" s="4" t="n">
        <v>-0.31</v>
      </c>
      <c r="N5" s="4">
        <f>(H5-I5)-(F5-G5)</f>
        <v/>
      </c>
      <c r="O5" s="4">
        <f>(H5+I5)-(F5+G5)</f>
        <v/>
      </c>
    </row>
    <row r="7">
      <c r="A7" s="6" t="inlineStr">
        <is>
          <t>Season summary</t>
        </is>
      </c>
    </row>
    <row r="8">
      <c r="A8" s="3" t="inlineStr">
        <is>
          <t>Matches played</t>
        </is>
      </c>
      <c r="E8" s="7">
        <f>COUNTA(A2:A5)</f>
        <v/>
      </c>
    </row>
    <row r="9">
      <c r="A9" s="3" t="inlineStr">
        <is>
          <t>Total goals for</t>
        </is>
      </c>
      <c r="E9" s="7">
        <f>SUM(D2:D5)</f>
        <v/>
      </c>
    </row>
    <row r="10">
      <c r="A10" s="3" t="inlineStr">
        <is>
          <t>Total goals against</t>
        </is>
      </c>
      <c r="E10" s="7">
        <f>SUM(E2:E5)</f>
        <v/>
      </c>
    </row>
    <row r="11">
      <c r="A11" s="3" t="inlineStr">
        <is>
          <t>Avg xG Delta (For)</t>
        </is>
      </c>
      <c r="E11" s="8">
        <f>AVERAGE(J2:J5)</f>
        <v/>
      </c>
    </row>
    <row r="12">
      <c r="A12" s="3" t="inlineStr">
        <is>
          <t>Avg xG Delta (Against)</t>
        </is>
      </c>
      <c r="E12" s="8">
        <f>AVERAGE(K2:K5)</f>
        <v/>
      </c>
    </row>
    <row r="13">
      <c r="A13" s="3" t="inlineStr">
        <is>
          <t>Avg Supremacy Delta</t>
        </is>
      </c>
      <c r="E13" s="8">
        <f>AVERAGE(N2:N5)</f>
        <v/>
      </c>
    </row>
    <row r="14">
      <c r="A14" s="3" t="inlineStr">
        <is>
          <t>Avg Total xG Delta</t>
        </is>
      </c>
      <c r="E14" s="8">
        <f>AVERAGE(O2:O5)</f>
        <v/>
      </c>
    </row>
    <row r="15">
      <c r="A15" s="3" t="inlineStr">
        <is>
          <t>Current form (last 6, For)</t>
        </is>
      </c>
      <c r="E15" s="8">
        <f>L5</f>
        <v/>
      </c>
    </row>
    <row r="16">
      <c r="A16" s="3" t="inlineStr">
        <is>
          <t>Current form (last 6, Against)</t>
        </is>
      </c>
      <c r="E16" s="8">
        <f>M5</f>
        <v/>
      </c>
    </row>
  </sheetData>
  <mergeCells count="9">
    <mergeCell ref="A9:D9"/>
    <mergeCell ref="A8:D8"/>
    <mergeCell ref="A12:D12"/>
    <mergeCell ref="A15:D15"/>
    <mergeCell ref="A16:D16"/>
    <mergeCell ref="A11:D11"/>
    <mergeCell ref="A10:D10"/>
    <mergeCell ref="A13:D13"/>
    <mergeCell ref="A14:D14"/>
  </mergeCells>
  <conditionalFormatting sqref="J2:J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Leyton Orient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1.44</v>
      </c>
      <c r="G2" s="4" t="n">
        <v>1.25</v>
      </c>
      <c r="H2" s="4" t="n">
        <v>2.84</v>
      </c>
      <c r="I2" s="4" t="n">
        <v>1.38</v>
      </c>
      <c r="J2" s="4" t="n">
        <v>1.4</v>
      </c>
      <c r="K2" s="4" t="n">
        <v>0.13</v>
      </c>
      <c r="L2" s="4" t="n">
        <v>1.4</v>
      </c>
      <c r="M2" s="4" t="n">
        <v>0.13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Bradford City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1.36</v>
      </c>
      <c r="G3" s="4" t="n">
        <v>1.27</v>
      </c>
      <c r="H3" s="4" t="n">
        <v>1.49</v>
      </c>
      <c r="I3" s="4" t="n">
        <v>0.59</v>
      </c>
      <c r="J3" s="4" t="n">
        <v>0.12</v>
      </c>
      <c r="K3" s="4" t="n">
        <v>-0.68</v>
      </c>
      <c r="L3" s="4" t="n">
        <v>0.76</v>
      </c>
      <c r="M3" s="4" t="n">
        <v>-0.28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Bromley</t>
        </is>
      </c>
      <c r="C4" s="3" t="inlineStr">
        <is>
          <t>Home</t>
        </is>
      </c>
      <c r="D4" s="3" t="n">
        <v>7</v>
      </c>
      <c r="E4" s="3" t="n">
        <v>2</v>
      </c>
      <c r="F4" s="4" t="n">
        <v>1.7</v>
      </c>
      <c r="G4" s="4" t="n">
        <v>1.04</v>
      </c>
      <c r="H4" s="4" t="n">
        <v>4.23</v>
      </c>
      <c r="I4" s="4" t="n">
        <v>1.58</v>
      </c>
      <c r="J4" s="4" t="n">
        <v>2.53</v>
      </c>
      <c r="K4" s="4" t="n">
        <v>0.54</v>
      </c>
      <c r="L4" s="4" t="n">
        <v>1.35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Wycombe Wanderers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1.48</v>
      </c>
      <c r="G5" s="4" t="n">
        <v>1.44</v>
      </c>
      <c r="H5" s="4" t="n">
        <v>2.49</v>
      </c>
      <c r="I5" s="4" t="n">
        <v>1.28</v>
      </c>
      <c r="J5" s="4" t="n">
        <v>1.01</v>
      </c>
      <c r="K5" s="4" t="n">
        <v>-0.16</v>
      </c>
      <c r="L5" s="4" t="n">
        <v>1.27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Peterborough United</t>
        </is>
      </c>
      <c r="C6" s="3" t="inlineStr">
        <is>
          <t>Away</t>
        </is>
      </c>
      <c r="D6" s="3" t="n">
        <v>2</v>
      </c>
      <c r="E6" s="3" t="n">
        <v>1</v>
      </c>
      <c r="F6" s="4" t="n">
        <v>1.74</v>
      </c>
      <c r="G6" s="4" t="n">
        <v>1.41</v>
      </c>
      <c r="H6" s="4" t="n">
        <v>1.36</v>
      </c>
      <c r="I6" s="4" t="n">
        <v>1.97</v>
      </c>
      <c r="J6" s="4" t="n">
        <v>-0.38</v>
      </c>
      <c r="K6" s="4" t="n">
        <v>0.5600000000000001</v>
      </c>
      <c r="L6" s="4" t="n">
        <v>0.9399999999999999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Burton Albion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1.03</v>
      </c>
      <c r="G2" s="4" t="n">
        <v>1.27</v>
      </c>
      <c r="H2" s="4" t="n">
        <v>0.53</v>
      </c>
      <c r="I2" s="4" t="n">
        <v>0.9399999999999999</v>
      </c>
      <c r="J2" s="4" t="n">
        <v>-0.5</v>
      </c>
      <c r="K2" s="4" t="n">
        <v>-0.33</v>
      </c>
      <c r="L2" s="4" t="n">
        <v>-0.5</v>
      </c>
      <c r="M2" s="4" t="n">
        <v>-0.33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Oxford United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1.33</v>
      </c>
      <c r="G3" s="4" t="n">
        <v>1.17</v>
      </c>
      <c r="H3" s="4" t="n">
        <v>1.12</v>
      </c>
      <c r="I3" s="4" t="n">
        <v>1.36</v>
      </c>
      <c r="J3" s="4" t="n">
        <v>-0.21</v>
      </c>
      <c r="K3" s="4" t="n">
        <v>0.19</v>
      </c>
      <c r="L3" s="4" t="n">
        <v>-0.35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Doncaster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1.41</v>
      </c>
      <c r="G4" s="4" t="n">
        <v>1.09</v>
      </c>
      <c r="H4" s="4" t="n">
        <v>0.6</v>
      </c>
      <c r="I4" s="4" t="n">
        <v>0.75</v>
      </c>
      <c r="J4" s="4" t="n">
        <v>-0.8100000000000001</v>
      </c>
      <c r="K4" s="4" t="n">
        <v>-0.34</v>
      </c>
      <c r="L4" s="4" t="n">
        <v>-0.5</v>
      </c>
      <c r="M4" s="4" t="n">
        <v>-0.16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Peterborough United</t>
        </is>
      </c>
      <c r="C5" s="3" t="inlineStr">
        <is>
          <t>Away</t>
        </is>
      </c>
      <c r="D5" s="3" t="n">
        <v>0</v>
      </c>
      <c r="E5" s="3" t="n">
        <v>0</v>
      </c>
      <c r="F5" s="4" t="n">
        <v>1.24</v>
      </c>
      <c r="G5" s="4" t="n">
        <v>1.36</v>
      </c>
      <c r="H5" s="4" t="n">
        <v>0.5600000000000001</v>
      </c>
      <c r="I5" s="4" t="n">
        <v>0.93</v>
      </c>
      <c r="J5" s="4" t="n">
        <v>-0.68</v>
      </c>
      <c r="K5" s="4" t="n">
        <v>-0.43</v>
      </c>
      <c r="L5" s="4" t="n">
        <v>-0.55</v>
      </c>
      <c r="M5" s="4" t="n">
        <v>-0.23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Barnsley</t>
        </is>
      </c>
      <c r="C6" s="3" t="inlineStr">
        <is>
          <t>Away</t>
        </is>
      </c>
      <c r="D6" s="3" t="n">
        <v>5</v>
      </c>
      <c r="E6" s="3" t="n">
        <v>1</v>
      </c>
      <c r="F6" s="4" t="n">
        <v>1.11</v>
      </c>
      <c r="G6" s="4" t="n">
        <v>1.5</v>
      </c>
      <c r="H6" s="4" t="n">
        <v>1.98</v>
      </c>
      <c r="I6" s="4" t="n">
        <v>1.79</v>
      </c>
      <c r="J6" s="4" t="n">
        <v>0.87</v>
      </c>
      <c r="K6" s="4" t="n">
        <v>0.29</v>
      </c>
      <c r="L6" s="4" t="n">
        <v>-0.27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Luton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1.19</v>
      </c>
      <c r="G7" s="4" t="n">
        <v>1.43</v>
      </c>
      <c r="H7" s="4" t="n">
        <v>1.31</v>
      </c>
      <c r="I7" s="4" t="n">
        <v>0.89</v>
      </c>
      <c r="J7" s="4" t="n">
        <v>0.12</v>
      </c>
      <c r="K7" s="4" t="n">
        <v>-0.54</v>
      </c>
      <c r="L7" s="4" t="n">
        <v>-0.2</v>
      </c>
      <c r="M7" s="4" t="n">
        <v>-0.19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Plymouth</t>
        </is>
      </c>
      <c r="C2" s="3" t="inlineStr">
        <is>
          <t>Away</t>
        </is>
      </c>
      <c r="D2" s="3" t="n">
        <v>3</v>
      </c>
      <c r="E2" s="3" t="n">
        <v>1</v>
      </c>
      <c r="F2" s="4" t="n">
        <v>1.27</v>
      </c>
      <c r="G2" s="4" t="n">
        <v>1.64</v>
      </c>
      <c r="H2" s="4" t="n">
        <v>1.81</v>
      </c>
      <c r="I2" s="4" t="n">
        <v>0.92</v>
      </c>
      <c r="J2" s="4" t="n">
        <v>0.54</v>
      </c>
      <c r="K2" s="4" t="n">
        <v>-0.72</v>
      </c>
      <c r="L2" s="4" t="n">
        <v>0.54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Blackpool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1.88</v>
      </c>
      <c r="G3" s="4" t="n">
        <v>0.92</v>
      </c>
      <c r="H3" s="4" t="n">
        <v>3.54</v>
      </c>
      <c r="I3" s="4" t="n">
        <v>1.79</v>
      </c>
      <c r="J3" s="4" t="n">
        <v>1.66</v>
      </c>
      <c r="K3" s="4" t="n">
        <v>0.87</v>
      </c>
      <c r="L3" s="4" t="n">
        <v>1.1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Wycombe Wanderers</t>
        </is>
      </c>
      <c r="C4" s="3" t="inlineStr">
        <is>
          <t>Home</t>
        </is>
      </c>
      <c r="D4" s="3" t="n">
        <v>5</v>
      </c>
      <c r="E4" s="3" t="n">
        <v>1</v>
      </c>
      <c r="F4" s="4" t="n">
        <v>1.67</v>
      </c>
      <c r="G4" s="4" t="n">
        <v>1.09</v>
      </c>
      <c r="H4" s="4" t="n">
        <v>1.21</v>
      </c>
      <c r="I4" s="4" t="n">
        <v>1.52</v>
      </c>
      <c r="J4" s="4" t="n">
        <v>-0.46</v>
      </c>
      <c r="K4" s="4" t="n">
        <v>0.43</v>
      </c>
      <c r="L4" s="4" t="n">
        <v>0.58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Luton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1.31</v>
      </c>
      <c r="G5" s="4" t="n">
        <v>1.6</v>
      </c>
      <c r="H5" s="4" t="n">
        <v>0.76</v>
      </c>
      <c r="I5" s="4" t="n">
        <v>1.4</v>
      </c>
      <c r="J5" s="4" t="n">
        <v>-0.55</v>
      </c>
      <c r="K5" s="4" t="n">
        <v>-0.2</v>
      </c>
      <c r="L5" s="4" t="n">
        <v>0.3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Wigan Athletic</t>
        </is>
      </c>
      <c r="C6" s="3" t="inlineStr">
        <is>
          <t>Away</t>
        </is>
      </c>
      <c r="D6" s="3" t="n">
        <v>4</v>
      </c>
      <c r="E6" s="3" t="n">
        <v>0</v>
      </c>
      <c r="F6" s="4" t="n">
        <v>1.55</v>
      </c>
      <c r="G6" s="4" t="n">
        <v>1.3</v>
      </c>
      <c r="H6" s="4" t="n">
        <v>2.52</v>
      </c>
      <c r="I6" s="4" t="n">
        <v>0.97</v>
      </c>
      <c r="J6" s="4" t="n">
        <v>0.97</v>
      </c>
      <c r="K6" s="4" t="n">
        <v>-0.33</v>
      </c>
      <c r="L6" s="4" t="n">
        <v>0.43</v>
      </c>
      <c r="M6" s="4" t="n">
        <v>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Cambridge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1.13</v>
      </c>
      <c r="G2" s="4" t="n">
        <v>1.28</v>
      </c>
      <c r="H2" s="4" t="n">
        <v>2.2</v>
      </c>
      <c r="I2" s="4" t="n">
        <v>1.74</v>
      </c>
      <c r="J2" s="4" t="n">
        <v>1.07</v>
      </c>
      <c r="K2" s="4" t="n">
        <v>0.46</v>
      </c>
      <c r="L2" s="4" t="n">
        <v>1.07</v>
      </c>
      <c r="M2" s="4" t="n">
        <v>0.46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Leyton Orient</t>
        </is>
      </c>
      <c r="C3" s="3" t="inlineStr">
        <is>
          <t>Home</t>
        </is>
      </c>
      <c r="D3" s="3" t="n">
        <v>0</v>
      </c>
      <c r="E3" s="3" t="n">
        <v>2</v>
      </c>
      <c r="F3" s="4" t="n">
        <v>1.38</v>
      </c>
      <c r="G3" s="4" t="n">
        <v>1.07</v>
      </c>
      <c r="H3" s="4" t="n">
        <v>1.6</v>
      </c>
      <c r="I3" s="4" t="n">
        <v>1.25</v>
      </c>
      <c r="J3" s="4" t="n">
        <v>0.23</v>
      </c>
      <c r="K3" s="4" t="n">
        <v>0.17</v>
      </c>
      <c r="L3" s="4" t="n">
        <v>0.65</v>
      </c>
      <c r="M3" s="4" t="n">
        <v>0.32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AFC Wimbledon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1.39</v>
      </c>
      <c r="G4" s="4" t="n">
        <v>1.11</v>
      </c>
      <c r="H4" s="4" t="n">
        <v>2.96</v>
      </c>
      <c r="I4" s="4" t="n">
        <v>1.21</v>
      </c>
      <c r="J4" s="4" t="n">
        <v>1.57</v>
      </c>
      <c r="K4" s="4" t="n">
        <v>0.1</v>
      </c>
      <c r="L4" s="4" t="n">
        <v>0.95</v>
      </c>
      <c r="M4" s="4" t="n">
        <v>0.25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Milton Keynes Dons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1.37</v>
      </c>
      <c r="G5" s="4" t="n">
        <v>1.2</v>
      </c>
      <c r="H5" s="4" t="n">
        <v>2.02</v>
      </c>
      <c r="I5" s="4" t="n">
        <v>2.47</v>
      </c>
      <c r="J5" s="4" t="n">
        <v>0.65</v>
      </c>
      <c r="K5" s="4" t="n">
        <v>1.27</v>
      </c>
      <c r="L5" s="4" t="n">
        <v>0.88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Stockport County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1.3</v>
      </c>
      <c r="G6" s="4" t="n">
        <v>1.55</v>
      </c>
      <c r="H6" s="4" t="n">
        <v>0.97</v>
      </c>
      <c r="I6" s="4" t="n">
        <v>2.52</v>
      </c>
      <c r="J6" s="4" t="n">
        <v>-0.33</v>
      </c>
      <c r="K6" s="4" t="n">
        <v>0.97</v>
      </c>
      <c r="L6" s="4" t="n">
        <v>0.64</v>
      </c>
      <c r="M6" s="4" t="n">
        <v>0.59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Blackpool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1.3</v>
      </c>
      <c r="G2" s="4" t="n">
        <v>1.36</v>
      </c>
      <c r="H2" s="4" t="n">
        <v>1.29</v>
      </c>
      <c r="I2" s="4" t="n">
        <v>2.37</v>
      </c>
      <c r="J2" s="4" t="n">
        <v>-0.01</v>
      </c>
      <c r="K2" s="4" t="n">
        <v>1.01</v>
      </c>
      <c r="L2" s="4" t="n">
        <v>-0.01</v>
      </c>
      <c r="M2" s="4" t="n">
        <v>1.01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Plymouth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1.44</v>
      </c>
      <c r="G3" s="4" t="n">
        <v>1.35</v>
      </c>
      <c r="H3" s="4" t="n">
        <v>1.89</v>
      </c>
      <c r="I3" s="4" t="n">
        <v>0.76</v>
      </c>
      <c r="J3" s="4" t="n">
        <v>0.45</v>
      </c>
      <c r="K3" s="4" t="n">
        <v>-0.59</v>
      </c>
      <c r="L3" s="4" t="n">
        <v>0.22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Stockport County</t>
        </is>
      </c>
      <c r="C4" s="3" t="inlineStr">
        <is>
          <t>Away</t>
        </is>
      </c>
      <c r="D4" s="3" t="n">
        <v>1</v>
      </c>
      <c r="E4" s="3" t="n">
        <v>5</v>
      </c>
      <c r="F4" s="4" t="n">
        <v>1.09</v>
      </c>
      <c r="G4" s="4" t="n">
        <v>1.67</v>
      </c>
      <c r="H4" s="4" t="n">
        <v>1.52</v>
      </c>
      <c r="I4" s="4" t="n">
        <v>1.21</v>
      </c>
      <c r="J4" s="4" t="n">
        <v>0.43</v>
      </c>
      <c r="K4" s="4" t="n">
        <v>-0.46</v>
      </c>
      <c r="L4" s="4" t="n">
        <v>0.29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Sheffield Wednesday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1.44</v>
      </c>
      <c r="G5" s="4" t="n">
        <v>1.48</v>
      </c>
      <c r="H5" s="4" t="n">
        <v>1.28</v>
      </c>
      <c r="I5" s="4" t="n">
        <v>2.49</v>
      </c>
      <c r="J5" s="4" t="n">
        <v>-0.16</v>
      </c>
      <c r="K5" s="4" t="n">
        <v>1.01</v>
      </c>
      <c r="L5" s="4" t="n">
        <v>0.18</v>
      </c>
      <c r="M5" s="4" t="n">
        <v>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Milton Keynes Dons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</v>
      </c>
      <c r="G6" s="4" t="n">
        <v>1.32</v>
      </c>
      <c r="H6" s="4" t="n">
        <v>1.17</v>
      </c>
      <c r="I6" s="4" t="n">
        <v>2.14</v>
      </c>
      <c r="J6" s="4" t="n">
        <v>-0.33</v>
      </c>
      <c r="K6" s="4" t="n">
        <v>0.82</v>
      </c>
      <c r="L6" s="4" t="n">
        <v>0.07000000000000001</v>
      </c>
      <c r="M6" s="4" t="n">
        <v>0.36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Notts County</t>
        </is>
      </c>
      <c r="C2" t="inlineStr">
        <is>
          <t>Leicester City</t>
        </is>
      </c>
      <c r="D2" t="n">
        <v>1</v>
      </c>
      <c r="E2" t="n">
        <v>1</v>
      </c>
    </row>
    <row r="3">
      <c r="A3" t="inlineStr">
        <is>
          <t>2026-08-15</t>
        </is>
      </c>
      <c r="B3" t="inlineStr">
        <is>
          <t>Oxford United</t>
        </is>
      </c>
      <c r="C3" t="inlineStr">
        <is>
          <t>Milton Keynes Dons</t>
        </is>
      </c>
      <c r="D3" t="n">
        <v>2</v>
      </c>
      <c r="E3" t="n">
        <v>2</v>
      </c>
    </row>
    <row r="4">
      <c r="A4" t="inlineStr">
        <is>
          <t>2026-08-15</t>
        </is>
      </c>
      <c r="B4" t="inlineStr">
        <is>
          <t>Reading</t>
        </is>
      </c>
      <c r="C4" t="inlineStr">
        <is>
          <t>Luton</t>
        </is>
      </c>
      <c r="D4" t="n">
        <v>3</v>
      </c>
      <c r="E4" t="n">
        <v>4</v>
      </c>
    </row>
    <row r="5">
      <c r="A5" t="inlineStr">
        <is>
          <t>2026-08-15</t>
        </is>
      </c>
      <c r="B5" t="inlineStr">
        <is>
          <t>Barnsley</t>
        </is>
      </c>
      <c r="C5" t="inlineStr">
        <is>
          <t>Bromley</t>
        </is>
      </c>
      <c r="D5" t="n">
        <v>0</v>
      </c>
      <c r="E5" t="n">
        <v>1</v>
      </c>
    </row>
    <row r="6">
      <c r="A6" t="inlineStr">
        <is>
          <t>2026-08-15</t>
        </is>
      </c>
      <c r="B6" t="inlineStr">
        <is>
          <t>Blackpool</t>
        </is>
      </c>
      <c r="C6" t="inlineStr">
        <is>
          <t>Wycombe Wanderers</t>
        </is>
      </c>
      <c r="D6" t="n">
        <v>1</v>
      </c>
      <c r="E6" t="n">
        <v>1</v>
      </c>
    </row>
    <row r="7">
      <c r="A7" t="inlineStr">
        <is>
          <t>2026-08-15</t>
        </is>
      </c>
      <c r="B7" t="inlineStr">
        <is>
          <t>Bradford City</t>
        </is>
      </c>
      <c r="C7" t="inlineStr">
        <is>
          <t>Peterborough United</t>
        </is>
      </c>
      <c r="D7" t="n">
        <v>2</v>
      </c>
      <c r="E7" t="n">
        <v>0</v>
      </c>
    </row>
    <row r="8">
      <c r="A8" t="inlineStr">
        <is>
          <t>2026-08-15</t>
        </is>
      </c>
      <c r="B8" t="inlineStr">
        <is>
          <t>Burton Albion</t>
        </is>
      </c>
      <c r="C8" t="inlineStr">
        <is>
          <t>Stevenage</t>
        </is>
      </c>
      <c r="D8" t="n">
        <v>1</v>
      </c>
      <c r="E8" t="n">
        <v>1</v>
      </c>
    </row>
    <row r="9">
      <c r="A9" t="inlineStr">
        <is>
          <t>2026-08-15</t>
        </is>
      </c>
      <c r="B9" t="inlineStr">
        <is>
          <t>Cambridge</t>
        </is>
      </c>
      <c r="C9" t="inlineStr">
        <is>
          <t>Wigan Athletic</t>
        </is>
      </c>
      <c r="D9" t="n">
        <v>3</v>
      </c>
      <c r="E9" t="n">
        <v>2</v>
      </c>
    </row>
    <row r="10">
      <c r="A10" t="inlineStr">
        <is>
          <t>2026-08-15</t>
        </is>
      </c>
      <c r="B10" t="inlineStr">
        <is>
          <t>Huddersfield Town</t>
        </is>
      </c>
      <c r="C10" t="inlineStr">
        <is>
          <t>AFC Wimbledon</t>
        </is>
      </c>
      <c r="D10" t="n">
        <v>3</v>
      </c>
      <c r="E10" t="n">
        <v>0</v>
      </c>
    </row>
    <row r="11">
      <c r="A11" t="inlineStr">
        <is>
          <t>2026-08-15</t>
        </is>
      </c>
      <c r="B11" t="inlineStr">
        <is>
          <t>Leyton Orient</t>
        </is>
      </c>
      <c r="C11" t="inlineStr">
        <is>
          <t>Sheffield Wednesday</t>
        </is>
      </c>
      <c r="D11" t="n">
        <v>1</v>
      </c>
      <c r="E11" t="n">
        <v>2</v>
      </c>
    </row>
    <row r="12">
      <c r="A12" t="inlineStr">
        <is>
          <t>2026-08-15</t>
        </is>
      </c>
      <c r="B12" t="inlineStr">
        <is>
          <t>Mansfield</t>
        </is>
      </c>
      <c r="C12" t="inlineStr">
        <is>
          <t>Doncaster Rovers</t>
        </is>
      </c>
      <c r="D12" t="n">
        <v>2</v>
      </c>
      <c r="E12" t="n">
        <v>1</v>
      </c>
    </row>
    <row r="13">
      <c r="A13" t="inlineStr">
        <is>
          <t>2026-08-15</t>
        </is>
      </c>
      <c r="B13" t="inlineStr">
        <is>
          <t>Plymouth</t>
        </is>
      </c>
      <c r="C13" t="inlineStr">
        <is>
          <t>Stockport County</t>
        </is>
      </c>
      <c r="D13" t="n">
        <v>1</v>
      </c>
      <c r="E13" t="n">
        <v>3</v>
      </c>
    </row>
    <row r="14">
      <c r="A14" t="inlineStr">
        <is>
          <t>2026-08-20</t>
        </is>
      </c>
      <c r="B14" t="inlineStr">
        <is>
          <t>Sheffield Wednesday</t>
        </is>
      </c>
      <c r="C14" t="inlineStr">
        <is>
          <t>Bradford City</t>
        </is>
      </c>
      <c r="D14" t="n">
        <v>0</v>
      </c>
      <c r="E14" t="n">
        <v>1</v>
      </c>
    </row>
    <row r="15">
      <c r="A15" t="inlineStr">
        <is>
          <t>2026-08-22</t>
        </is>
      </c>
      <c r="B15" t="inlineStr">
        <is>
          <t>Doncaster Rovers</t>
        </is>
      </c>
      <c r="C15" t="inlineStr">
        <is>
          <t>Barnsley</t>
        </is>
      </c>
      <c r="D15" t="n">
        <v>0</v>
      </c>
      <c r="E15" t="n">
        <v>0</v>
      </c>
    </row>
    <row r="16">
      <c r="A16" t="inlineStr">
        <is>
          <t>2026-08-22</t>
        </is>
      </c>
      <c r="B16" t="inlineStr">
        <is>
          <t>Luton</t>
        </is>
      </c>
      <c r="C16" t="inlineStr">
        <is>
          <t>Notts County</t>
        </is>
      </c>
      <c r="D16" t="n">
        <v>2</v>
      </c>
      <c r="E16" t="n">
        <v>2</v>
      </c>
    </row>
    <row r="17">
      <c r="A17" t="inlineStr">
        <is>
          <t>2026-08-22</t>
        </is>
      </c>
      <c r="B17" t="inlineStr">
        <is>
          <t>AFC Wimbledon</t>
        </is>
      </c>
      <c r="C17" t="inlineStr">
        <is>
          <t>Reading</t>
        </is>
      </c>
      <c r="D17" t="n">
        <v>0</v>
      </c>
      <c r="E17" t="n">
        <v>0</v>
      </c>
    </row>
    <row r="18">
      <c r="A18" t="inlineStr">
        <is>
          <t>2026-08-22</t>
        </is>
      </c>
      <c r="B18" t="inlineStr">
        <is>
          <t>Bromley</t>
        </is>
      </c>
      <c r="C18" t="inlineStr">
        <is>
          <t>Cambridge</t>
        </is>
      </c>
      <c r="D18" t="n">
        <v>1</v>
      </c>
      <c r="E18" t="n">
        <v>1</v>
      </c>
    </row>
    <row r="19">
      <c r="A19" t="inlineStr">
        <is>
          <t>2026-08-22</t>
        </is>
      </c>
      <c r="B19" t="inlineStr">
        <is>
          <t>Leicester City</t>
        </is>
      </c>
      <c r="C19" t="inlineStr">
        <is>
          <t>Burton Albion</t>
        </is>
      </c>
      <c r="D19" t="n">
        <v>1</v>
      </c>
      <c r="E19" t="n">
        <v>2</v>
      </c>
    </row>
    <row r="20">
      <c r="A20" t="inlineStr">
        <is>
          <t>2026-08-22</t>
        </is>
      </c>
      <c r="B20" t="inlineStr">
        <is>
          <t>Milton Keynes Dons</t>
        </is>
      </c>
      <c r="C20" t="inlineStr">
        <is>
          <t>Huddersfield Town</t>
        </is>
      </c>
      <c r="D20" t="n">
        <v>1</v>
      </c>
      <c r="E20" t="n">
        <v>1</v>
      </c>
    </row>
    <row r="21">
      <c r="A21" t="inlineStr">
        <is>
          <t>2026-08-22</t>
        </is>
      </c>
      <c r="B21" t="inlineStr">
        <is>
          <t>Peterborough United</t>
        </is>
      </c>
      <c r="C21" t="inlineStr">
        <is>
          <t>Mansfield</t>
        </is>
      </c>
      <c r="D21" t="n">
        <v>2</v>
      </c>
      <c r="E21" t="n">
        <v>1</v>
      </c>
    </row>
    <row r="22">
      <c r="A22" t="inlineStr">
        <is>
          <t>2026-08-22</t>
        </is>
      </c>
      <c r="B22" t="inlineStr">
        <is>
          <t>Stevenage</t>
        </is>
      </c>
      <c r="C22" t="inlineStr">
        <is>
          <t>Oxford United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Stockport County</t>
        </is>
      </c>
      <c r="C23" t="inlineStr">
        <is>
          <t>Blackpool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Wigan Athletic</t>
        </is>
      </c>
      <c r="C24" t="inlineStr">
        <is>
          <t>Leyton Orient</t>
        </is>
      </c>
      <c r="D24" t="n">
        <v>0</v>
      </c>
      <c r="E24" t="n">
        <v>2</v>
      </c>
    </row>
    <row r="25">
      <c r="A25" t="inlineStr">
        <is>
          <t>2026-08-22</t>
        </is>
      </c>
      <c r="B25" t="inlineStr">
        <is>
          <t>Wycombe Wanderers</t>
        </is>
      </c>
      <c r="C25" t="inlineStr">
        <is>
          <t>Plymouth</t>
        </is>
      </c>
      <c r="D25" t="n">
        <v>1</v>
      </c>
      <c r="E25" t="n">
        <v>1</v>
      </c>
    </row>
    <row r="26">
      <c r="A26" t="inlineStr">
        <is>
          <t>2026-08-29</t>
        </is>
      </c>
      <c r="B26" t="inlineStr">
        <is>
          <t>Blackpool</t>
        </is>
      </c>
      <c r="C26" t="inlineStr">
        <is>
          <t>Peterborough United</t>
        </is>
      </c>
      <c r="D26" t="n">
        <v>4</v>
      </c>
      <c r="E26" t="n">
        <v>0</v>
      </c>
    </row>
    <row r="27">
      <c r="A27" t="inlineStr">
        <is>
          <t>2026-08-29</t>
        </is>
      </c>
      <c r="B27" t="inlineStr">
        <is>
          <t>Milton Keynes Dons</t>
        </is>
      </c>
      <c r="C27" t="inlineStr">
        <is>
          <t>Leicester City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Cambridge</t>
        </is>
      </c>
      <c r="C28" t="inlineStr">
        <is>
          <t>Huddersfield Town</t>
        </is>
      </c>
      <c r="D28" t="n">
        <v>1</v>
      </c>
      <c r="E28" t="n">
        <v>2</v>
      </c>
    </row>
    <row r="29">
      <c r="A29" t="inlineStr">
        <is>
          <t>2026-08-29</t>
        </is>
      </c>
      <c r="B29" t="inlineStr">
        <is>
          <t>Leyton Orient</t>
        </is>
      </c>
      <c r="C29" t="inlineStr">
        <is>
          <t>Barnsley</t>
        </is>
      </c>
      <c r="D29" t="n">
        <v>1</v>
      </c>
      <c r="E29" t="n">
        <v>3</v>
      </c>
    </row>
    <row r="30">
      <c r="A30" t="inlineStr">
        <is>
          <t>2026-08-29</t>
        </is>
      </c>
      <c r="B30" t="inlineStr">
        <is>
          <t>Notts County</t>
        </is>
      </c>
      <c r="C30" t="inlineStr">
        <is>
          <t>Burton Albion</t>
        </is>
      </c>
      <c r="D30" t="n">
        <v>2</v>
      </c>
      <c r="E30" t="n">
        <v>1</v>
      </c>
    </row>
    <row r="31">
      <c r="A31" t="inlineStr">
        <is>
          <t>2026-08-29</t>
        </is>
      </c>
      <c r="B31" t="inlineStr">
        <is>
          <t>Plymouth</t>
        </is>
      </c>
      <c r="C31" t="inlineStr">
        <is>
          <t>Bradford City</t>
        </is>
      </c>
      <c r="D31" t="n">
        <v>2</v>
      </c>
      <c r="E31" t="n">
        <v>0</v>
      </c>
    </row>
    <row r="32">
      <c r="A32" t="inlineStr">
        <is>
          <t>2026-08-29</t>
        </is>
      </c>
      <c r="B32" t="inlineStr">
        <is>
          <t>Sheffield Wednesday</t>
        </is>
      </c>
      <c r="C32" t="inlineStr">
        <is>
          <t>Bromley</t>
        </is>
      </c>
      <c r="D32" t="n">
        <v>7</v>
      </c>
      <c r="E32" t="n">
        <v>2</v>
      </c>
    </row>
    <row r="33">
      <c r="A33" t="inlineStr">
        <is>
          <t>2026-08-29</t>
        </is>
      </c>
      <c r="B33" t="inlineStr">
        <is>
          <t>Stevenage</t>
        </is>
      </c>
      <c r="C33" t="inlineStr">
        <is>
          <t>Doncaster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Stockport County</t>
        </is>
      </c>
      <c r="C34" t="inlineStr">
        <is>
          <t>Wycombe Wanderers</t>
        </is>
      </c>
      <c r="D34" t="n">
        <v>5</v>
      </c>
      <c r="E34" t="n">
        <v>1</v>
      </c>
    </row>
    <row r="35">
      <c r="A35" t="inlineStr">
        <is>
          <t>2026-08-30</t>
        </is>
      </c>
      <c r="B35" t="inlineStr">
        <is>
          <t>AFC Wimbledon</t>
        </is>
      </c>
      <c r="C35" t="inlineStr">
        <is>
          <t>Wigan Athletic</t>
        </is>
      </c>
      <c r="D35" t="n">
        <v>1</v>
      </c>
      <c r="E35" t="n">
        <v>0</v>
      </c>
    </row>
    <row r="36">
      <c r="A36" t="inlineStr">
        <is>
          <t>2026-08-30</t>
        </is>
      </c>
      <c r="B36" t="inlineStr">
        <is>
          <t>Mansfield</t>
        </is>
      </c>
      <c r="C36" t="inlineStr">
        <is>
          <t>Luton</t>
        </is>
      </c>
      <c r="D36" t="n">
        <v>5</v>
      </c>
      <c r="E36" t="n">
        <v>2</v>
      </c>
    </row>
    <row r="37">
      <c r="A37" t="inlineStr">
        <is>
          <t>2026-09-01</t>
        </is>
      </c>
      <c r="B37" t="inlineStr">
        <is>
          <t>Bradford City</t>
        </is>
      </c>
      <c r="C37" t="inlineStr">
        <is>
          <t>Cambridge</t>
        </is>
      </c>
      <c r="D37" t="n">
        <v>1</v>
      </c>
      <c r="E37" t="n">
        <v>2</v>
      </c>
    </row>
    <row r="38">
      <c r="A38" t="inlineStr">
        <is>
          <t>2026-09-01</t>
        </is>
      </c>
      <c r="B38" t="inlineStr">
        <is>
          <t>Bromley</t>
        </is>
      </c>
      <c r="C38" t="inlineStr">
        <is>
          <t>Leyton Orient</t>
        </is>
      </c>
      <c r="D38" t="n">
        <v>0</v>
      </c>
      <c r="E38" t="n">
        <v>5</v>
      </c>
    </row>
    <row r="39">
      <c r="A39" t="inlineStr">
        <is>
          <t>2026-09-01</t>
        </is>
      </c>
      <c r="B39" t="inlineStr">
        <is>
          <t>Doncaster Rovers</t>
        </is>
      </c>
      <c r="C39" t="inlineStr">
        <is>
          <t>Notts County</t>
        </is>
      </c>
      <c r="D39" t="n">
        <v>1</v>
      </c>
      <c r="E39" t="n">
        <v>1</v>
      </c>
    </row>
    <row r="40">
      <c r="A40" t="inlineStr">
        <is>
          <t>2026-09-01</t>
        </is>
      </c>
      <c r="B40" t="inlineStr">
        <is>
          <t>Huddersfield Town</t>
        </is>
      </c>
      <c r="C40" t="inlineStr">
        <is>
          <t>Oxford United</t>
        </is>
      </c>
      <c r="D40" t="n">
        <v>3</v>
      </c>
      <c r="E40" t="n">
        <v>1</v>
      </c>
    </row>
    <row r="41">
      <c r="A41" t="inlineStr">
        <is>
          <t>2026-09-01</t>
        </is>
      </c>
      <c r="B41" t="inlineStr">
        <is>
          <t>Leicester City</t>
        </is>
      </c>
      <c r="C41" t="inlineStr">
        <is>
          <t>Plymouth</t>
        </is>
      </c>
      <c r="D41" t="n">
        <v>2</v>
      </c>
      <c r="E41" t="n">
        <v>0</v>
      </c>
    </row>
    <row r="42">
      <c r="A42" t="inlineStr">
        <is>
          <t>2026-09-01</t>
        </is>
      </c>
      <c r="B42" t="inlineStr">
        <is>
          <t>Peterborough United</t>
        </is>
      </c>
      <c r="C42" t="inlineStr">
        <is>
          <t>Stevenage</t>
        </is>
      </c>
      <c r="D42" t="n">
        <v>0</v>
      </c>
      <c r="E42" t="n">
        <v>0</v>
      </c>
    </row>
    <row r="43">
      <c r="A43" t="inlineStr">
        <is>
          <t>2026-09-01</t>
        </is>
      </c>
      <c r="B43" t="inlineStr">
        <is>
          <t>Wycombe Wanderers</t>
        </is>
      </c>
      <c r="C43" t="inlineStr">
        <is>
          <t>Sheffield Wednesday</t>
        </is>
      </c>
      <c r="D43" t="n">
        <v>1</v>
      </c>
      <c r="E43" t="n">
        <v>2</v>
      </c>
    </row>
    <row r="44">
      <c r="A44" t="inlineStr">
        <is>
          <t>2026-09-02</t>
        </is>
      </c>
      <c r="B44" t="inlineStr">
        <is>
          <t>Barnsley</t>
        </is>
      </c>
      <c r="C44" t="inlineStr">
        <is>
          <t>Blackpool</t>
        </is>
      </c>
      <c r="D44" t="n">
        <v>2</v>
      </c>
      <c r="E44" t="n">
        <v>1</v>
      </c>
    </row>
    <row r="45">
      <c r="A45" t="inlineStr">
        <is>
          <t>2026-09-02</t>
        </is>
      </c>
      <c r="B45" t="inlineStr">
        <is>
          <t>Burton Albion</t>
        </is>
      </c>
      <c r="C45" t="inlineStr">
        <is>
          <t>AFC Wimbledon</t>
        </is>
      </c>
      <c r="D45" t="n">
        <v>4</v>
      </c>
      <c r="E45" t="n">
        <v>1</v>
      </c>
    </row>
    <row r="46">
      <c r="A46" t="inlineStr">
        <is>
          <t>2026-09-02</t>
        </is>
      </c>
      <c r="B46" t="inlineStr">
        <is>
          <t>Luton</t>
        </is>
      </c>
      <c r="C46" t="inlineStr">
        <is>
          <t>Stockport County</t>
        </is>
      </c>
      <c r="D46" t="n">
        <v>2</v>
      </c>
      <c r="E46" t="n">
        <v>0</v>
      </c>
    </row>
    <row r="47">
      <c r="A47" t="inlineStr">
        <is>
          <t>2026-09-02</t>
        </is>
      </c>
      <c r="B47" t="inlineStr">
        <is>
          <t>Wigan Athletic</t>
        </is>
      </c>
      <c r="C47" t="inlineStr">
        <is>
          <t>Milton Keynes Dons</t>
        </is>
      </c>
      <c r="D47" t="n">
        <v>3</v>
      </c>
      <c r="E47" t="n">
        <v>1</v>
      </c>
    </row>
    <row r="48">
      <c r="A48" t="inlineStr">
        <is>
          <t>2026-09-02</t>
        </is>
      </c>
      <c r="B48" t="inlineStr">
        <is>
          <t>Reading</t>
        </is>
      </c>
      <c r="C48" t="inlineStr">
        <is>
          <t>Mansfield</t>
        </is>
      </c>
      <c r="D48" t="n">
        <v>5</v>
      </c>
      <c r="E48" t="n">
        <v>0</v>
      </c>
    </row>
    <row r="49">
      <c r="A49" t="inlineStr">
        <is>
          <t>2026-09-05</t>
        </is>
      </c>
      <c r="B49" t="inlineStr">
        <is>
          <t>Peterborough United</t>
        </is>
      </c>
      <c r="C49" t="inlineStr">
        <is>
          <t>Sheffield Wednesday</t>
        </is>
      </c>
      <c r="D49" t="n">
        <v>1</v>
      </c>
      <c r="E49" t="n">
        <v>2</v>
      </c>
    </row>
    <row r="50">
      <c r="A50" t="inlineStr">
        <is>
          <t>2026-09-05</t>
        </is>
      </c>
      <c r="B50" t="inlineStr">
        <is>
          <t>Wigan Athletic</t>
        </is>
      </c>
      <c r="C50" t="inlineStr">
        <is>
          <t>Stockport County</t>
        </is>
      </c>
      <c r="D50" t="n">
        <v>0</v>
      </c>
      <c r="E50" t="n">
        <v>4</v>
      </c>
    </row>
    <row r="51">
      <c r="A51" t="inlineStr">
        <is>
          <t>2026-09-05</t>
        </is>
      </c>
      <c r="B51" t="inlineStr">
        <is>
          <t>Barnsley</t>
        </is>
      </c>
      <c r="C51" t="inlineStr">
        <is>
          <t>Stevenage</t>
        </is>
      </c>
      <c r="D51" t="n">
        <v>1</v>
      </c>
      <c r="E51" t="n">
        <v>5</v>
      </c>
    </row>
    <row r="52">
      <c r="A52" t="inlineStr">
        <is>
          <t>2026-09-05</t>
        </is>
      </c>
      <c r="B52" t="inlineStr">
        <is>
          <t>Bradford City</t>
        </is>
      </c>
      <c r="C52" t="inlineStr">
        <is>
          <t>Mansfield</t>
        </is>
      </c>
      <c r="D52" t="n">
        <v>1</v>
      </c>
      <c r="E52" t="n">
        <v>0</v>
      </c>
    </row>
    <row r="53">
      <c r="A53" t="inlineStr">
        <is>
          <t>2026-09-05</t>
        </is>
      </c>
      <c r="B53" t="inlineStr">
        <is>
          <t>Burton Albion</t>
        </is>
      </c>
      <c r="C53" t="inlineStr">
        <is>
          <t>Cambridge</t>
        </is>
      </c>
      <c r="D53" t="n">
        <v>2</v>
      </c>
      <c r="E53" t="n">
        <v>2</v>
      </c>
    </row>
    <row r="54">
      <c r="A54" t="inlineStr">
        <is>
          <t>2026-09-05</t>
        </is>
      </c>
      <c r="B54" t="inlineStr">
        <is>
          <t>Doncaster Rovers</t>
        </is>
      </c>
      <c r="C54" t="inlineStr">
        <is>
          <t>Plymouth</t>
        </is>
      </c>
      <c r="D54" t="n">
        <v>2</v>
      </c>
      <c r="E54" t="n">
        <v>3</v>
      </c>
    </row>
    <row r="55">
      <c r="A55" t="inlineStr">
        <is>
          <t>2026-09-05</t>
        </is>
      </c>
      <c r="B55" t="inlineStr">
        <is>
          <t>Huddersfield Town</t>
        </is>
      </c>
      <c r="C55" t="inlineStr">
        <is>
          <t>Notts County</t>
        </is>
      </c>
      <c r="D55" t="n">
        <v>1</v>
      </c>
      <c r="E55" t="n">
        <v>1</v>
      </c>
    </row>
    <row r="56">
      <c r="A56" t="inlineStr">
        <is>
          <t>2026-09-05</t>
        </is>
      </c>
      <c r="B56" t="inlineStr">
        <is>
          <t>Leicester City</t>
        </is>
      </c>
      <c r="C56" t="inlineStr">
        <is>
          <t>Oxford United</t>
        </is>
      </c>
      <c r="D56" t="n">
        <v>0</v>
      </c>
      <c r="E56" t="n">
        <v>4</v>
      </c>
    </row>
    <row r="57">
      <c r="A57" t="inlineStr">
        <is>
          <t>2026-09-05</t>
        </is>
      </c>
      <c r="B57" t="inlineStr">
        <is>
          <t>Luton</t>
        </is>
      </c>
      <c r="C57" t="inlineStr">
        <is>
          <t>Leyton Orient</t>
        </is>
      </c>
      <c r="D57" t="n">
        <v>1</v>
      </c>
      <c r="E57" t="n">
        <v>1</v>
      </c>
    </row>
    <row r="58">
      <c r="A58" t="inlineStr">
        <is>
          <t>2026-09-05</t>
        </is>
      </c>
      <c r="B58" t="inlineStr">
        <is>
          <t>Reading</t>
        </is>
      </c>
      <c r="C58" t="inlineStr">
        <is>
          <t>Blackpool</t>
        </is>
      </c>
      <c r="D58" t="n">
        <v>3</v>
      </c>
      <c r="E58" t="n">
        <v>1</v>
      </c>
    </row>
    <row r="59">
      <c r="A59" t="inlineStr">
        <is>
          <t>2026-09-05</t>
        </is>
      </c>
      <c r="B59" t="inlineStr">
        <is>
          <t>Wycombe Wanderers</t>
        </is>
      </c>
      <c r="C59" t="inlineStr">
        <is>
          <t>Milton Keynes Dons</t>
        </is>
      </c>
      <c r="D59" t="n">
        <v>3</v>
      </c>
      <c r="E59" t="n">
        <v>3</v>
      </c>
    </row>
    <row r="60">
      <c r="A60" t="inlineStr">
        <is>
          <t>2026-09-07</t>
        </is>
      </c>
      <c r="B60" t="inlineStr">
        <is>
          <t>Bromley</t>
        </is>
      </c>
      <c r="C60" t="inlineStr">
        <is>
          <t>AFC Wimbledon</t>
        </is>
      </c>
      <c r="D60" t="n">
        <v>0</v>
      </c>
      <c r="E60" t="n">
        <v>2</v>
      </c>
    </row>
    <row r="61">
      <c r="A61" t="inlineStr">
        <is>
          <t>2026-09-10</t>
        </is>
      </c>
      <c r="B61" t="inlineStr">
        <is>
          <t>Stevenage</t>
        </is>
      </c>
      <c r="C61" t="inlineStr">
        <is>
          <t>Luton</t>
        </is>
      </c>
      <c r="D61" t="n">
        <v>2</v>
      </c>
      <c r="E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2026-09-11T16:05:13Z</dcterms:created>
  <dcterms:modified xsi:type="dcterms:W3CDTF">2026-09-11T16:05:13Z</dcterms:modified>
</cp:coreProperties>
</file>