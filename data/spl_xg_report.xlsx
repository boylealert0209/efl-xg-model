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xPts Table" sheetId="4" state="visible" r:id="rId4"/>
    <sheet name="Dashboard" sheetId="5" state="visible" r:id="rId5"/>
    <sheet name="Data Quality" sheetId="6" state="visible" r:id="rId6"/>
    <sheet name="Match Log" sheetId="7" state="visible" r:id="rId7"/>
    <sheet name="Home &amp; Away Splits" sheetId="8" state="visible" r:id="rId8"/>
    <sheet name="Supremacy Delta" sheetId="9" state="visible" r:id="rId9"/>
    <sheet name="Supremacy Delta (Home)" sheetId="10" state="visible" r:id="rId10"/>
    <sheet name="Supremacy Delta (Away)" sheetId="11" state="visible" r:id="rId11"/>
    <sheet name="Total xG Delta" sheetId="12" state="visible" r:id="rId12"/>
    <sheet name="Upcoming Fixtures" sheetId="13" state="visible" r:id="rId13"/>
    <sheet name="Aberdeen" sheetId="14" state="visible" r:id="rId14"/>
    <sheet name="Celtic" sheetId="15" state="visible" r:id="rId15"/>
    <sheet name="Dundee" sheetId="16" state="visible" r:id="rId16"/>
    <sheet name="Dundee United" sheetId="17" state="visible" r:id="rId17"/>
    <sheet name="Falkirk" sheetId="18" state="visible" r:id="rId18"/>
    <sheet name="Heart of Midlothian" sheetId="19" state="visible" r:id="rId19"/>
    <sheet name="Hibernian" sheetId="20" state="visible" r:id="rId20"/>
    <sheet name="Kilmarnock" sheetId="21" state="visible" r:id="rId21"/>
    <sheet name="Motherwell" sheetId="22" state="visible" r:id="rId22"/>
    <sheet name="Rangers" sheetId="23" state="visible" r:id="rId23"/>
    <sheet name="St Johnstone" sheetId="24" state="visible" r:id="rId24"/>
    <sheet name="St Mirren" sheetId="25" state="visible" r:id="rId25"/>
    <sheet name="Results Data" sheetId="26" state="hidden" r:id="rId26"/>
  </sheets>
  <definedNames>
    <definedName name="_xlnm._FilterDatabase" localSheetId="6" hidden="1">'Match Log'!$A$1:$Q$34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color rgb="00595959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2" fillId="5" borderId="0" pivotButton="0" quotePrefix="0" xfId="0"/>
    <xf numFmtId="2" fontId="2" fillId="4" borderId="1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xG Delta (For)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</f>
            </strRef>
          </tx>
          <spPr>
            <a:ln>
              <a:prstDash val="solid"/>
            </a:ln>
          </spPr>
          <cat>
            <numRef>
              <f>'Overview'!$A$2:$A$13</f>
            </numRef>
          </cat>
          <val>
            <numRef>
              <f>'Overview'!$E$2:$E$13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xG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Supremacy Delta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'Overview'!M1</f>
            </strRef>
          </tx>
          <spPr>
            <a:ln>
              <a:prstDash val="solid"/>
            </a:ln>
          </spPr>
          <cat>
            <numRef>
              <f>'Overview'!$A$2:$A$13</f>
            </numRef>
          </cat>
          <val>
            <numRef>
              <f>'Overview'!$M$2:$M$13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Supremacy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xPts: Actual vs Market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'xPts Table'!D1</f>
            </strRef>
          </tx>
          <spPr>
            <a:ln>
              <a:prstDash val="solid"/>
            </a:ln>
          </spPr>
          <cat>
            <numRef>
              <f>'xPts Table'!$B$2:$B$13</f>
            </numRef>
          </cat>
          <val>
            <numRef>
              <f>'xPts Table'!$D$2:$D$13</f>
            </numRef>
          </val>
        </ser>
        <ser>
          <idx val="1"/>
          <order val="1"/>
          <tx>
            <strRef>
              <f>'xPts Table'!E1</f>
            </strRef>
          </tx>
          <spPr>
            <a:ln>
              <a:prstDash val="solid"/>
            </a:ln>
          </spPr>
          <cat>
            <numRef>
              <f>'xPts Table'!$B$2:$B$13</f>
            </numRef>
          </cat>
          <val>
            <numRef>
              <f>'xPts Table'!$E$2:$E$13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Expected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45</row>
      <rowOff>0</rowOff>
    </from>
    <ext cx="79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xPts Table - teams ranked by season-total expected points (deserved points from actual xG, plus what the market expected), a "truer" table than the real one below since it's driven by chance quality rather than which chances actually went in.</t>
        </is>
      </c>
    </row>
    <row r="7" ht="30" customHeight="1">
      <c r="A7" s="3" t="inlineStr">
        <is>
          <t>Dashboard - three league-wide charts (xG Delta For, Supremacy Delta, xPts Actual vs Market) so patterns are visible at a glance instead of scrolling through team tabs.</t>
        </is>
      </c>
    </row>
    <row r="8" ht="30" customHeight="1">
      <c r="A8" s="3" t="inlineStr">
        <is>
          <t>Data Quality - flags fixtures with missing/negative xG or goals, or suspicious exact-0.00 xG on both sides - a first stop before trusting a given run's numbers.</t>
        </is>
      </c>
    </row>
    <row r="9" ht="30" customHeight="1">
      <c r="A9" s="3" t="inlineStr">
        <is>
          <t>Match Log - the single master data table: one row per fixture (not per team) with every core stat, and an AutoFilter so you can filter by team/venue without hunting through team tabs.</t>
        </is>
      </c>
    </row>
    <row r="10" ht="30" customHeight="1">
      <c r="A10" s="3" t="inlineStr">
        <is>
          <t>Home &amp; Away Splits - Total/Home/Away average and median supremacy, and Total/Home/Away goals, for every team.</t>
        </is>
      </c>
    </row>
    <row r="11" ht="30" customHeight="1">
      <c r="A11" s="3" t="inlineStr">
        <is>
          <t>Supremacy Delta / (Home) / (Away) - match-by-match grids of actual vs. expected xG supremacy.</t>
        </is>
      </c>
    </row>
    <row r="12" ht="30" customHeight="1">
      <c r="A12" s="3" t="inlineStr">
        <is>
          <t>Total xG Delta - match-by-match grid of how much higher/lower-scoring each match was than the market expected.</t>
        </is>
      </c>
    </row>
    <row r="13" ht="30" customHeight="1">
      <c r="A13" s="3" t="inlineStr">
        <is>
          <t>Upcoming Fixtures - only present if fixture data was supplied; see below for how it's ranked.</t>
        </is>
      </c>
    </row>
    <row r="14" ht="30" customHeight="1">
      <c r="A14" s="3" t="inlineStr">
        <is>
          <t>One tab per team - full match log, season summary (average AND median of every delta stat), and a Home/Away split table.</t>
        </is>
      </c>
    </row>
    <row r="15" ht="8" customHeight="1">
      <c r="A15" s="3" t="inlineStr"/>
    </row>
    <row r="16" ht="30" customHeight="1">
      <c r="A16" s="2" t="inlineStr">
        <is>
          <t>Judgement calls made where the brief was ambiguous</t>
        </is>
      </c>
    </row>
    <row r="17" ht="30" customHeight="1">
      <c r="A17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8" ht="30" customHeight="1">
      <c r="A18" s="3" t="inlineStr">
        <is>
          <t>• "Total xG data sheet ... order by average": Total xG Delta is sorted by its own average, highest (most above the market's pre-match total-goals expectation) first.</t>
        </is>
      </c>
    </row>
    <row r="19" ht="30" customHeight="1">
      <c r="A19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20" ht="30" customHeight="1">
      <c r="A20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21" ht="30" customHeight="1">
      <c r="A21" s="3" t="inlineStr">
        <is>
          <t>• xPts (expected points) use an independent-Poisson scoreline model - each side's goals treated as Poisson-distributed around its xG, win/draw/loss probabilities computed from that, then 3×P(win) + 1×P(draw). It's the standard, simple way to turn two xG numbers into a points estimate - not fitted to this league's actual scoring distribution - so treat xPts Delta as a useful signal, not a precise number.</t>
        </is>
      </c>
    </row>
    <row r="22" ht="30" customHeight="1">
      <c r="A22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Celtic</t>
        </is>
      </c>
      <c r="C2" s="6">
        <f>COUNTIF('Results Data'!$B$2:$B$34,$B2)+COUNTIF('Results Data'!$C$2:$C$34,$B2)</f>
        <v/>
      </c>
      <c r="D2" s="6">
        <f>SUMPRODUCT(('Results Data'!$B$2:$B$34=$B2)*('Results Data'!$D$2:$D$34&gt;'Results Data'!$E$2:$E$34))+SUMPRODUCT(('Results Data'!$C$2:$C$34=$B2)*('Results Data'!$E$2:$E$34&gt;'Results Data'!$D$2:$D$34))</f>
        <v/>
      </c>
      <c r="E2" s="6">
        <f>SUMPRODUCT(('Results Data'!$B$2:$B$34=$B2)*('Results Data'!$D$2:$D$34='Results Data'!$E$2:$E$34))+SUMPRODUCT(('Results Data'!$C$2:$C$34=$B2)*('Results Data'!$E$2:$E$34='Results Data'!$D$2:$D$34))</f>
        <v/>
      </c>
      <c r="F2" s="6">
        <f>C2-D2-E2</f>
        <v/>
      </c>
      <c r="G2" s="6">
        <f>SUMIF('Results Data'!$B$2:$B$34,$B2,'Results Data'!$D$2:$D$34)+SUMIF('Results Data'!$C$2:$C$34,$B2,'Results Data'!$E$2:$E$34)</f>
        <v/>
      </c>
      <c r="H2" s="6">
        <f>SUMIF('Results Data'!$B$2:$B$34,$B2,'Results Data'!$E$2:$E$34)+SUMIF('Results Data'!$C$2:$C$34,$B2,'Results Data'!$D$2:$D$34)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Rangers</t>
        </is>
      </c>
      <c r="C3" s="8">
        <f>COUNTIF('Results Data'!$B$2:$B$34,$B3)+COUNTIF('Results Data'!$C$2:$C$34,$B3)</f>
        <v/>
      </c>
      <c r="D3" s="8">
        <f>SUMPRODUCT(('Results Data'!$B$2:$B$34=$B3)*('Results Data'!$D$2:$D$34&gt;'Results Data'!$E$2:$E$34))+SUMPRODUCT(('Results Data'!$C$2:$C$34=$B3)*('Results Data'!$E$2:$E$34&gt;'Results Data'!$D$2:$D$34))</f>
        <v/>
      </c>
      <c r="E3" s="8">
        <f>SUMPRODUCT(('Results Data'!$B$2:$B$34=$B3)*('Results Data'!$D$2:$D$34='Results Data'!$E$2:$E$34))+SUMPRODUCT(('Results Data'!$C$2:$C$34=$B3)*('Results Data'!$E$2:$E$34='Results Data'!$D$2:$D$34))</f>
        <v/>
      </c>
      <c r="F3" s="8">
        <f>C3-D3-E3</f>
        <v/>
      </c>
      <c r="G3" s="8">
        <f>SUMIF('Results Data'!$B$2:$B$34,$B3,'Results Data'!$D$2:$D$34)+SUMIF('Results Data'!$C$2:$C$34,$B3,'Results Data'!$E$2:$E$34)</f>
        <v/>
      </c>
      <c r="H3" s="8">
        <f>SUMIF('Results Data'!$B$2:$B$34,$B3,'Results Data'!$E$2:$E$34)+SUMIF('Results Data'!$C$2:$C$34,$B3,'Results Data'!$D$2:$D$34)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Heart of Midlothian</t>
        </is>
      </c>
      <c r="C4" s="6">
        <f>COUNTIF('Results Data'!$B$2:$B$34,$B4)+COUNTIF('Results Data'!$C$2:$C$34,$B4)</f>
        <v/>
      </c>
      <c r="D4" s="6">
        <f>SUMPRODUCT(('Results Data'!$B$2:$B$34=$B4)*('Results Data'!$D$2:$D$34&gt;'Results Data'!$E$2:$E$34))+SUMPRODUCT(('Results Data'!$C$2:$C$34=$B4)*('Results Data'!$E$2:$E$34&gt;'Results Data'!$D$2:$D$34))</f>
        <v/>
      </c>
      <c r="E4" s="6">
        <f>SUMPRODUCT(('Results Data'!$B$2:$B$34=$B4)*('Results Data'!$D$2:$D$34='Results Data'!$E$2:$E$34))+SUMPRODUCT(('Results Data'!$C$2:$C$34=$B4)*('Results Data'!$E$2:$E$34='Results Data'!$D$2:$D$34))</f>
        <v/>
      </c>
      <c r="F4" s="6">
        <f>C4-D4-E4</f>
        <v/>
      </c>
      <c r="G4" s="6">
        <f>SUMIF('Results Data'!$B$2:$B$34,$B4,'Results Data'!$D$2:$D$34)+SUMIF('Results Data'!$C$2:$C$34,$B4,'Results Data'!$E$2:$E$34)</f>
        <v/>
      </c>
      <c r="H4" s="6">
        <f>SUMIF('Results Data'!$B$2:$B$34,$B4,'Results Data'!$E$2:$E$34)+SUMIF('Results Data'!$C$2:$C$34,$B4,'Results Data'!$D$2:$D$34)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St Mirren</t>
        </is>
      </c>
      <c r="C5" s="8">
        <f>COUNTIF('Results Data'!$B$2:$B$34,$B5)+COUNTIF('Results Data'!$C$2:$C$34,$B5)</f>
        <v/>
      </c>
      <c r="D5" s="8">
        <f>SUMPRODUCT(('Results Data'!$B$2:$B$34=$B5)*('Results Data'!$D$2:$D$34&gt;'Results Data'!$E$2:$E$34))+SUMPRODUCT(('Results Data'!$C$2:$C$34=$B5)*('Results Data'!$E$2:$E$34&gt;'Results Data'!$D$2:$D$34))</f>
        <v/>
      </c>
      <c r="E5" s="8">
        <f>SUMPRODUCT(('Results Data'!$B$2:$B$34=$B5)*('Results Data'!$D$2:$D$34='Results Data'!$E$2:$E$34))+SUMPRODUCT(('Results Data'!$C$2:$C$34=$B5)*('Results Data'!$E$2:$E$34='Results Data'!$D$2:$D$34))</f>
        <v/>
      </c>
      <c r="F5" s="8">
        <f>C5-D5-E5</f>
        <v/>
      </c>
      <c r="G5" s="8">
        <f>SUMIF('Results Data'!$B$2:$B$34,$B5,'Results Data'!$D$2:$D$34)+SUMIF('Results Data'!$C$2:$C$34,$B5,'Results Data'!$E$2:$E$34)</f>
        <v/>
      </c>
      <c r="H5" s="8">
        <f>SUMIF('Results Data'!$B$2:$B$34,$B5,'Results Data'!$E$2:$E$34)+SUMIF('Results Data'!$C$2:$C$34,$B5,'Results Data'!$D$2:$D$34)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Motherwell</t>
        </is>
      </c>
      <c r="C6" s="6">
        <f>COUNTIF('Results Data'!$B$2:$B$34,$B6)+COUNTIF('Results Data'!$C$2:$C$34,$B6)</f>
        <v/>
      </c>
      <c r="D6" s="6">
        <f>SUMPRODUCT(('Results Data'!$B$2:$B$34=$B6)*('Results Data'!$D$2:$D$34&gt;'Results Data'!$E$2:$E$34))+SUMPRODUCT(('Results Data'!$C$2:$C$34=$B6)*('Results Data'!$E$2:$E$34&gt;'Results Data'!$D$2:$D$34))</f>
        <v/>
      </c>
      <c r="E6" s="6">
        <f>SUMPRODUCT(('Results Data'!$B$2:$B$34=$B6)*('Results Data'!$D$2:$D$34='Results Data'!$E$2:$E$34))+SUMPRODUCT(('Results Data'!$C$2:$C$34=$B6)*('Results Data'!$E$2:$E$34='Results Data'!$D$2:$D$34))</f>
        <v/>
      </c>
      <c r="F6" s="6">
        <f>C6-D6-E6</f>
        <v/>
      </c>
      <c r="G6" s="6">
        <f>SUMIF('Results Data'!$B$2:$B$34,$B6,'Results Data'!$D$2:$D$34)+SUMIF('Results Data'!$C$2:$C$34,$B6,'Results Data'!$E$2:$E$34)</f>
        <v/>
      </c>
      <c r="H6" s="6">
        <f>SUMIF('Results Data'!$B$2:$B$34,$B6,'Results Data'!$E$2:$E$34)+SUMIF('Results Data'!$C$2:$C$34,$B6,'Results Data'!$D$2:$D$34)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Dundee</t>
        </is>
      </c>
      <c r="C7" s="8">
        <f>COUNTIF('Results Data'!$B$2:$B$34,$B7)+COUNTIF('Results Data'!$C$2:$C$34,$B7)</f>
        <v/>
      </c>
      <c r="D7" s="8">
        <f>SUMPRODUCT(('Results Data'!$B$2:$B$34=$B7)*('Results Data'!$D$2:$D$34&gt;'Results Data'!$E$2:$E$34))+SUMPRODUCT(('Results Data'!$C$2:$C$34=$B7)*('Results Data'!$E$2:$E$34&gt;'Results Data'!$D$2:$D$34))</f>
        <v/>
      </c>
      <c r="E7" s="8">
        <f>SUMPRODUCT(('Results Data'!$B$2:$B$34=$B7)*('Results Data'!$D$2:$D$34='Results Data'!$E$2:$E$34))+SUMPRODUCT(('Results Data'!$C$2:$C$34=$B7)*('Results Data'!$E$2:$E$34='Results Data'!$D$2:$D$34))</f>
        <v/>
      </c>
      <c r="F7" s="8">
        <f>C7-D7-E7</f>
        <v/>
      </c>
      <c r="G7" s="8">
        <f>SUMIF('Results Data'!$B$2:$B$34,$B7,'Results Data'!$D$2:$D$34)+SUMIF('Results Data'!$C$2:$C$34,$B7,'Results Data'!$E$2:$E$34)</f>
        <v/>
      </c>
      <c r="H7" s="8">
        <f>SUMIF('Results Data'!$B$2:$B$34,$B7,'Results Data'!$E$2:$E$34)+SUMIF('Results Data'!$C$2:$C$34,$B7,'Results Data'!$D$2:$D$34)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St Johnstone</t>
        </is>
      </c>
      <c r="C8" s="6">
        <f>COUNTIF('Results Data'!$B$2:$B$34,$B8)+COUNTIF('Results Data'!$C$2:$C$34,$B8)</f>
        <v/>
      </c>
      <c r="D8" s="6">
        <f>SUMPRODUCT(('Results Data'!$B$2:$B$34=$B8)*('Results Data'!$D$2:$D$34&gt;'Results Data'!$E$2:$E$34))+SUMPRODUCT(('Results Data'!$C$2:$C$34=$B8)*('Results Data'!$E$2:$E$34&gt;'Results Data'!$D$2:$D$34))</f>
        <v/>
      </c>
      <c r="E8" s="6">
        <f>SUMPRODUCT(('Results Data'!$B$2:$B$34=$B8)*('Results Data'!$D$2:$D$34='Results Data'!$E$2:$E$34))+SUMPRODUCT(('Results Data'!$C$2:$C$34=$B8)*('Results Data'!$E$2:$E$34='Results Data'!$D$2:$D$34))</f>
        <v/>
      </c>
      <c r="F8" s="6">
        <f>C8-D8-E8</f>
        <v/>
      </c>
      <c r="G8" s="6">
        <f>SUMIF('Results Data'!$B$2:$B$34,$B8,'Results Data'!$D$2:$D$34)+SUMIF('Results Data'!$C$2:$C$34,$B8,'Results Data'!$E$2:$E$34)</f>
        <v/>
      </c>
      <c r="H8" s="6">
        <f>SUMIF('Results Data'!$B$2:$B$34,$B8,'Results Data'!$E$2:$E$34)+SUMIF('Results Data'!$C$2:$C$34,$B8,'Results Data'!$D$2:$D$34)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Hibernian</t>
        </is>
      </c>
      <c r="C9" s="8">
        <f>COUNTIF('Results Data'!$B$2:$B$34,$B9)+COUNTIF('Results Data'!$C$2:$C$34,$B9)</f>
        <v/>
      </c>
      <c r="D9" s="8">
        <f>SUMPRODUCT(('Results Data'!$B$2:$B$34=$B9)*('Results Data'!$D$2:$D$34&gt;'Results Data'!$E$2:$E$34))+SUMPRODUCT(('Results Data'!$C$2:$C$34=$B9)*('Results Data'!$E$2:$E$34&gt;'Results Data'!$D$2:$D$34))</f>
        <v/>
      </c>
      <c r="E9" s="8">
        <f>SUMPRODUCT(('Results Data'!$B$2:$B$34=$B9)*('Results Data'!$D$2:$D$34='Results Data'!$E$2:$E$34))+SUMPRODUCT(('Results Data'!$C$2:$C$34=$B9)*('Results Data'!$E$2:$E$34='Results Data'!$D$2:$D$34))</f>
        <v/>
      </c>
      <c r="F9" s="8">
        <f>C9-D9-E9</f>
        <v/>
      </c>
      <c r="G9" s="8">
        <f>SUMIF('Results Data'!$B$2:$B$34,$B9,'Results Data'!$D$2:$D$34)+SUMIF('Results Data'!$C$2:$C$34,$B9,'Results Data'!$E$2:$E$34)</f>
        <v/>
      </c>
      <c r="H9" s="8">
        <f>SUMIF('Results Data'!$B$2:$B$34,$B9,'Results Data'!$E$2:$E$34)+SUMIF('Results Data'!$C$2:$C$34,$B9,'Results Data'!$D$2:$D$34)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Dundee United</t>
        </is>
      </c>
      <c r="C10" s="6">
        <f>COUNTIF('Results Data'!$B$2:$B$34,$B10)+COUNTIF('Results Data'!$C$2:$C$34,$B10)</f>
        <v/>
      </c>
      <c r="D10" s="6">
        <f>SUMPRODUCT(('Results Data'!$B$2:$B$34=$B10)*('Results Data'!$D$2:$D$34&gt;'Results Data'!$E$2:$E$34))+SUMPRODUCT(('Results Data'!$C$2:$C$34=$B10)*('Results Data'!$E$2:$E$34&gt;'Results Data'!$D$2:$D$34))</f>
        <v/>
      </c>
      <c r="E10" s="6">
        <f>SUMPRODUCT(('Results Data'!$B$2:$B$34=$B10)*('Results Data'!$D$2:$D$34='Results Data'!$E$2:$E$34))+SUMPRODUCT(('Results Data'!$C$2:$C$34=$B10)*('Results Data'!$E$2:$E$34='Results Data'!$D$2:$D$34))</f>
        <v/>
      </c>
      <c r="F10" s="6">
        <f>C10-D10-E10</f>
        <v/>
      </c>
      <c r="G10" s="6">
        <f>SUMIF('Results Data'!$B$2:$B$34,$B10,'Results Data'!$D$2:$D$34)+SUMIF('Results Data'!$C$2:$C$34,$B10,'Results Data'!$E$2:$E$34)</f>
        <v/>
      </c>
      <c r="H10" s="6">
        <f>SUMIF('Results Data'!$B$2:$B$34,$B10,'Results Data'!$E$2:$E$34)+SUMIF('Results Data'!$C$2:$C$34,$B10,'Results Data'!$D$2:$D$34)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Aberdeen</t>
        </is>
      </c>
      <c r="C11" s="8">
        <f>COUNTIF('Results Data'!$B$2:$B$34,$B11)+COUNTIF('Results Data'!$C$2:$C$34,$B11)</f>
        <v/>
      </c>
      <c r="D11" s="8">
        <f>SUMPRODUCT(('Results Data'!$B$2:$B$34=$B11)*('Results Data'!$D$2:$D$34&gt;'Results Data'!$E$2:$E$34))+SUMPRODUCT(('Results Data'!$C$2:$C$34=$B11)*('Results Data'!$E$2:$E$34&gt;'Results Data'!$D$2:$D$34))</f>
        <v/>
      </c>
      <c r="E11" s="8">
        <f>SUMPRODUCT(('Results Data'!$B$2:$B$34=$B11)*('Results Data'!$D$2:$D$34='Results Data'!$E$2:$E$34))+SUMPRODUCT(('Results Data'!$C$2:$C$34=$B11)*('Results Data'!$E$2:$E$34='Results Data'!$D$2:$D$34))</f>
        <v/>
      </c>
      <c r="F11" s="8">
        <f>C11-D11-E11</f>
        <v/>
      </c>
      <c r="G11" s="8">
        <f>SUMIF('Results Data'!$B$2:$B$34,$B11,'Results Data'!$D$2:$D$34)+SUMIF('Results Data'!$C$2:$C$34,$B11,'Results Data'!$E$2:$E$34)</f>
        <v/>
      </c>
      <c r="H11" s="8">
        <f>SUMIF('Results Data'!$B$2:$B$34,$B11,'Results Data'!$E$2:$E$34)+SUMIF('Results Data'!$C$2:$C$34,$B11,'Results Data'!$D$2:$D$34)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Falkirk</t>
        </is>
      </c>
      <c r="C12" s="6">
        <f>COUNTIF('Results Data'!$B$2:$B$34,$B12)+COUNTIF('Results Data'!$C$2:$C$34,$B12)</f>
        <v/>
      </c>
      <c r="D12" s="6">
        <f>SUMPRODUCT(('Results Data'!$B$2:$B$34=$B12)*('Results Data'!$D$2:$D$34&gt;'Results Data'!$E$2:$E$34))+SUMPRODUCT(('Results Data'!$C$2:$C$34=$B12)*('Results Data'!$E$2:$E$34&gt;'Results Data'!$D$2:$D$34))</f>
        <v/>
      </c>
      <c r="E12" s="6">
        <f>SUMPRODUCT(('Results Data'!$B$2:$B$34=$B12)*('Results Data'!$D$2:$D$34='Results Data'!$E$2:$E$34))+SUMPRODUCT(('Results Data'!$C$2:$C$34=$B12)*('Results Data'!$E$2:$E$34='Results Data'!$D$2:$D$34))</f>
        <v/>
      </c>
      <c r="F12" s="6">
        <f>C12-D12-E12</f>
        <v/>
      </c>
      <c r="G12" s="6">
        <f>SUMIF('Results Data'!$B$2:$B$34,$B12,'Results Data'!$D$2:$D$34)+SUMIF('Results Data'!$C$2:$C$34,$B12,'Results Data'!$E$2:$E$34)</f>
        <v/>
      </c>
      <c r="H12" s="6">
        <f>SUMIF('Results Data'!$B$2:$B$34,$B12,'Results Data'!$E$2:$E$34)+SUMIF('Results Data'!$C$2:$C$34,$B12,'Results Data'!$D$2:$D$34)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Kilmarnock</t>
        </is>
      </c>
      <c r="C13" s="8">
        <f>COUNTIF('Results Data'!$B$2:$B$34,$B13)+COUNTIF('Results Data'!$C$2:$C$34,$B13)</f>
        <v/>
      </c>
      <c r="D13" s="8">
        <f>SUMPRODUCT(('Results Data'!$B$2:$B$34=$B13)*('Results Data'!$D$2:$D$34&gt;'Results Data'!$E$2:$E$34))+SUMPRODUCT(('Results Data'!$C$2:$C$34=$B13)*('Results Data'!$E$2:$E$34&gt;'Results Data'!$D$2:$D$34))</f>
        <v/>
      </c>
      <c r="E13" s="8">
        <f>SUMPRODUCT(('Results Data'!$B$2:$B$34=$B13)*('Results Data'!$D$2:$D$34='Results Data'!$E$2:$E$34))+SUMPRODUCT(('Results Data'!$C$2:$C$34=$B13)*('Results Data'!$E$2:$E$34='Results Data'!$D$2:$D$34))</f>
        <v/>
      </c>
      <c r="F13" s="8">
        <f>C13-D13-E13</f>
        <v/>
      </c>
      <c r="G13" s="8">
        <f>SUMIF('Results Data'!$B$2:$B$34,$B13,'Results Data'!$D$2:$D$34)+SUMIF('Results Data'!$C$2:$C$34,$B13,'Results Data'!$E$2:$E$34)</f>
        <v/>
      </c>
      <c r="H13" s="8">
        <f>SUMIF('Results Data'!$B$2:$B$34,$B13,'Results Data'!$E$2:$E$34)+SUMIF('Results Data'!$C$2:$C$34,$B13,'Results Data'!$D$2:$D$34)</f>
        <v/>
      </c>
      <c r="I13" s="8">
        <f>G13-H13</f>
        <v/>
      </c>
      <c r="J13" s="8">
        <f>D13*3+E13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xG Delta (For, Adj)</t>
        </is>
      </c>
      <c r="J1" s="4" t="inlineStr">
        <is>
          <t>Median xG Delta (For, Adj)</t>
        </is>
      </c>
      <c r="K1" s="4" t="inlineStr">
        <is>
          <t>Avg xG Delta (Against, Adj)</t>
        </is>
      </c>
      <c r="L1" s="4" t="inlineStr">
        <is>
          <t>Median xG Delta (Against, Adj)</t>
        </is>
      </c>
      <c r="M1" s="4" t="inlineStr">
        <is>
          <t>Avg Supremacy Delta</t>
        </is>
      </c>
      <c r="N1" s="4" t="inlineStr">
        <is>
          <t>Median Supremacy Delta</t>
        </is>
      </c>
      <c r="O1" s="4" t="inlineStr">
        <is>
          <t>Avg Total xG Delta</t>
        </is>
      </c>
      <c r="P1" s="4" t="inlineStr">
        <is>
          <t>Median Total xG Delta</t>
        </is>
      </c>
      <c r="Q1" s="4" t="inlineStr">
        <is>
          <t>Current Form (6, For)</t>
        </is>
      </c>
      <c r="R1" s="4" t="inlineStr">
        <is>
          <t>Current Form (6, Against)</t>
        </is>
      </c>
      <c r="S1" s="4" t="inlineStr">
        <is>
          <t>Current Form (6, For, Adj)</t>
        </is>
      </c>
      <c r="T1" s="4" t="inlineStr">
        <is>
          <t>Current Form (6, Against, Adj)</t>
        </is>
      </c>
      <c r="U1" s="4" t="inlineStr">
        <is>
          <t>Total xPts (Actual)</t>
        </is>
      </c>
      <c r="V1" s="4" t="inlineStr">
        <is>
          <t>Total xPts (Market)</t>
        </is>
      </c>
      <c r="W1" s="4" t="inlineStr">
        <is>
          <t>Avg xPts Delta</t>
        </is>
      </c>
    </row>
    <row r="2">
      <c r="A2" s="6" t="inlineStr">
        <is>
          <t>Celtic</t>
        </is>
      </c>
      <c r="B2" s="6">
        <f>'Celtic'!$E$10</f>
        <v/>
      </c>
      <c r="C2" s="6">
        <f>'Celtic'!$E$11</f>
        <v/>
      </c>
      <c r="D2" s="6">
        <f>'Celtic'!$E$12</f>
        <v/>
      </c>
      <c r="E2" s="9">
        <f>'Celtic'!$E$13</f>
        <v/>
      </c>
      <c r="F2" s="9">
        <f>'Celtic'!$E$14</f>
        <v/>
      </c>
      <c r="G2" s="9">
        <f>'Celtic'!$E$15</f>
        <v/>
      </c>
      <c r="H2" s="9">
        <f>'Celtic'!$E$16</f>
        <v/>
      </c>
      <c r="I2" s="9">
        <f>'Celtic'!$E$17</f>
        <v/>
      </c>
      <c r="J2" s="9">
        <f>'Celtic'!$E$18</f>
        <v/>
      </c>
      <c r="K2" s="9">
        <f>'Celtic'!$E$19</f>
        <v/>
      </c>
      <c r="L2" s="9">
        <f>'Celtic'!$E$20</f>
        <v/>
      </c>
      <c r="M2" s="9">
        <f>'Celtic'!$E$21</f>
        <v/>
      </c>
      <c r="N2" s="9">
        <f>'Celtic'!$E$22</f>
        <v/>
      </c>
      <c r="O2" s="9">
        <f>'Celtic'!$E$23</f>
        <v/>
      </c>
      <c r="P2" s="9">
        <f>'Celtic'!$E$24</f>
        <v/>
      </c>
      <c r="Q2" s="9">
        <f>'Celtic'!$E$25</f>
        <v/>
      </c>
      <c r="R2" s="9">
        <f>'Celtic'!$E$26</f>
        <v/>
      </c>
      <c r="S2" s="9">
        <f>'Celtic'!$E$27</f>
        <v/>
      </c>
      <c r="T2" s="9">
        <f>'Celtic'!$E$28</f>
        <v/>
      </c>
      <c r="U2" s="9">
        <f>'Celtic'!$E$29</f>
        <v/>
      </c>
      <c r="V2" s="9">
        <f>'Celtic'!$E$30</f>
        <v/>
      </c>
      <c r="W2" s="9">
        <f>'Celtic'!$E$31</f>
        <v/>
      </c>
    </row>
    <row r="3">
      <c r="A3" s="8" t="inlineStr">
        <is>
          <t>St Mirren</t>
        </is>
      </c>
      <c r="B3" s="8">
        <f>'St Mirren'!$E$10</f>
        <v/>
      </c>
      <c r="C3" s="8">
        <f>'St Mirren'!$E$11</f>
        <v/>
      </c>
      <c r="D3" s="8">
        <f>'St Mirren'!$E$12</f>
        <v/>
      </c>
      <c r="E3" s="10">
        <f>'St Mirren'!$E$13</f>
        <v/>
      </c>
      <c r="F3" s="10">
        <f>'St Mirren'!$E$14</f>
        <v/>
      </c>
      <c r="G3" s="10">
        <f>'St Mirren'!$E$15</f>
        <v/>
      </c>
      <c r="H3" s="10">
        <f>'St Mirren'!$E$16</f>
        <v/>
      </c>
      <c r="I3" s="10">
        <f>'St Mirren'!$E$17</f>
        <v/>
      </c>
      <c r="J3" s="10">
        <f>'St Mirren'!$E$18</f>
        <v/>
      </c>
      <c r="K3" s="10">
        <f>'St Mirren'!$E$19</f>
        <v/>
      </c>
      <c r="L3" s="10">
        <f>'St Mirren'!$E$20</f>
        <v/>
      </c>
      <c r="M3" s="10">
        <f>'St Mirren'!$E$21</f>
        <v/>
      </c>
      <c r="N3" s="10">
        <f>'St Mirren'!$E$22</f>
        <v/>
      </c>
      <c r="O3" s="10">
        <f>'St Mirren'!$E$23</f>
        <v/>
      </c>
      <c r="P3" s="10">
        <f>'St Mirren'!$E$24</f>
        <v/>
      </c>
      <c r="Q3" s="10">
        <f>'St Mirren'!$E$25</f>
        <v/>
      </c>
      <c r="R3" s="10">
        <f>'St Mirren'!$E$26</f>
        <v/>
      </c>
      <c r="S3" s="10">
        <f>'St Mirren'!$E$27</f>
        <v/>
      </c>
      <c r="T3" s="10">
        <f>'St Mirren'!$E$28</f>
        <v/>
      </c>
      <c r="U3" s="10">
        <f>'St Mirren'!$E$29</f>
        <v/>
      </c>
      <c r="V3" s="10">
        <f>'St Mirren'!$E$30</f>
        <v/>
      </c>
      <c r="W3" s="10">
        <f>'St Mirren'!$E$31</f>
        <v/>
      </c>
    </row>
    <row r="4">
      <c r="A4" s="6" t="inlineStr">
        <is>
          <t>Hibernian</t>
        </is>
      </c>
      <c r="B4" s="6">
        <f>'Hibernian'!$E$9</f>
        <v/>
      </c>
      <c r="C4" s="6">
        <f>'Hibernian'!$E$10</f>
        <v/>
      </c>
      <c r="D4" s="6">
        <f>'Hibernian'!$E$11</f>
        <v/>
      </c>
      <c r="E4" s="9">
        <f>'Hibernian'!$E$12</f>
        <v/>
      </c>
      <c r="F4" s="9">
        <f>'Hibernian'!$E$13</f>
        <v/>
      </c>
      <c r="G4" s="9">
        <f>'Hibernian'!$E$14</f>
        <v/>
      </c>
      <c r="H4" s="9">
        <f>'Hibernian'!$E$15</f>
        <v/>
      </c>
      <c r="I4" s="9">
        <f>'Hibernian'!$E$16</f>
        <v/>
      </c>
      <c r="J4" s="9">
        <f>'Hibernian'!$E$17</f>
        <v/>
      </c>
      <c r="K4" s="9">
        <f>'Hibernian'!$E$18</f>
        <v/>
      </c>
      <c r="L4" s="9">
        <f>'Hibernian'!$E$19</f>
        <v/>
      </c>
      <c r="M4" s="9">
        <f>'Hibernian'!$E$20</f>
        <v/>
      </c>
      <c r="N4" s="9">
        <f>'Hibernian'!$E$21</f>
        <v/>
      </c>
      <c r="O4" s="9">
        <f>'Hibernian'!$E$22</f>
        <v/>
      </c>
      <c r="P4" s="9">
        <f>'Hibernian'!$E$23</f>
        <v/>
      </c>
      <c r="Q4" s="9">
        <f>'Hibernian'!$E$24</f>
        <v/>
      </c>
      <c r="R4" s="9">
        <f>'Hibernian'!$E$25</f>
        <v/>
      </c>
      <c r="S4" s="9">
        <f>'Hibernian'!$E$26</f>
        <v/>
      </c>
      <c r="T4" s="9">
        <f>'Hibernian'!$E$27</f>
        <v/>
      </c>
      <c r="U4" s="9">
        <f>'Hibernian'!$E$28</f>
        <v/>
      </c>
      <c r="V4" s="9">
        <f>'Hibernian'!$E$29</f>
        <v/>
      </c>
      <c r="W4" s="9">
        <f>'Hibernian'!$E$30</f>
        <v/>
      </c>
    </row>
    <row r="5">
      <c r="A5" s="8" t="inlineStr">
        <is>
          <t>Motherwell</t>
        </is>
      </c>
      <c r="B5" s="8">
        <f>'Motherwell'!$E$9</f>
        <v/>
      </c>
      <c r="C5" s="8">
        <f>'Motherwell'!$E$10</f>
        <v/>
      </c>
      <c r="D5" s="8">
        <f>'Motherwell'!$E$11</f>
        <v/>
      </c>
      <c r="E5" s="10">
        <f>'Motherwell'!$E$12</f>
        <v/>
      </c>
      <c r="F5" s="10">
        <f>'Motherwell'!$E$13</f>
        <v/>
      </c>
      <c r="G5" s="10">
        <f>'Motherwell'!$E$14</f>
        <v/>
      </c>
      <c r="H5" s="10">
        <f>'Motherwell'!$E$15</f>
        <v/>
      </c>
      <c r="I5" s="10">
        <f>'Motherwell'!$E$16</f>
        <v/>
      </c>
      <c r="J5" s="10">
        <f>'Motherwell'!$E$17</f>
        <v/>
      </c>
      <c r="K5" s="10">
        <f>'Motherwell'!$E$18</f>
        <v/>
      </c>
      <c r="L5" s="10">
        <f>'Motherwell'!$E$19</f>
        <v/>
      </c>
      <c r="M5" s="10">
        <f>'Motherwell'!$E$20</f>
        <v/>
      </c>
      <c r="N5" s="10">
        <f>'Motherwell'!$E$21</f>
        <v/>
      </c>
      <c r="O5" s="10">
        <f>'Motherwell'!$E$22</f>
        <v/>
      </c>
      <c r="P5" s="10">
        <f>'Motherwell'!$E$23</f>
        <v/>
      </c>
      <c r="Q5" s="10">
        <f>'Motherwell'!$E$24</f>
        <v/>
      </c>
      <c r="R5" s="10">
        <f>'Motherwell'!$E$25</f>
        <v/>
      </c>
      <c r="S5" s="10">
        <f>'Motherwell'!$E$26</f>
        <v/>
      </c>
      <c r="T5" s="10">
        <f>'Motherwell'!$E$27</f>
        <v/>
      </c>
      <c r="U5" s="10">
        <f>'Motherwell'!$E$28</f>
        <v/>
      </c>
      <c r="V5" s="10">
        <f>'Motherwell'!$E$29</f>
        <v/>
      </c>
      <c r="W5" s="10">
        <f>'Motherwell'!$E$30</f>
        <v/>
      </c>
    </row>
    <row r="6">
      <c r="A6" s="6" t="inlineStr">
        <is>
          <t>Dundee United</t>
        </is>
      </c>
      <c r="B6" s="6">
        <f>'Dundee United'!$E$10</f>
        <v/>
      </c>
      <c r="C6" s="6">
        <f>'Dundee United'!$E$11</f>
        <v/>
      </c>
      <c r="D6" s="6">
        <f>'Dundee United'!$E$12</f>
        <v/>
      </c>
      <c r="E6" s="9">
        <f>'Dundee United'!$E$13</f>
        <v/>
      </c>
      <c r="F6" s="9">
        <f>'Dundee United'!$E$14</f>
        <v/>
      </c>
      <c r="G6" s="9">
        <f>'Dundee United'!$E$15</f>
        <v/>
      </c>
      <c r="H6" s="9">
        <f>'Dundee United'!$E$16</f>
        <v/>
      </c>
      <c r="I6" s="9">
        <f>'Dundee United'!$E$17</f>
        <v/>
      </c>
      <c r="J6" s="9">
        <f>'Dundee United'!$E$18</f>
        <v/>
      </c>
      <c r="K6" s="9">
        <f>'Dundee United'!$E$19</f>
        <v/>
      </c>
      <c r="L6" s="9">
        <f>'Dundee United'!$E$20</f>
        <v/>
      </c>
      <c r="M6" s="9">
        <f>'Dundee United'!$E$21</f>
        <v/>
      </c>
      <c r="N6" s="9">
        <f>'Dundee United'!$E$22</f>
        <v/>
      </c>
      <c r="O6" s="9">
        <f>'Dundee United'!$E$23</f>
        <v/>
      </c>
      <c r="P6" s="9">
        <f>'Dundee United'!$E$24</f>
        <v/>
      </c>
      <c r="Q6" s="9">
        <f>'Dundee United'!$E$25</f>
        <v/>
      </c>
      <c r="R6" s="9">
        <f>'Dundee United'!$E$26</f>
        <v/>
      </c>
      <c r="S6" s="9">
        <f>'Dundee United'!$E$27</f>
        <v/>
      </c>
      <c r="T6" s="9">
        <f>'Dundee United'!$E$28</f>
        <v/>
      </c>
      <c r="U6" s="9">
        <f>'Dundee United'!$E$29</f>
        <v/>
      </c>
      <c r="V6" s="9">
        <f>'Dundee United'!$E$30</f>
        <v/>
      </c>
      <c r="W6" s="9">
        <f>'Dundee United'!$E$31</f>
        <v/>
      </c>
    </row>
    <row r="7">
      <c r="A7" s="8" t="inlineStr">
        <is>
          <t>Rangers</t>
        </is>
      </c>
      <c r="B7" s="8">
        <f>'Rangers'!$E$10</f>
        <v/>
      </c>
      <c r="C7" s="8">
        <f>'Rangers'!$E$11</f>
        <v/>
      </c>
      <c r="D7" s="8">
        <f>'Rangers'!$E$12</f>
        <v/>
      </c>
      <c r="E7" s="10">
        <f>'Rangers'!$E$13</f>
        <v/>
      </c>
      <c r="F7" s="10">
        <f>'Rangers'!$E$14</f>
        <v/>
      </c>
      <c r="G7" s="10">
        <f>'Rangers'!$E$15</f>
        <v/>
      </c>
      <c r="H7" s="10">
        <f>'Rangers'!$E$16</f>
        <v/>
      </c>
      <c r="I7" s="10">
        <f>'Rangers'!$E$17</f>
        <v/>
      </c>
      <c r="J7" s="10">
        <f>'Rangers'!$E$18</f>
        <v/>
      </c>
      <c r="K7" s="10">
        <f>'Rangers'!$E$19</f>
        <v/>
      </c>
      <c r="L7" s="10">
        <f>'Rangers'!$E$20</f>
        <v/>
      </c>
      <c r="M7" s="10">
        <f>'Rangers'!$E$21</f>
        <v/>
      </c>
      <c r="N7" s="10">
        <f>'Rangers'!$E$22</f>
        <v/>
      </c>
      <c r="O7" s="10">
        <f>'Rangers'!$E$23</f>
        <v/>
      </c>
      <c r="P7" s="10">
        <f>'Rangers'!$E$24</f>
        <v/>
      </c>
      <c r="Q7" s="10">
        <f>'Rangers'!$E$25</f>
        <v/>
      </c>
      <c r="R7" s="10">
        <f>'Rangers'!$E$26</f>
        <v/>
      </c>
      <c r="S7" s="10">
        <f>'Rangers'!$E$27</f>
        <v/>
      </c>
      <c r="T7" s="10">
        <f>'Rangers'!$E$28</f>
        <v/>
      </c>
      <c r="U7" s="10">
        <f>'Rangers'!$E$29</f>
        <v/>
      </c>
      <c r="V7" s="10">
        <f>'Rangers'!$E$30</f>
        <v/>
      </c>
      <c r="W7" s="10">
        <f>'Rangers'!$E$31</f>
        <v/>
      </c>
    </row>
    <row r="8">
      <c r="A8" s="6" t="inlineStr">
        <is>
          <t>St Johnstone</t>
        </is>
      </c>
      <c r="B8" s="6">
        <f>'St Johnstone'!$E$10</f>
        <v/>
      </c>
      <c r="C8" s="6">
        <f>'St Johnstone'!$E$11</f>
        <v/>
      </c>
      <c r="D8" s="6">
        <f>'St Johnstone'!$E$12</f>
        <v/>
      </c>
      <c r="E8" s="9">
        <f>'St Johnstone'!$E$13</f>
        <v/>
      </c>
      <c r="F8" s="9">
        <f>'St Johnstone'!$E$14</f>
        <v/>
      </c>
      <c r="G8" s="9">
        <f>'St Johnstone'!$E$15</f>
        <v/>
      </c>
      <c r="H8" s="9">
        <f>'St Johnstone'!$E$16</f>
        <v/>
      </c>
      <c r="I8" s="9">
        <f>'St Johnstone'!$E$17</f>
        <v/>
      </c>
      <c r="J8" s="9">
        <f>'St Johnstone'!$E$18</f>
        <v/>
      </c>
      <c r="K8" s="9">
        <f>'St Johnstone'!$E$19</f>
        <v/>
      </c>
      <c r="L8" s="9">
        <f>'St Johnstone'!$E$20</f>
        <v/>
      </c>
      <c r="M8" s="9">
        <f>'St Johnstone'!$E$21</f>
        <v/>
      </c>
      <c r="N8" s="9">
        <f>'St Johnstone'!$E$22</f>
        <v/>
      </c>
      <c r="O8" s="9">
        <f>'St Johnstone'!$E$23</f>
        <v/>
      </c>
      <c r="P8" s="9">
        <f>'St Johnstone'!$E$24</f>
        <v/>
      </c>
      <c r="Q8" s="9">
        <f>'St Johnstone'!$E$25</f>
        <v/>
      </c>
      <c r="R8" s="9">
        <f>'St Johnstone'!$E$26</f>
        <v/>
      </c>
      <c r="S8" s="9">
        <f>'St Johnstone'!$E$27</f>
        <v/>
      </c>
      <c r="T8" s="9">
        <f>'St Johnstone'!$E$28</f>
        <v/>
      </c>
      <c r="U8" s="9">
        <f>'St Johnstone'!$E$29</f>
        <v/>
      </c>
      <c r="V8" s="9">
        <f>'St Johnstone'!$E$30</f>
        <v/>
      </c>
      <c r="W8" s="9">
        <f>'St Johnstone'!$E$31</f>
        <v/>
      </c>
    </row>
    <row r="9">
      <c r="A9" s="8" t="inlineStr">
        <is>
          <t>Dundee</t>
        </is>
      </c>
      <c r="B9" s="8">
        <f>'Dundee'!$E$10</f>
        <v/>
      </c>
      <c r="C9" s="8">
        <f>'Dundee'!$E$11</f>
        <v/>
      </c>
      <c r="D9" s="8">
        <f>'Dundee'!$E$12</f>
        <v/>
      </c>
      <c r="E9" s="10">
        <f>'Dundee'!$E$13</f>
        <v/>
      </c>
      <c r="F9" s="10">
        <f>'Dundee'!$E$14</f>
        <v/>
      </c>
      <c r="G9" s="10">
        <f>'Dundee'!$E$15</f>
        <v/>
      </c>
      <c r="H9" s="10">
        <f>'Dundee'!$E$16</f>
        <v/>
      </c>
      <c r="I9" s="10">
        <f>'Dundee'!$E$17</f>
        <v/>
      </c>
      <c r="J9" s="10">
        <f>'Dundee'!$E$18</f>
        <v/>
      </c>
      <c r="K9" s="10">
        <f>'Dundee'!$E$19</f>
        <v/>
      </c>
      <c r="L9" s="10">
        <f>'Dundee'!$E$20</f>
        <v/>
      </c>
      <c r="M9" s="10">
        <f>'Dundee'!$E$21</f>
        <v/>
      </c>
      <c r="N9" s="10">
        <f>'Dundee'!$E$22</f>
        <v/>
      </c>
      <c r="O9" s="10">
        <f>'Dundee'!$E$23</f>
        <v/>
      </c>
      <c r="P9" s="10">
        <f>'Dundee'!$E$24</f>
        <v/>
      </c>
      <c r="Q9" s="10">
        <f>'Dundee'!$E$25</f>
        <v/>
      </c>
      <c r="R9" s="10">
        <f>'Dundee'!$E$26</f>
        <v/>
      </c>
      <c r="S9" s="10">
        <f>'Dundee'!$E$27</f>
        <v/>
      </c>
      <c r="T9" s="10">
        <f>'Dundee'!$E$28</f>
        <v/>
      </c>
      <c r="U9" s="10">
        <f>'Dundee'!$E$29</f>
        <v/>
      </c>
      <c r="V9" s="10">
        <f>'Dundee'!$E$30</f>
        <v/>
      </c>
      <c r="W9" s="10">
        <f>'Dundee'!$E$31</f>
        <v/>
      </c>
    </row>
    <row r="10">
      <c r="A10" s="6" t="inlineStr">
        <is>
          <t>Heart of Midlothian</t>
        </is>
      </c>
      <c r="B10" s="6">
        <f>'Heart of Midlothian'!$E$9</f>
        <v/>
      </c>
      <c r="C10" s="6">
        <f>'Heart of Midlothian'!$E$10</f>
        <v/>
      </c>
      <c r="D10" s="6">
        <f>'Heart of Midlothian'!$E$11</f>
        <v/>
      </c>
      <c r="E10" s="9">
        <f>'Heart of Midlothian'!$E$12</f>
        <v/>
      </c>
      <c r="F10" s="9">
        <f>'Heart of Midlothian'!$E$13</f>
        <v/>
      </c>
      <c r="G10" s="9">
        <f>'Heart of Midlothian'!$E$14</f>
        <v/>
      </c>
      <c r="H10" s="9">
        <f>'Heart of Midlothian'!$E$15</f>
        <v/>
      </c>
      <c r="I10" s="9">
        <f>'Heart of Midlothian'!$E$16</f>
        <v/>
      </c>
      <c r="J10" s="9">
        <f>'Heart of Midlothian'!$E$17</f>
        <v/>
      </c>
      <c r="K10" s="9">
        <f>'Heart of Midlothian'!$E$18</f>
        <v/>
      </c>
      <c r="L10" s="9">
        <f>'Heart of Midlothian'!$E$19</f>
        <v/>
      </c>
      <c r="M10" s="9">
        <f>'Heart of Midlothian'!$E$20</f>
        <v/>
      </c>
      <c r="N10" s="9">
        <f>'Heart of Midlothian'!$E$21</f>
        <v/>
      </c>
      <c r="O10" s="9">
        <f>'Heart of Midlothian'!$E$22</f>
        <v/>
      </c>
      <c r="P10" s="9">
        <f>'Heart of Midlothian'!$E$23</f>
        <v/>
      </c>
      <c r="Q10" s="9">
        <f>'Heart of Midlothian'!$E$24</f>
        <v/>
      </c>
      <c r="R10" s="9">
        <f>'Heart of Midlothian'!$E$25</f>
        <v/>
      </c>
      <c r="S10" s="9">
        <f>'Heart of Midlothian'!$E$26</f>
        <v/>
      </c>
      <c r="T10" s="9">
        <f>'Heart of Midlothian'!$E$27</f>
        <v/>
      </c>
      <c r="U10" s="9">
        <f>'Heart of Midlothian'!$E$28</f>
        <v/>
      </c>
      <c r="V10" s="9">
        <f>'Heart of Midlothian'!$E$29</f>
        <v/>
      </c>
      <c r="W10" s="9">
        <f>'Heart of Midlothian'!$E$30</f>
        <v/>
      </c>
    </row>
    <row r="11">
      <c r="A11" s="8" t="inlineStr">
        <is>
          <t>Aberdeen</t>
        </is>
      </c>
      <c r="B11" s="8">
        <f>'Aberdeen'!$E$9</f>
        <v/>
      </c>
      <c r="C11" s="8">
        <f>'Aberdeen'!$E$10</f>
        <v/>
      </c>
      <c r="D11" s="8">
        <f>'Aberdeen'!$E$11</f>
        <v/>
      </c>
      <c r="E11" s="10">
        <f>'Aberdeen'!$E$12</f>
        <v/>
      </c>
      <c r="F11" s="10">
        <f>'Aberdeen'!$E$13</f>
        <v/>
      </c>
      <c r="G11" s="10">
        <f>'Aberdeen'!$E$14</f>
        <v/>
      </c>
      <c r="H11" s="10">
        <f>'Aberdeen'!$E$15</f>
        <v/>
      </c>
      <c r="I11" s="10">
        <f>'Aberdeen'!$E$16</f>
        <v/>
      </c>
      <c r="J11" s="10">
        <f>'Aberdeen'!$E$17</f>
        <v/>
      </c>
      <c r="K11" s="10">
        <f>'Aberdeen'!$E$18</f>
        <v/>
      </c>
      <c r="L11" s="10">
        <f>'Aberdeen'!$E$19</f>
        <v/>
      </c>
      <c r="M11" s="10">
        <f>'Aberdeen'!$E$20</f>
        <v/>
      </c>
      <c r="N11" s="10">
        <f>'Aberdeen'!$E$21</f>
        <v/>
      </c>
      <c r="O11" s="10">
        <f>'Aberdeen'!$E$22</f>
        <v/>
      </c>
      <c r="P11" s="10">
        <f>'Aberdeen'!$E$23</f>
        <v/>
      </c>
      <c r="Q11" s="10">
        <f>'Aberdeen'!$E$24</f>
        <v/>
      </c>
      <c r="R11" s="10">
        <f>'Aberdeen'!$E$25</f>
        <v/>
      </c>
      <c r="S11" s="10">
        <f>'Aberdeen'!$E$26</f>
        <v/>
      </c>
      <c r="T11" s="10">
        <f>'Aberdeen'!$E$27</f>
        <v/>
      </c>
      <c r="U11" s="10">
        <f>'Aberdeen'!$E$28</f>
        <v/>
      </c>
      <c r="V11" s="10">
        <f>'Aberdeen'!$E$29</f>
        <v/>
      </c>
      <c r="W11" s="10">
        <f>'Aberdeen'!$E$30</f>
        <v/>
      </c>
    </row>
    <row r="12">
      <c r="A12" s="6" t="inlineStr">
        <is>
          <t>Kilmarnock</t>
        </is>
      </c>
      <c r="B12" s="6">
        <f>'Kilmarnock'!$E$9</f>
        <v/>
      </c>
      <c r="C12" s="6">
        <f>'Kilmarnock'!$E$10</f>
        <v/>
      </c>
      <c r="D12" s="6">
        <f>'Kilmarnock'!$E$11</f>
        <v/>
      </c>
      <c r="E12" s="9">
        <f>'Kilmarnock'!$E$12</f>
        <v/>
      </c>
      <c r="F12" s="9">
        <f>'Kilmarnock'!$E$13</f>
        <v/>
      </c>
      <c r="G12" s="9">
        <f>'Kilmarnock'!$E$14</f>
        <v/>
      </c>
      <c r="H12" s="9">
        <f>'Kilmarnock'!$E$15</f>
        <v/>
      </c>
      <c r="I12" s="9">
        <f>'Kilmarnock'!$E$16</f>
        <v/>
      </c>
      <c r="J12" s="9">
        <f>'Kilmarnock'!$E$17</f>
        <v/>
      </c>
      <c r="K12" s="9">
        <f>'Kilmarnock'!$E$18</f>
        <v/>
      </c>
      <c r="L12" s="9">
        <f>'Kilmarnock'!$E$19</f>
        <v/>
      </c>
      <c r="M12" s="9">
        <f>'Kilmarnock'!$E$20</f>
        <v/>
      </c>
      <c r="N12" s="9">
        <f>'Kilmarnock'!$E$21</f>
        <v/>
      </c>
      <c r="O12" s="9">
        <f>'Kilmarnock'!$E$22</f>
        <v/>
      </c>
      <c r="P12" s="9">
        <f>'Kilmarnock'!$E$23</f>
        <v/>
      </c>
      <c r="Q12" s="9">
        <f>'Kilmarnock'!$E$24</f>
        <v/>
      </c>
      <c r="R12" s="9">
        <f>'Kilmarnock'!$E$25</f>
        <v/>
      </c>
      <c r="S12" s="9">
        <f>'Kilmarnock'!$E$26</f>
        <v/>
      </c>
      <c r="T12" s="9">
        <f>'Kilmarnock'!$E$27</f>
        <v/>
      </c>
      <c r="U12" s="9">
        <f>'Kilmarnock'!$E$28</f>
        <v/>
      </c>
      <c r="V12" s="9">
        <f>'Kilmarnock'!$E$29</f>
        <v/>
      </c>
      <c r="W12" s="9">
        <f>'Kilmarnock'!$E$30</f>
        <v/>
      </c>
    </row>
    <row r="13">
      <c r="A13" s="8" t="inlineStr">
        <is>
          <t>Falkirk</t>
        </is>
      </c>
      <c r="B13" s="8">
        <f>'Falkirk'!$E$9</f>
        <v/>
      </c>
      <c r="C13" s="8">
        <f>'Falkirk'!$E$10</f>
        <v/>
      </c>
      <c r="D13" s="8">
        <f>'Falkirk'!$E$11</f>
        <v/>
      </c>
      <c r="E13" s="10">
        <f>'Falkirk'!$E$12</f>
        <v/>
      </c>
      <c r="F13" s="10">
        <f>'Falkirk'!$E$13</f>
        <v/>
      </c>
      <c r="G13" s="10">
        <f>'Falkirk'!$E$14</f>
        <v/>
      </c>
      <c r="H13" s="10">
        <f>'Falkirk'!$E$15</f>
        <v/>
      </c>
      <c r="I13" s="10">
        <f>'Falkirk'!$E$16</f>
        <v/>
      </c>
      <c r="J13" s="10">
        <f>'Falkirk'!$E$17</f>
        <v/>
      </c>
      <c r="K13" s="10">
        <f>'Falkirk'!$E$18</f>
        <v/>
      </c>
      <c r="L13" s="10">
        <f>'Falkirk'!$E$19</f>
        <v/>
      </c>
      <c r="M13" s="10">
        <f>'Falkirk'!$E$20</f>
        <v/>
      </c>
      <c r="N13" s="10">
        <f>'Falkirk'!$E$21</f>
        <v/>
      </c>
      <c r="O13" s="10">
        <f>'Falkirk'!$E$22</f>
        <v/>
      </c>
      <c r="P13" s="10">
        <f>'Falkirk'!$E$23</f>
        <v/>
      </c>
      <c r="Q13" s="10">
        <f>'Falkirk'!$E$24</f>
        <v/>
      </c>
      <c r="R13" s="10">
        <f>'Falkirk'!$E$25</f>
        <v/>
      </c>
      <c r="S13" s="10">
        <f>'Falkirk'!$E$26</f>
        <v/>
      </c>
      <c r="T13" s="10">
        <f>'Falkirk'!$E$27</f>
        <v/>
      </c>
      <c r="U13" s="10">
        <f>'Falkirk'!$E$28</f>
        <v/>
      </c>
      <c r="V13" s="10">
        <f>'Falkirk'!$E$29</f>
        <v/>
      </c>
      <c r="W13" s="10">
        <f>'Falkirk'!$E$30</f>
        <v/>
      </c>
    </row>
  </sheetData>
  <conditionalFormatting sqref="E2:E1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13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13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13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13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13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13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L2:L13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13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13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O2:O13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13">
    <cfRule type="colorScale" priority="1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Q2:Q13">
    <cfRule type="colorScale" priority="1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13">
    <cfRule type="colorScale" priority="1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13">
    <cfRule type="colorScale" priority="1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T2:T13">
    <cfRule type="colorScale" priority="1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W2:W13">
    <cfRule type="colorScale" priority="17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4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Matches</t>
        </is>
      </c>
      <c r="D1" s="4" t="inlineStr">
        <is>
          <t>xPts (Actual)</t>
        </is>
      </c>
      <c r="E1" s="4" t="inlineStr">
        <is>
          <t>xPts (Market)</t>
        </is>
      </c>
      <c r="F1" s="4" t="inlineStr">
        <is>
          <t>xPts Delta (Total)</t>
        </is>
      </c>
    </row>
    <row r="2">
      <c r="A2" s="5" t="n">
        <v>1</v>
      </c>
      <c r="B2" s="6" t="inlineStr">
        <is>
          <t>Celtic</t>
        </is>
      </c>
      <c r="C2" s="6">
        <f>'Celtic'!$E$10</f>
        <v/>
      </c>
      <c r="D2" s="9">
        <f>'Celtic'!$E$29</f>
        <v/>
      </c>
      <c r="E2" s="9">
        <f>'Celtic'!$E$30</f>
        <v/>
      </c>
      <c r="F2" s="9">
        <f>D2-E2</f>
        <v/>
      </c>
    </row>
    <row r="3">
      <c r="A3" s="7" t="n">
        <v>2</v>
      </c>
      <c r="B3" s="8" t="inlineStr">
        <is>
          <t>Rangers</t>
        </is>
      </c>
      <c r="C3" s="8">
        <f>'Rangers'!$E$10</f>
        <v/>
      </c>
      <c r="D3" s="10">
        <f>'Rangers'!$E$29</f>
        <v/>
      </c>
      <c r="E3" s="10">
        <f>'Rangers'!$E$30</f>
        <v/>
      </c>
      <c r="F3" s="10">
        <f>D3-E3</f>
        <v/>
      </c>
    </row>
    <row r="4">
      <c r="A4" s="5" t="n">
        <v>3</v>
      </c>
      <c r="B4" s="6" t="inlineStr">
        <is>
          <t>St Mirren</t>
        </is>
      </c>
      <c r="C4" s="6">
        <f>'St Mirren'!$E$10</f>
        <v/>
      </c>
      <c r="D4" s="9">
        <f>'St Mirren'!$E$29</f>
        <v/>
      </c>
      <c r="E4" s="9">
        <f>'St Mirren'!$E$30</f>
        <v/>
      </c>
      <c r="F4" s="9">
        <f>D4-E4</f>
        <v/>
      </c>
    </row>
    <row r="5">
      <c r="A5" s="7" t="n">
        <v>4</v>
      </c>
      <c r="B5" s="8" t="inlineStr">
        <is>
          <t>Heart of Midlothian</t>
        </is>
      </c>
      <c r="C5" s="8">
        <f>'Heart of Midlothian'!$E$9</f>
        <v/>
      </c>
      <c r="D5" s="10">
        <f>'Heart of Midlothian'!$E$28</f>
        <v/>
      </c>
      <c r="E5" s="10">
        <f>'Heart of Midlothian'!$E$29</f>
        <v/>
      </c>
      <c r="F5" s="10">
        <f>D5-E5</f>
        <v/>
      </c>
    </row>
    <row r="6">
      <c r="A6" s="5" t="n">
        <v>5</v>
      </c>
      <c r="B6" s="6" t="inlineStr">
        <is>
          <t>Dundee United</t>
        </is>
      </c>
      <c r="C6" s="6">
        <f>'Dundee United'!$E$10</f>
        <v/>
      </c>
      <c r="D6" s="9">
        <f>'Dundee United'!$E$29</f>
        <v/>
      </c>
      <c r="E6" s="9">
        <f>'Dundee United'!$E$30</f>
        <v/>
      </c>
      <c r="F6" s="9">
        <f>D6-E6</f>
        <v/>
      </c>
    </row>
    <row r="7">
      <c r="A7" s="7" t="n">
        <v>6</v>
      </c>
      <c r="B7" s="8" t="inlineStr">
        <is>
          <t>Motherwell</t>
        </is>
      </c>
      <c r="C7" s="8">
        <f>'Motherwell'!$E$9</f>
        <v/>
      </c>
      <c r="D7" s="10">
        <f>'Motherwell'!$E$28</f>
        <v/>
      </c>
      <c r="E7" s="10">
        <f>'Motherwell'!$E$29</f>
        <v/>
      </c>
      <c r="F7" s="10">
        <f>D7-E7</f>
        <v/>
      </c>
    </row>
    <row r="8">
      <c r="A8" s="5" t="n">
        <v>7</v>
      </c>
      <c r="B8" s="6" t="inlineStr">
        <is>
          <t>Hibernian</t>
        </is>
      </c>
      <c r="C8" s="6">
        <f>'Hibernian'!$E$9</f>
        <v/>
      </c>
      <c r="D8" s="9">
        <f>'Hibernian'!$E$28</f>
        <v/>
      </c>
      <c r="E8" s="9">
        <f>'Hibernian'!$E$29</f>
        <v/>
      </c>
      <c r="F8" s="9">
        <f>D8-E8</f>
        <v/>
      </c>
    </row>
    <row r="9">
      <c r="A9" s="7" t="n">
        <v>8</v>
      </c>
      <c r="B9" s="8" t="inlineStr">
        <is>
          <t>St Johnstone</t>
        </is>
      </c>
      <c r="C9" s="8">
        <f>'St Johnstone'!$E$10</f>
        <v/>
      </c>
      <c r="D9" s="10">
        <f>'St Johnstone'!$E$29</f>
        <v/>
      </c>
      <c r="E9" s="10">
        <f>'St Johnstone'!$E$30</f>
        <v/>
      </c>
      <c r="F9" s="10">
        <f>D9-E9</f>
        <v/>
      </c>
    </row>
    <row r="10">
      <c r="A10" s="5" t="n">
        <v>9</v>
      </c>
      <c r="B10" s="6" t="inlineStr">
        <is>
          <t>Dundee</t>
        </is>
      </c>
      <c r="C10" s="6">
        <f>'Dundee'!$E$10</f>
        <v/>
      </c>
      <c r="D10" s="9">
        <f>'Dundee'!$E$29</f>
        <v/>
      </c>
      <c r="E10" s="9">
        <f>'Dundee'!$E$30</f>
        <v/>
      </c>
      <c r="F10" s="9">
        <f>D10-E10</f>
        <v/>
      </c>
    </row>
    <row r="11">
      <c r="A11" s="7" t="n">
        <v>10</v>
      </c>
      <c r="B11" s="8" t="inlineStr">
        <is>
          <t>Aberdeen</t>
        </is>
      </c>
      <c r="C11" s="8">
        <f>'Aberdeen'!$E$9</f>
        <v/>
      </c>
      <c r="D11" s="10">
        <f>'Aberdeen'!$E$28</f>
        <v/>
      </c>
      <c r="E11" s="10">
        <f>'Aberdeen'!$E$29</f>
        <v/>
      </c>
      <c r="F11" s="10">
        <f>D11-E11</f>
        <v/>
      </c>
    </row>
    <row r="12">
      <c r="A12" s="5" t="n">
        <v>11</v>
      </c>
      <c r="B12" s="6" t="inlineStr">
        <is>
          <t>Kilmarnock</t>
        </is>
      </c>
      <c r="C12" s="6">
        <f>'Kilmarnock'!$E$9</f>
        <v/>
      </c>
      <c r="D12" s="9">
        <f>'Kilmarnock'!$E$28</f>
        <v/>
      </c>
      <c r="E12" s="9">
        <f>'Kilmarnock'!$E$29</f>
        <v/>
      </c>
      <c r="F12" s="9">
        <f>D12-E12</f>
        <v/>
      </c>
    </row>
    <row r="13">
      <c r="A13" s="7" t="n">
        <v>12</v>
      </c>
      <c r="B13" s="8" t="inlineStr">
        <is>
          <t>Falkirk</t>
        </is>
      </c>
      <c r="C13" s="8">
        <f>'Falkirk'!$E$9</f>
        <v/>
      </c>
      <c r="D13" s="10">
        <f>'Falkirk'!$E$28</f>
        <v/>
      </c>
      <c r="E13" s="10">
        <f>'Falkirk'!$E$29</f>
        <v/>
      </c>
      <c r="F13" s="10">
        <f>D13-E13</f>
        <v/>
      </c>
    </row>
  </sheetData>
  <conditionalFormatting sqref="F2:F1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 t="inlineStr">
        <is>
          <t>League Dashboard</t>
        </is>
      </c>
    </row>
    <row r="2">
      <c r="A2" s="11" t="inlineStr">
        <is>
          <t>Charts reference Overview / xPts Table live - re-run the pipeline and they update automatically.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Data Quality Checker</t>
        </is>
      </c>
    </row>
    <row r="3">
      <c r="A3" s="12" t="inlineStr">
        <is>
          <t>No issues found across 33 fixtures.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5" customWidth="1" min="14" max="14"/>
    <col width="5" customWidth="1" min="15" max="15"/>
    <col width="5" customWidth="1" min="16" max="16"/>
    <col width="5" customWidth="1" min="17" max="17"/>
  </cols>
  <sheetData>
    <row r="1" ht="30" customHeight="1">
      <c r="A1" s="4" t="inlineStr">
        <is>
          <t>Date</t>
        </is>
      </c>
      <c r="B1" s="4" t="inlineStr">
        <is>
          <t>Home Team</t>
        </is>
      </c>
      <c r="C1" s="4" t="inlineStr">
        <is>
          <t>Away Team</t>
        </is>
      </c>
      <c r="D1" s="4" t="inlineStr">
        <is>
          <t>Home Goals</t>
        </is>
      </c>
      <c r="E1" s="4" t="inlineStr">
        <is>
          <t>Away Goals</t>
        </is>
      </c>
      <c r="F1" s="4" t="inlineStr">
        <is>
          <t>Home xG Pre-Match</t>
        </is>
      </c>
      <c r="G1" s="4" t="inlineStr">
        <is>
          <t>Away xG Pre-Match</t>
        </is>
      </c>
      <c r="H1" s="4" t="inlineStr">
        <is>
          <t>Home xG Actual</t>
        </is>
      </c>
      <c r="I1" s="4" t="inlineStr">
        <is>
          <t>Away xG Actual</t>
        </is>
      </c>
      <c r="J1" s="4" t="inlineStr">
        <is>
          <t>Home xG Delta</t>
        </is>
      </c>
      <c r="K1" s="4" t="inlineStr">
        <is>
          <t>Away xG Delta</t>
        </is>
      </c>
      <c r="L1" s="4" t="inlineStr">
        <is>
          <t>Supremacy Delta (Home)</t>
        </is>
      </c>
      <c r="M1" s="4" t="inlineStr">
        <is>
          <t>Total xG Delta</t>
        </is>
      </c>
      <c r="N1" s="4" t="inlineStr">
        <is>
          <t>Home xPts (Actual)</t>
        </is>
      </c>
      <c r="O1" s="4" t="inlineStr">
        <is>
          <t>Away xPts (Actual)</t>
        </is>
      </c>
      <c r="P1" s="4" t="inlineStr">
        <is>
          <t>Home xPts (Market)</t>
        </is>
      </c>
      <c r="Q1" s="4" t="inlineStr">
        <is>
          <t>Away xPts (Market)</t>
        </is>
      </c>
    </row>
    <row r="2">
      <c r="A2" s="6" t="inlineStr">
        <is>
          <t>2026-07-31</t>
        </is>
      </c>
      <c r="B2" s="6" t="inlineStr">
        <is>
          <t>Dundee United</t>
        </is>
      </c>
      <c r="C2" s="6" t="inlineStr">
        <is>
          <t>Rangers</t>
        </is>
      </c>
      <c r="D2" s="6" t="n">
        <v>1</v>
      </c>
      <c r="E2" s="6" t="n">
        <v>1</v>
      </c>
      <c r="F2" s="9" t="n">
        <v>1.05</v>
      </c>
      <c r="G2" s="9" t="n">
        <v>2.21</v>
      </c>
      <c r="H2" s="9" t="n">
        <v>1.64</v>
      </c>
      <c r="I2" s="9" t="n">
        <v>1.46</v>
      </c>
      <c r="J2" s="9" t="n">
        <v>0.59</v>
      </c>
      <c r="K2" s="9" t="n">
        <v>-0.75</v>
      </c>
      <c r="L2" s="9" t="n">
        <v>1.34</v>
      </c>
      <c r="M2" s="9" t="n">
        <v>-0.16</v>
      </c>
      <c r="N2" s="9" t="n">
        <v>1.5</v>
      </c>
      <c r="O2" s="9" t="n">
        <v>1.26</v>
      </c>
      <c r="P2" s="9" t="n">
        <v>0.7</v>
      </c>
      <c r="Q2" s="9" t="n">
        <v>2.11</v>
      </c>
    </row>
    <row r="3">
      <c r="A3" s="8" t="inlineStr">
        <is>
          <t>2026-08-01</t>
        </is>
      </c>
      <c r="B3" s="8" t="inlineStr">
        <is>
          <t>Aberdeen</t>
        </is>
      </c>
      <c r="C3" s="8" t="inlineStr">
        <is>
          <t>Heart of Midlothian</t>
        </is>
      </c>
      <c r="D3" s="8" t="n">
        <v>2</v>
      </c>
      <c r="E3" s="8" t="n">
        <v>1</v>
      </c>
      <c r="F3" s="10" t="n">
        <v>1.27</v>
      </c>
      <c r="G3" s="10" t="n">
        <v>1.59</v>
      </c>
      <c r="H3" s="10" t="n">
        <v>2.66</v>
      </c>
      <c r="I3" s="10" t="n">
        <v>1.83</v>
      </c>
      <c r="J3" s="10" t="n">
        <v>1.39</v>
      </c>
      <c r="K3" s="10" t="n">
        <v>0.24</v>
      </c>
      <c r="L3" s="10" t="n">
        <v>1.15</v>
      </c>
      <c r="M3" s="10" t="n">
        <v>1.63</v>
      </c>
      <c r="N3" s="10" t="n">
        <v>1.85</v>
      </c>
      <c r="O3" s="10" t="n">
        <v>0.96</v>
      </c>
      <c r="P3" s="10" t="n">
        <v>1.17</v>
      </c>
      <c r="Q3" s="10" t="n">
        <v>1.59</v>
      </c>
    </row>
    <row r="4">
      <c r="A4" s="6" t="inlineStr">
        <is>
          <t>2026-08-01</t>
        </is>
      </c>
      <c r="B4" s="6" t="inlineStr">
        <is>
          <t>Falkirk</t>
        </is>
      </c>
      <c r="C4" s="6" t="inlineStr">
        <is>
          <t>St Mirren</t>
        </is>
      </c>
      <c r="D4" s="6" t="n">
        <v>0</v>
      </c>
      <c r="E4" s="6" t="n">
        <v>2</v>
      </c>
      <c r="F4" s="9" t="n">
        <v>1.64</v>
      </c>
      <c r="G4" s="9" t="n">
        <v>1.17</v>
      </c>
      <c r="H4" s="9" t="n">
        <v>0.55</v>
      </c>
      <c r="I4" s="9" t="n">
        <v>1.57</v>
      </c>
      <c r="J4" s="9" t="n">
        <v>-1.09</v>
      </c>
      <c r="K4" s="9" t="n">
        <v>0.4</v>
      </c>
      <c r="L4" s="9" t="n">
        <v>-1.49</v>
      </c>
      <c r="M4" s="9" t="n">
        <v>-0.6899999999999999</v>
      </c>
      <c r="N4" s="9" t="n">
        <v>0.63</v>
      </c>
      <c r="O4" s="9" t="n">
        <v>2.12</v>
      </c>
      <c r="P4" s="9" t="n">
        <v>1.7</v>
      </c>
      <c r="Q4" s="9" t="n">
        <v>1.06</v>
      </c>
    </row>
    <row r="5">
      <c r="A5" s="8" t="inlineStr">
        <is>
          <t>2026-08-02</t>
        </is>
      </c>
      <c r="B5" s="8" t="inlineStr">
        <is>
          <t>Hibernian</t>
        </is>
      </c>
      <c r="C5" s="8" t="inlineStr">
        <is>
          <t>Motherwell</t>
        </is>
      </c>
      <c r="D5" s="8" t="n">
        <v>1</v>
      </c>
      <c r="E5" s="8" t="n">
        <v>2</v>
      </c>
      <c r="F5" s="10" t="n">
        <v>1.52</v>
      </c>
      <c r="G5" s="10" t="n">
        <v>1.25</v>
      </c>
      <c r="H5" s="10" t="n">
        <v>1.94</v>
      </c>
      <c r="I5" s="10" t="n">
        <v>2.19</v>
      </c>
      <c r="J5" s="10" t="n">
        <v>0.42</v>
      </c>
      <c r="K5" s="10" t="n">
        <v>0.9399999999999999</v>
      </c>
      <c r="L5" s="10" t="n">
        <v>-0.52</v>
      </c>
      <c r="M5" s="10" t="n">
        <v>1.37</v>
      </c>
      <c r="N5" s="10" t="n">
        <v>1.26</v>
      </c>
      <c r="O5" s="10" t="n">
        <v>1.54</v>
      </c>
      <c r="P5" s="10" t="n">
        <v>1.56</v>
      </c>
      <c r="Q5" s="10" t="n">
        <v>1.19</v>
      </c>
    </row>
    <row r="6">
      <c r="A6" s="6" t="inlineStr">
        <is>
          <t>2026-08-02</t>
        </is>
      </c>
      <c r="B6" s="6" t="inlineStr">
        <is>
          <t>St Johnstone</t>
        </is>
      </c>
      <c r="C6" s="6" t="inlineStr">
        <is>
          <t>Kilmarnock</t>
        </is>
      </c>
      <c r="D6" s="6" t="n">
        <v>4</v>
      </c>
      <c r="E6" s="6" t="n">
        <v>3</v>
      </c>
      <c r="F6" s="9" t="n">
        <v>1.55</v>
      </c>
      <c r="G6" s="9" t="n">
        <v>1.24</v>
      </c>
      <c r="H6" s="9" t="n">
        <v>2.03</v>
      </c>
      <c r="I6" s="9" t="n">
        <v>0.92</v>
      </c>
      <c r="J6" s="9" t="n">
        <v>0.48</v>
      </c>
      <c r="K6" s="9" t="n">
        <v>-0.32</v>
      </c>
      <c r="L6" s="9" t="n">
        <v>0.8</v>
      </c>
      <c r="M6" s="9" t="n">
        <v>0.16</v>
      </c>
      <c r="N6" s="9" t="n">
        <v>2.1</v>
      </c>
      <c r="O6" s="9" t="n">
        <v>0.6899999999999999</v>
      </c>
      <c r="P6" s="9" t="n">
        <v>1.59</v>
      </c>
      <c r="Q6" s="9" t="n">
        <v>1.16</v>
      </c>
    </row>
    <row r="7">
      <c r="A7" s="8" t="inlineStr">
        <is>
          <t>2026-08-03</t>
        </is>
      </c>
      <c r="B7" s="8" t="inlineStr">
        <is>
          <t>Celtic</t>
        </is>
      </c>
      <c r="C7" s="8" t="inlineStr">
        <is>
          <t>Dundee</t>
        </is>
      </c>
      <c r="D7" s="8" t="n">
        <v>1</v>
      </c>
      <c r="E7" s="8" t="n">
        <v>0</v>
      </c>
      <c r="F7" s="10" t="n">
        <v>2.83</v>
      </c>
      <c r="G7" s="10" t="n">
        <v>0.8100000000000001</v>
      </c>
      <c r="H7" s="10" t="n">
        <v>2.25</v>
      </c>
      <c r="I7" s="10" t="n">
        <v>0.49</v>
      </c>
      <c r="J7" s="10" t="n">
        <v>-0.58</v>
      </c>
      <c r="K7" s="10" t="n">
        <v>-0.32</v>
      </c>
      <c r="L7" s="10" t="n">
        <v>-0.26</v>
      </c>
      <c r="M7" s="10" t="n">
        <v>-0.9</v>
      </c>
      <c r="N7" s="10" t="n">
        <v>2.49</v>
      </c>
      <c r="O7" s="10" t="n">
        <v>0.35</v>
      </c>
      <c r="P7" s="10" t="n">
        <v>2.5</v>
      </c>
      <c r="Q7" s="10" t="n">
        <v>0.37</v>
      </c>
    </row>
    <row r="8">
      <c r="A8" s="6" t="inlineStr">
        <is>
          <t>2026-08-08</t>
        </is>
      </c>
      <c r="B8" s="6" t="inlineStr">
        <is>
          <t>Dundee</t>
        </is>
      </c>
      <c r="C8" s="6" t="inlineStr">
        <is>
          <t>Aberdeen</t>
        </is>
      </c>
      <c r="D8" s="6" t="n">
        <v>2</v>
      </c>
      <c r="E8" s="6" t="n">
        <v>0</v>
      </c>
      <c r="F8" s="9" t="n">
        <v>1.34</v>
      </c>
      <c r="G8" s="9" t="n">
        <v>1.41</v>
      </c>
      <c r="H8" s="9" t="n">
        <v>1.83</v>
      </c>
      <c r="I8" s="9" t="n">
        <v>0.71</v>
      </c>
      <c r="J8" s="9" t="n">
        <v>0.49</v>
      </c>
      <c r="K8" s="9" t="n">
        <v>-0.7</v>
      </c>
      <c r="L8" s="9" t="n">
        <v>1.18</v>
      </c>
      <c r="M8" s="9" t="n">
        <v>-0.21</v>
      </c>
      <c r="N8" s="9" t="n">
        <v>2.14</v>
      </c>
      <c r="O8" s="9" t="n">
        <v>0.64</v>
      </c>
      <c r="P8" s="9" t="n">
        <v>1.33</v>
      </c>
      <c r="Q8" s="9" t="n">
        <v>1.42</v>
      </c>
    </row>
    <row r="9">
      <c r="A9" s="8" t="inlineStr">
        <is>
          <t>2026-08-08</t>
        </is>
      </c>
      <c r="B9" s="8" t="inlineStr">
        <is>
          <t>St Mirren</t>
        </is>
      </c>
      <c r="C9" s="8" t="inlineStr">
        <is>
          <t>St Johnstone</t>
        </is>
      </c>
      <c r="D9" s="8" t="n">
        <v>1</v>
      </c>
      <c r="E9" s="8" t="n">
        <v>0</v>
      </c>
      <c r="F9" s="10" t="n">
        <v>1.48</v>
      </c>
      <c r="G9" s="10" t="n">
        <v>1.23</v>
      </c>
      <c r="H9" s="10" t="n">
        <v>1.58</v>
      </c>
      <c r="I9" s="10" t="n">
        <v>1.17</v>
      </c>
      <c r="J9" s="10" t="n">
        <v>0.1</v>
      </c>
      <c r="K9" s="10" t="n">
        <v>-0.06</v>
      </c>
      <c r="L9" s="10" t="n">
        <v>0.16</v>
      </c>
      <c r="M9" s="10" t="n">
        <v>0.05</v>
      </c>
      <c r="N9" s="10" t="n">
        <v>1.66</v>
      </c>
      <c r="O9" s="10" t="n">
        <v>1.1</v>
      </c>
      <c r="P9" s="10" t="n">
        <v>1.54</v>
      </c>
      <c r="Q9" s="10" t="n">
        <v>1.2</v>
      </c>
    </row>
    <row r="10">
      <c r="A10" s="6" t="inlineStr">
        <is>
          <t>2026-08-09</t>
        </is>
      </c>
      <c r="B10" s="6" t="inlineStr">
        <is>
          <t>Motherwell</t>
        </is>
      </c>
      <c r="C10" s="6" t="inlineStr">
        <is>
          <t>Falkirk</t>
        </is>
      </c>
      <c r="D10" s="6" t="n">
        <v>0</v>
      </c>
      <c r="E10" s="6" t="n">
        <v>0</v>
      </c>
      <c r="F10" s="9" t="n">
        <v>1.78</v>
      </c>
      <c r="G10" s="9" t="n">
        <v>1.1</v>
      </c>
      <c r="H10" s="9" t="n">
        <v>1.27</v>
      </c>
      <c r="I10" s="9" t="n">
        <v>0.55</v>
      </c>
      <c r="J10" s="9" t="n">
        <v>-0.51</v>
      </c>
      <c r="K10" s="9" t="n">
        <v>-0.55</v>
      </c>
      <c r="L10" s="9" t="n">
        <v>0.05</v>
      </c>
      <c r="M10" s="9" t="n">
        <v>-1.06</v>
      </c>
      <c r="N10" s="9" t="n">
        <v>1.92</v>
      </c>
      <c r="O10" s="9" t="n">
        <v>0.78</v>
      </c>
      <c r="P10" s="9" t="n">
        <v>1.83</v>
      </c>
      <c r="Q10" s="9" t="n">
        <v>0.9399999999999999</v>
      </c>
    </row>
    <row r="11">
      <c r="A11" s="8" t="inlineStr">
        <is>
          <t>2026-08-09</t>
        </is>
      </c>
      <c r="B11" s="8" t="inlineStr">
        <is>
          <t>Kilmarnock</t>
        </is>
      </c>
      <c r="C11" s="8" t="inlineStr">
        <is>
          <t>Celtic</t>
        </is>
      </c>
      <c r="D11" s="8" t="n">
        <v>1</v>
      </c>
      <c r="E11" s="8" t="n">
        <v>5</v>
      </c>
      <c r="F11" s="10" t="n">
        <v>0.98</v>
      </c>
      <c r="G11" s="10" t="n">
        <v>2.4</v>
      </c>
      <c r="H11" s="10" t="n">
        <v>0.98</v>
      </c>
      <c r="I11" s="10" t="n">
        <v>5.44</v>
      </c>
      <c r="J11" s="10" t="n">
        <v>0</v>
      </c>
      <c r="K11" s="10" t="n">
        <v>3.04</v>
      </c>
      <c r="L11" s="10" t="n">
        <v>-3.04</v>
      </c>
      <c r="M11" s="10" t="n">
        <v>3.04</v>
      </c>
      <c r="N11" s="10" t="n">
        <v>0.08</v>
      </c>
      <c r="O11" s="10" t="n">
        <v>2.82</v>
      </c>
      <c r="P11" s="10" t="n">
        <v>0.59</v>
      </c>
      <c r="Q11" s="10" t="n">
        <v>2.24</v>
      </c>
    </row>
    <row r="12">
      <c r="A12" s="6" t="inlineStr">
        <is>
          <t>2026-08-09</t>
        </is>
      </c>
      <c r="B12" s="6" t="inlineStr">
        <is>
          <t>Heart of Midlothian</t>
        </is>
      </c>
      <c r="C12" s="6" t="inlineStr">
        <is>
          <t>Dundee United</t>
        </is>
      </c>
      <c r="D12" s="6" t="n">
        <v>4</v>
      </c>
      <c r="E12" s="6" t="n">
        <v>0</v>
      </c>
      <c r="F12" s="9" t="n">
        <v>1.92</v>
      </c>
      <c r="G12" s="9" t="n">
        <v>0.98</v>
      </c>
      <c r="H12" s="9" t="n">
        <v>2.15</v>
      </c>
      <c r="I12" s="9" t="n">
        <v>0.58</v>
      </c>
      <c r="J12" s="9" t="n">
        <v>0.23</v>
      </c>
      <c r="K12" s="9" t="n">
        <v>-0.4</v>
      </c>
      <c r="L12" s="9" t="n">
        <v>0.62</v>
      </c>
      <c r="M12" s="9" t="n">
        <v>-0.17</v>
      </c>
      <c r="N12" s="9" t="n">
        <v>2.39</v>
      </c>
      <c r="O12" s="9" t="n">
        <v>0.43</v>
      </c>
      <c r="P12" s="9" t="n">
        <v>2</v>
      </c>
      <c r="Q12" s="9" t="n">
        <v>0.78</v>
      </c>
    </row>
    <row r="13">
      <c r="A13" s="8" t="inlineStr">
        <is>
          <t>2026-08-09</t>
        </is>
      </c>
      <c r="B13" s="8" t="inlineStr">
        <is>
          <t>Rangers</t>
        </is>
      </c>
      <c r="C13" s="8" t="inlineStr">
        <is>
          <t>Hibernian</t>
        </is>
      </c>
      <c r="D13" s="8" t="n">
        <v>1</v>
      </c>
      <c r="E13" s="8" t="n">
        <v>2</v>
      </c>
      <c r="F13" s="10" t="n">
        <v>2.13</v>
      </c>
      <c r="G13" s="10" t="n">
        <v>1.02</v>
      </c>
      <c r="H13" s="10" t="n">
        <v>2.22</v>
      </c>
      <c r="I13" s="10" t="n">
        <v>1.7</v>
      </c>
      <c r="J13" s="10" t="n">
        <v>0.09</v>
      </c>
      <c r="K13" s="10" t="n">
        <v>0.68</v>
      </c>
      <c r="L13" s="10" t="n">
        <v>-0.59</v>
      </c>
      <c r="M13" s="10" t="n">
        <v>0.77</v>
      </c>
      <c r="N13" s="10" t="n">
        <v>1.7</v>
      </c>
      <c r="O13" s="10" t="n">
        <v>1.1</v>
      </c>
      <c r="P13" s="10" t="n">
        <v>2.08</v>
      </c>
      <c r="Q13" s="10" t="n">
        <v>0.72</v>
      </c>
    </row>
    <row r="14">
      <c r="A14" s="6" t="inlineStr">
        <is>
          <t>2026-08-22</t>
        </is>
      </c>
      <c r="B14" s="6" t="inlineStr">
        <is>
          <t>Dundee United</t>
        </is>
      </c>
      <c r="C14" s="6" t="inlineStr">
        <is>
          <t>Dundee</t>
        </is>
      </c>
      <c r="D14" s="6" t="n">
        <v>0</v>
      </c>
      <c r="E14" s="6" t="n">
        <v>2</v>
      </c>
      <c r="F14" s="9" t="n">
        <v>1.54</v>
      </c>
      <c r="G14" s="9" t="n">
        <v>1.23</v>
      </c>
      <c r="H14" s="9" t="n">
        <v>1.19</v>
      </c>
      <c r="I14" s="9" t="n">
        <v>1.43</v>
      </c>
      <c r="J14" s="9" t="n">
        <v>-0.35</v>
      </c>
      <c r="K14" s="9" t="n">
        <v>0.2</v>
      </c>
      <c r="L14" s="9" t="n">
        <v>-0.55</v>
      </c>
      <c r="M14" s="9" t="n">
        <v>-0.14</v>
      </c>
      <c r="N14" s="9" t="n">
        <v>1.2</v>
      </c>
      <c r="O14" s="9" t="n">
        <v>1.54</v>
      </c>
      <c r="P14" s="9" t="n">
        <v>1.59</v>
      </c>
      <c r="Q14" s="9" t="n">
        <v>1.16</v>
      </c>
    </row>
    <row r="15">
      <c r="A15" s="8" t="inlineStr">
        <is>
          <t>2026-08-29</t>
        </is>
      </c>
      <c r="B15" s="8" t="inlineStr">
        <is>
          <t>Heart of Midlothian</t>
        </is>
      </c>
      <c r="C15" s="8" t="inlineStr">
        <is>
          <t>St Johnstone</t>
        </is>
      </c>
      <c r="D15" s="8" t="n">
        <v>2</v>
      </c>
      <c r="E15" s="8" t="n">
        <v>1</v>
      </c>
      <c r="F15" s="10" t="n">
        <v>1.82</v>
      </c>
      <c r="G15" s="10" t="n">
        <v>1.03</v>
      </c>
      <c r="H15" s="10" t="n">
        <v>2.2</v>
      </c>
      <c r="I15" s="10" t="n">
        <v>1.28</v>
      </c>
      <c r="J15" s="10" t="n">
        <v>0.38</v>
      </c>
      <c r="K15" s="10" t="n">
        <v>0.25</v>
      </c>
      <c r="L15" s="10" t="n">
        <v>0.13</v>
      </c>
      <c r="M15" s="10" t="n">
        <v>0.63</v>
      </c>
      <c r="N15" s="10" t="n">
        <v>1.95</v>
      </c>
      <c r="O15" s="10" t="n">
        <v>0.85</v>
      </c>
      <c r="P15" s="10" t="n">
        <v>1.9</v>
      </c>
      <c r="Q15" s="10" t="n">
        <v>0.87</v>
      </c>
    </row>
    <row r="16">
      <c r="A16" s="6" t="inlineStr">
        <is>
          <t>2026-08-29</t>
        </is>
      </c>
      <c r="B16" s="6" t="inlineStr">
        <is>
          <t>Kilmarnock</t>
        </is>
      </c>
      <c r="C16" s="6" t="inlineStr">
        <is>
          <t>Dundee United</t>
        </is>
      </c>
      <c r="D16" s="6" t="n">
        <v>0</v>
      </c>
      <c r="E16" s="6" t="n">
        <v>4</v>
      </c>
      <c r="F16" s="9" t="n">
        <v>1.46</v>
      </c>
      <c r="G16" s="9" t="n">
        <v>1.35</v>
      </c>
      <c r="H16" s="9" t="n">
        <v>1.13</v>
      </c>
      <c r="I16" s="9" t="n">
        <v>3.42</v>
      </c>
      <c r="J16" s="9" t="n">
        <v>-0.33</v>
      </c>
      <c r="K16" s="9" t="n">
        <v>2.07</v>
      </c>
      <c r="L16" s="9" t="n">
        <v>-2.4</v>
      </c>
      <c r="M16" s="9" t="n">
        <v>1.74</v>
      </c>
      <c r="N16" s="9" t="n">
        <v>0.37</v>
      </c>
      <c r="O16" s="9" t="n">
        <v>2.52</v>
      </c>
      <c r="P16" s="9" t="n">
        <v>1.45</v>
      </c>
      <c r="Q16" s="9" t="n">
        <v>1.3</v>
      </c>
    </row>
    <row r="17">
      <c r="A17" s="8" t="inlineStr">
        <is>
          <t>2026-08-29</t>
        </is>
      </c>
      <c r="B17" s="8" t="inlineStr">
        <is>
          <t>Celtic</t>
        </is>
      </c>
      <c r="C17" s="8" t="inlineStr">
        <is>
          <t>Falkirk</t>
        </is>
      </c>
      <c r="D17" s="8" t="n">
        <v>2</v>
      </c>
      <c r="E17" s="8" t="n">
        <v>1</v>
      </c>
      <c r="F17" s="10" t="n">
        <v>2.78</v>
      </c>
      <c r="G17" s="10" t="n">
        <v>0.82</v>
      </c>
      <c r="H17" s="10" t="n">
        <v>3.45</v>
      </c>
      <c r="I17" s="10" t="n">
        <v>0.57</v>
      </c>
      <c r="J17" s="10" t="n">
        <v>0.67</v>
      </c>
      <c r="K17" s="10" t="n">
        <v>-0.25</v>
      </c>
      <c r="L17" s="10" t="n">
        <v>0.93</v>
      </c>
      <c r="M17" s="10" t="n">
        <v>0.42</v>
      </c>
      <c r="N17" s="10" t="n">
        <v>2.76</v>
      </c>
      <c r="O17" s="10" t="n">
        <v>0.17</v>
      </c>
      <c r="P17" s="10" t="n">
        <v>2.48</v>
      </c>
      <c r="Q17" s="10" t="n">
        <v>0.39</v>
      </c>
    </row>
    <row r="18">
      <c r="A18" s="6" t="inlineStr">
        <is>
          <t>2026-08-30</t>
        </is>
      </c>
      <c r="B18" s="6" t="inlineStr">
        <is>
          <t>Aberdeen</t>
        </is>
      </c>
      <c r="C18" s="6" t="inlineStr">
        <is>
          <t>Rangers</t>
        </is>
      </c>
      <c r="D18" s="6" t="n">
        <v>0</v>
      </c>
      <c r="E18" s="6" t="n">
        <v>1</v>
      </c>
      <c r="F18" s="9" t="n">
        <v>1.14</v>
      </c>
      <c r="G18" s="9" t="n">
        <v>1.88</v>
      </c>
      <c r="H18" s="9" t="n">
        <v>0.35</v>
      </c>
      <c r="I18" s="9" t="n">
        <v>2.1</v>
      </c>
      <c r="J18" s="9" t="n">
        <v>-0.79</v>
      </c>
      <c r="K18" s="9" t="n">
        <v>0.23</v>
      </c>
      <c r="L18" s="9" t="n">
        <v>-1.01</v>
      </c>
      <c r="M18" s="9" t="n">
        <v>-0.5600000000000001</v>
      </c>
      <c r="N18" s="9" t="n">
        <v>0.31</v>
      </c>
      <c r="O18" s="9" t="n">
        <v>2.52</v>
      </c>
      <c r="P18" s="9" t="n">
        <v>0.91</v>
      </c>
      <c r="Q18" s="9" t="n">
        <v>1.86</v>
      </c>
    </row>
    <row r="19">
      <c r="A19" s="8" t="inlineStr">
        <is>
          <t>2026-08-30</t>
        </is>
      </c>
      <c r="B19" s="8" t="inlineStr">
        <is>
          <t>St Mirren</t>
        </is>
      </c>
      <c r="C19" s="8" t="inlineStr">
        <is>
          <t>Motherwell</t>
        </is>
      </c>
      <c r="D19" s="8" t="n">
        <v>3</v>
      </c>
      <c r="E19" s="8" t="n">
        <v>3</v>
      </c>
      <c r="F19" s="10" t="n">
        <v>1.35</v>
      </c>
      <c r="G19" s="10" t="n">
        <v>1.27</v>
      </c>
      <c r="H19" s="10" t="n">
        <v>2.92</v>
      </c>
      <c r="I19" s="10" t="n">
        <v>2.45</v>
      </c>
      <c r="J19" s="10" t="n">
        <v>1.57</v>
      </c>
      <c r="K19" s="10" t="n">
        <v>1.18</v>
      </c>
      <c r="L19" s="10" t="n">
        <v>0.39</v>
      </c>
      <c r="M19" s="10" t="n">
        <v>2.75</v>
      </c>
      <c r="N19" s="10" t="n">
        <v>1.65</v>
      </c>
      <c r="O19" s="10" t="n">
        <v>1.18</v>
      </c>
      <c r="P19" s="10" t="n">
        <v>1.42</v>
      </c>
      <c r="Q19" s="10" t="n">
        <v>1.31</v>
      </c>
    </row>
    <row r="20">
      <c r="A20" s="6" t="inlineStr">
        <is>
          <t>2026-08-30</t>
        </is>
      </c>
      <c r="B20" s="6" t="inlineStr">
        <is>
          <t>Dundee</t>
        </is>
      </c>
      <c r="C20" s="6" t="inlineStr">
        <is>
          <t>Hibernian</t>
        </is>
      </c>
      <c r="D20" s="6" t="n">
        <v>1</v>
      </c>
      <c r="E20" s="6" t="n">
        <v>2</v>
      </c>
      <c r="F20" s="9" t="n">
        <v>1.22</v>
      </c>
      <c r="G20" s="9" t="n">
        <v>1.51</v>
      </c>
      <c r="H20" s="9" t="n">
        <v>1.01</v>
      </c>
      <c r="I20" s="9" t="n">
        <v>2.33</v>
      </c>
      <c r="J20" s="9" t="n">
        <v>-0.21</v>
      </c>
      <c r="K20" s="9" t="n">
        <v>0.82</v>
      </c>
      <c r="L20" s="9" t="n">
        <v>-1.03</v>
      </c>
      <c r="M20" s="9" t="n">
        <v>0.62</v>
      </c>
      <c r="N20" s="9" t="n">
        <v>0.63</v>
      </c>
      <c r="O20" s="9" t="n">
        <v>2.19</v>
      </c>
      <c r="P20" s="9" t="n">
        <v>1.17</v>
      </c>
      <c r="Q20" s="9" t="n">
        <v>1.57</v>
      </c>
    </row>
    <row r="21">
      <c r="A21" s="8" t="inlineStr">
        <is>
          <t>2026-09-02</t>
        </is>
      </c>
      <c r="B21" s="8" t="inlineStr">
        <is>
          <t>Motherwell</t>
        </is>
      </c>
      <c r="C21" s="8" t="inlineStr">
        <is>
          <t>Dundee United</t>
        </is>
      </c>
      <c r="D21" s="8" t="n">
        <v>3</v>
      </c>
      <c r="E21" s="8" t="n">
        <v>0</v>
      </c>
      <c r="F21" s="10" t="n">
        <v>1.72</v>
      </c>
      <c r="G21" s="10" t="n">
        <v>1.19</v>
      </c>
      <c r="H21" s="10" t="n">
        <v>2.37</v>
      </c>
      <c r="I21" s="10" t="n">
        <v>0.16</v>
      </c>
      <c r="J21" s="10" t="n">
        <v>0.65</v>
      </c>
      <c r="K21" s="10" t="n">
        <v>-1.03</v>
      </c>
      <c r="L21" s="10" t="n">
        <v>1.68</v>
      </c>
      <c r="M21" s="10" t="n">
        <v>-0.39</v>
      </c>
      <c r="N21" s="10" t="n">
        <v>2.73</v>
      </c>
      <c r="O21" s="10" t="n">
        <v>0.16</v>
      </c>
      <c r="P21" s="10" t="n">
        <v>1.73</v>
      </c>
      <c r="Q21" s="10" t="n">
        <v>1.03</v>
      </c>
    </row>
    <row r="22">
      <c r="A22" s="6" t="inlineStr">
        <is>
          <t>2026-09-02</t>
        </is>
      </c>
      <c r="B22" s="6" t="inlineStr">
        <is>
          <t>Dundee</t>
        </is>
      </c>
      <c r="C22" s="6" t="inlineStr">
        <is>
          <t>St Johnstone</t>
        </is>
      </c>
      <c r="D22" s="6" t="n">
        <v>1</v>
      </c>
      <c r="E22" s="6" t="n">
        <v>1</v>
      </c>
      <c r="F22" s="9" t="n">
        <v>1.37</v>
      </c>
      <c r="G22" s="9" t="n">
        <v>1.37</v>
      </c>
      <c r="H22" s="9" t="n">
        <v>2.04</v>
      </c>
      <c r="I22" s="9" t="n">
        <v>1.07</v>
      </c>
      <c r="J22" s="9" t="n">
        <v>0.67</v>
      </c>
      <c r="K22" s="9" t="n">
        <v>-0.3</v>
      </c>
      <c r="L22" s="9" t="n">
        <v>0.97</v>
      </c>
      <c r="M22" s="9" t="n">
        <v>0.36</v>
      </c>
      <c r="N22" s="9" t="n">
        <v>2</v>
      </c>
      <c r="O22" s="9" t="n">
        <v>0.79</v>
      </c>
      <c r="P22" s="9" t="n">
        <v>1.37</v>
      </c>
      <c r="Q22" s="9" t="n">
        <v>1.37</v>
      </c>
    </row>
    <row r="23">
      <c r="A23" s="8" t="inlineStr">
        <is>
          <t>2026-09-02</t>
        </is>
      </c>
      <c r="B23" s="8" t="inlineStr">
        <is>
          <t>Celtic</t>
        </is>
      </c>
      <c r="C23" s="8" t="inlineStr">
        <is>
          <t>Aberdeen</t>
        </is>
      </c>
      <c r="D23" s="8" t="n">
        <v>3</v>
      </c>
      <c r="E23" s="8" t="n">
        <v>0</v>
      </c>
      <c r="F23" s="10" t="n">
        <v>2.74</v>
      </c>
      <c r="G23" s="10" t="n">
        <v>0.8</v>
      </c>
      <c r="H23" s="10" t="n">
        <v>2.67</v>
      </c>
      <c r="I23" s="10" t="n">
        <v>0.68</v>
      </c>
      <c r="J23" s="10" t="n">
        <v>-0.07000000000000001</v>
      </c>
      <c r="K23" s="10" t="n">
        <v>-0.12</v>
      </c>
      <c r="L23" s="10" t="n">
        <v>0.05</v>
      </c>
      <c r="M23" s="10" t="n">
        <v>-0.19</v>
      </c>
      <c r="N23" s="10" t="n">
        <v>2.52</v>
      </c>
      <c r="O23" s="10" t="n">
        <v>0.35</v>
      </c>
      <c r="P23" s="10" t="n">
        <v>2.48</v>
      </c>
      <c r="Q23" s="10" t="n">
        <v>0.39</v>
      </c>
    </row>
    <row r="24">
      <c r="A24" s="6" t="inlineStr">
        <is>
          <t>2026-09-02</t>
        </is>
      </c>
      <c r="B24" s="6" t="inlineStr">
        <is>
          <t>Kilmarnock</t>
        </is>
      </c>
      <c r="C24" s="6" t="inlineStr">
        <is>
          <t>St Mirren</t>
        </is>
      </c>
      <c r="D24" s="6" t="n">
        <v>0</v>
      </c>
      <c r="E24" s="6" t="n">
        <v>1</v>
      </c>
      <c r="F24" s="9" t="n">
        <v>1.33</v>
      </c>
      <c r="G24" s="9" t="n">
        <v>1.44</v>
      </c>
      <c r="H24" s="9" t="n">
        <v>0.41</v>
      </c>
      <c r="I24" s="9" t="n">
        <v>0.85</v>
      </c>
      <c r="J24" s="9" t="n">
        <v>-0.92</v>
      </c>
      <c r="K24" s="9" t="n">
        <v>-0.59</v>
      </c>
      <c r="L24" s="9" t="n">
        <v>-0.33</v>
      </c>
      <c r="M24" s="9" t="n">
        <v>-1.51</v>
      </c>
      <c r="N24" s="9" t="n">
        <v>0.9</v>
      </c>
      <c r="O24" s="9" t="n">
        <v>1.71</v>
      </c>
      <c r="P24" s="9" t="n">
        <v>1.3</v>
      </c>
      <c r="Q24" s="9" t="n">
        <v>1.45</v>
      </c>
    </row>
    <row r="25">
      <c r="A25" s="8" t="inlineStr">
        <is>
          <t>2026-09-02</t>
        </is>
      </c>
      <c r="B25" s="8" t="inlineStr">
        <is>
          <t>Falkirk</t>
        </is>
      </c>
      <c r="C25" s="8" t="inlineStr">
        <is>
          <t>Rangers</t>
        </is>
      </c>
      <c r="D25" s="8" t="n">
        <v>1</v>
      </c>
      <c r="E25" s="8" t="n">
        <v>2</v>
      </c>
      <c r="F25" s="10" t="n">
        <v>1.05</v>
      </c>
      <c r="G25" s="10" t="n">
        <v>2.05</v>
      </c>
      <c r="H25" s="10" t="n">
        <v>1</v>
      </c>
      <c r="I25" s="10" t="n">
        <v>1.56</v>
      </c>
      <c r="J25" s="10" t="n">
        <v>-0.05</v>
      </c>
      <c r="K25" s="10" t="n">
        <v>-0.49</v>
      </c>
      <c r="L25" s="10" t="n">
        <v>0.44</v>
      </c>
      <c r="M25" s="10" t="n">
        <v>-0.53</v>
      </c>
      <c r="N25" s="10" t="n">
        <v>0.98</v>
      </c>
      <c r="O25" s="10" t="n">
        <v>1.76</v>
      </c>
      <c r="P25" s="10" t="n">
        <v>0.77</v>
      </c>
      <c r="Q25" s="10" t="n">
        <v>2.02</v>
      </c>
    </row>
    <row r="26">
      <c r="A26" s="6" t="inlineStr">
        <is>
          <t>2026-09-03</t>
        </is>
      </c>
      <c r="B26" s="6" t="inlineStr">
        <is>
          <t>Hibernian</t>
        </is>
      </c>
      <c r="C26" s="6" t="inlineStr">
        <is>
          <t>Heart of Midlothian</t>
        </is>
      </c>
      <c r="D26" s="6" t="n">
        <v>1</v>
      </c>
      <c r="E26" s="6" t="n">
        <v>3</v>
      </c>
      <c r="F26" s="9" t="n">
        <v>1.41</v>
      </c>
      <c r="G26" s="9" t="n">
        <v>1.34</v>
      </c>
      <c r="H26" s="9" t="n">
        <v>1.47</v>
      </c>
      <c r="I26" s="9" t="n">
        <v>0.86</v>
      </c>
      <c r="J26" s="9" t="n">
        <v>0.06</v>
      </c>
      <c r="K26" s="9" t="n">
        <v>-0.48</v>
      </c>
      <c r="L26" s="9" t="n">
        <v>0.55</v>
      </c>
      <c r="M26" s="9" t="n">
        <v>-0.42</v>
      </c>
      <c r="N26" s="9" t="n">
        <v>1.81</v>
      </c>
      <c r="O26" s="9" t="n">
        <v>0.93</v>
      </c>
      <c r="P26" s="9" t="n">
        <v>1.42</v>
      </c>
      <c r="Q26" s="9" t="n">
        <v>1.33</v>
      </c>
    </row>
    <row r="27">
      <c r="A27" s="8" t="inlineStr">
        <is>
          <t>2026-09-05</t>
        </is>
      </c>
      <c r="B27" s="8" t="inlineStr">
        <is>
          <t>St Mirren</t>
        </is>
      </c>
      <c r="C27" s="8" t="inlineStr">
        <is>
          <t>Celtic</t>
        </is>
      </c>
      <c r="D27" s="8" t="n">
        <v>1</v>
      </c>
      <c r="E27" s="8" t="n">
        <v>2</v>
      </c>
      <c r="F27" s="10" t="n">
        <v>1.03</v>
      </c>
      <c r="G27" s="10" t="n">
        <v>2.25</v>
      </c>
      <c r="H27" s="10" t="n">
        <v>1.95</v>
      </c>
      <c r="I27" s="10" t="n">
        <v>3.19</v>
      </c>
      <c r="J27" s="10" t="n">
        <v>0.92</v>
      </c>
      <c r="K27" s="10" t="n">
        <v>0.9399999999999999</v>
      </c>
      <c r="L27" s="10" t="n">
        <v>-0.02</v>
      </c>
      <c r="M27" s="10" t="n">
        <v>1.86</v>
      </c>
      <c r="N27" s="10" t="n">
        <v>0.8100000000000001</v>
      </c>
      <c r="O27" s="10" t="n">
        <v>2.03</v>
      </c>
      <c r="P27" s="10" t="n">
        <v>0.68</v>
      </c>
      <c r="Q27" s="10" t="n">
        <v>2.13</v>
      </c>
    </row>
    <row r="28">
      <c r="A28" s="6" t="inlineStr">
        <is>
          <t>2026-09-05</t>
        </is>
      </c>
      <c r="B28" s="6" t="inlineStr">
        <is>
          <t>Dundee United</t>
        </is>
      </c>
      <c r="C28" s="6" t="inlineStr">
        <is>
          <t>Falkirk</t>
        </is>
      </c>
      <c r="D28" s="6" t="n">
        <v>1</v>
      </c>
      <c r="E28" s="6" t="n">
        <v>1</v>
      </c>
      <c r="F28" s="9" t="n">
        <v>1.74</v>
      </c>
      <c r="G28" s="9" t="n">
        <v>1.16</v>
      </c>
      <c r="H28" s="9" t="n">
        <v>2.65</v>
      </c>
      <c r="I28" s="9" t="n">
        <v>1.22</v>
      </c>
      <c r="J28" s="9" t="n">
        <v>0.91</v>
      </c>
      <c r="K28" s="9" t="n">
        <v>0.06</v>
      </c>
      <c r="L28" s="9" t="n">
        <v>0.85</v>
      </c>
      <c r="M28" s="9" t="n">
        <v>0.98</v>
      </c>
      <c r="N28" s="9" t="n">
        <v>2.2</v>
      </c>
      <c r="O28" s="9" t="n">
        <v>0.63</v>
      </c>
      <c r="P28" s="9" t="n">
        <v>1.76</v>
      </c>
      <c r="Q28" s="9" t="n">
        <v>1</v>
      </c>
    </row>
    <row r="29">
      <c r="A29" s="8" t="inlineStr">
        <is>
          <t>2026-09-05</t>
        </is>
      </c>
      <c r="B29" s="8" t="inlineStr">
        <is>
          <t>Aberdeen</t>
        </is>
      </c>
      <c r="C29" s="8" t="inlineStr">
        <is>
          <t>Kilmarnock</t>
        </is>
      </c>
      <c r="D29" s="8" t="n">
        <v>0</v>
      </c>
      <c r="E29" s="8" t="n">
        <v>0</v>
      </c>
      <c r="F29" s="10" t="n">
        <v>1.88</v>
      </c>
      <c r="G29" s="10" t="n">
        <v>1.08</v>
      </c>
      <c r="H29" s="10" t="n">
        <v>1.08</v>
      </c>
      <c r="I29" s="10" t="n">
        <v>1.11</v>
      </c>
      <c r="J29" s="10" t="n">
        <v>-0.8</v>
      </c>
      <c r="K29" s="10" t="n">
        <v>0.03</v>
      </c>
      <c r="L29" s="10" t="n">
        <v>-0.83</v>
      </c>
      <c r="M29" s="10" t="n">
        <v>-0.77</v>
      </c>
      <c r="N29" s="10" t="n">
        <v>1.33</v>
      </c>
      <c r="O29" s="10" t="n">
        <v>1.38</v>
      </c>
      <c r="P29" s="10" t="n">
        <v>1.9</v>
      </c>
      <c r="Q29" s="10" t="n">
        <v>0.87</v>
      </c>
    </row>
    <row r="30">
      <c r="A30" s="6" t="inlineStr">
        <is>
          <t>2026-09-05</t>
        </is>
      </c>
      <c r="B30" s="6" t="inlineStr">
        <is>
          <t>Rangers</t>
        </is>
      </c>
      <c r="C30" s="6" t="inlineStr">
        <is>
          <t>Motherwell</t>
        </is>
      </c>
      <c r="D30" s="6" t="n">
        <v>1</v>
      </c>
      <c r="E30" s="6" t="n">
        <v>0</v>
      </c>
      <c r="F30" s="9" t="n">
        <v>2.16</v>
      </c>
      <c r="G30" s="9" t="n">
        <v>0.89</v>
      </c>
      <c r="H30" s="9" t="n">
        <v>4.28</v>
      </c>
      <c r="I30" s="9" t="n">
        <v>0.7</v>
      </c>
      <c r="J30" s="9" t="n">
        <v>2.12</v>
      </c>
      <c r="K30" s="9" t="n">
        <v>-0.19</v>
      </c>
      <c r="L30" s="9" t="n">
        <v>2.31</v>
      </c>
      <c r="M30" s="9" t="n">
        <v>1.93</v>
      </c>
      <c r="N30" s="9" t="n">
        <v>2.82</v>
      </c>
      <c r="O30" s="9" t="n">
        <v>0.11</v>
      </c>
      <c r="P30" s="9" t="n">
        <v>2.19</v>
      </c>
      <c r="Q30" s="9" t="n">
        <v>0.62</v>
      </c>
    </row>
    <row r="31">
      <c r="A31" s="8" t="inlineStr">
        <is>
          <t>2026-09-06</t>
        </is>
      </c>
      <c r="B31" s="8" t="inlineStr">
        <is>
          <t>St Johnstone</t>
        </is>
      </c>
      <c r="C31" s="8" t="inlineStr">
        <is>
          <t>Hibernian</t>
        </is>
      </c>
      <c r="D31" s="8" t="n">
        <v>2</v>
      </c>
      <c r="E31" s="8" t="n">
        <v>1</v>
      </c>
      <c r="F31" s="10" t="n">
        <v>1.31</v>
      </c>
      <c r="G31" s="10" t="n">
        <v>1.4</v>
      </c>
      <c r="H31" s="10" t="n">
        <v>2.32</v>
      </c>
      <c r="I31" s="10" t="n">
        <v>1.61</v>
      </c>
      <c r="J31" s="10" t="n">
        <v>1.01</v>
      </c>
      <c r="K31" s="10" t="n">
        <v>0.21</v>
      </c>
      <c r="L31" s="10" t="n">
        <v>0.8</v>
      </c>
      <c r="M31" s="10" t="n">
        <v>1.22</v>
      </c>
      <c r="N31" s="10" t="n">
        <v>1.81</v>
      </c>
      <c r="O31" s="10" t="n">
        <v>0.99</v>
      </c>
      <c r="P31" s="10" t="n">
        <v>1.31</v>
      </c>
      <c r="Q31" s="10" t="n">
        <v>1.43</v>
      </c>
    </row>
    <row r="32">
      <c r="A32" s="6" t="inlineStr">
        <is>
          <t>2026-09-06</t>
        </is>
      </c>
      <c r="B32" s="6" t="inlineStr">
        <is>
          <t>Heart of Midlothian</t>
        </is>
      </c>
      <c r="C32" s="6" t="inlineStr">
        <is>
          <t>Dundee</t>
        </is>
      </c>
      <c r="D32" s="6" t="n">
        <v>2</v>
      </c>
      <c r="E32" s="6" t="n">
        <v>1</v>
      </c>
      <c r="F32" s="9" t="n">
        <v>2.12</v>
      </c>
      <c r="G32" s="9" t="n">
        <v>0.96</v>
      </c>
      <c r="H32" s="9" t="n">
        <v>1.92</v>
      </c>
      <c r="I32" s="9" t="n">
        <v>0.42</v>
      </c>
      <c r="J32" s="9" t="n">
        <v>-0.2</v>
      </c>
      <c r="K32" s="9" t="n">
        <v>-0.54</v>
      </c>
      <c r="L32" s="9" t="n">
        <v>0.34</v>
      </c>
      <c r="M32" s="9" t="n">
        <v>-0.74</v>
      </c>
      <c r="N32" s="9" t="n">
        <v>2.4</v>
      </c>
      <c r="O32" s="9" t="n">
        <v>0.41</v>
      </c>
      <c r="P32" s="9" t="n">
        <v>2.12</v>
      </c>
      <c r="Q32" s="9" t="n">
        <v>0.68</v>
      </c>
    </row>
    <row r="33">
      <c r="A33" s="8" t="inlineStr">
        <is>
          <t>2026-09-09</t>
        </is>
      </c>
      <c r="B33" s="8" t="inlineStr">
        <is>
          <t>Rangers</t>
        </is>
      </c>
      <c r="C33" s="8" t="inlineStr">
        <is>
          <t>St Mirren</t>
        </is>
      </c>
      <c r="D33" s="8" t="n">
        <v>1</v>
      </c>
      <c r="E33" s="8" t="n">
        <v>0</v>
      </c>
      <c r="F33" s="10" t="n">
        <v>2.49</v>
      </c>
      <c r="G33" s="10" t="n">
        <v>0.9</v>
      </c>
      <c r="H33" s="10" t="n">
        <v>2.46</v>
      </c>
      <c r="I33" s="10" t="n">
        <v>1.26</v>
      </c>
      <c r="J33" s="10" t="n">
        <v>-0.03</v>
      </c>
      <c r="K33" s="10" t="n">
        <v>0.36</v>
      </c>
      <c r="L33" s="10" t="n">
        <v>-0.39</v>
      </c>
      <c r="M33" s="10" t="n">
        <v>0.33</v>
      </c>
      <c r="N33" s="10" t="n">
        <v>2.09</v>
      </c>
      <c r="O33" s="10" t="n">
        <v>0.72</v>
      </c>
      <c r="P33" s="10" t="n">
        <v>2.33</v>
      </c>
      <c r="Q33" s="10" t="n">
        <v>0.51</v>
      </c>
    </row>
    <row r="34">
      <c r="A34" s="6" t="inlineStr">
        <is>
          <t>2026-09-09</t>
        </is>
      </c>
      <c r="B34" s="6" t="inlineStr">
        <is>
          <t>St Johnstone</t>
        </is>
      </c>
      <c r="C34" s="6" t="inlineStr">
        <is>
          <t>Celtic</t>
        </is>
      </c>
      <c r="D34" s="6" t="n">
        <v>0</v>
      </c>
      <c r="E34" s="6" t="n">
        <v>1</v>
      </c>
      <c r="F34" s="9" t="n">
        <v>1.05</v>
      </c>
      <c r="G34" s="9" t="n">
        <v>2.24</v>
      </c>
      <c r="H34" s="9" t="n">
        <v>0.6899999999999999</v>
      </c>
      <c r="I34" s="9" t="n">
        <v>1.8</v>
      </c>
      <c r="J34" s="9" t="n">
        <v>-0.36</v>
      </c>
      <c r="K34" s="9" t="n">
        <v>-0.44</v>
      </c>
      <c r="L34" s="9" t="n">
        <v>0.07000000000000001</v>
      </c>
      <c r="M34" s="9" t="n">
        <v>-0.8</v>
      </c>
      <c r="N34" s="9" t="n">
        <v>0.64</v>
      </c>
      <c r="O34" s="9" t="n">
        <v>2.14</v>
      </c>
      <c r="P34" s="9" t="n">
        <v>0.6899999999999999</v>
      </c>
      <c r="Q34" s="9" t="n">
        <v>2.12</v>
      </c>
    </row>
  </sheetData>
  <autoFilter ref="A1:Q34"/>
  <conditionalFormatting sqref="J2:J3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34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34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34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3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Celtic</t>
        </is>
      </c>
      <c r="B3" s="9" t="n">
        <v>0.62</v>
      </c>
      <c r="C3" s="9" t="n">
        <v>0.04</v>
      </c>
      <c r="D3" s="9" t="n">
        <v>0.24</v>
      </c>
      <c r="E3" s="9" t="n">
        <v>0.05</v>
      </c>
      <c r="F3" s="9" t="n">
        <v>1</v>
      </c>
      <c r="G3" s="9" t="n">
        <v>0.02</v>
      </c>
    </row>
    <row r="4">
      <c r="A4" s="8" t="inlineStr">
        <is>
          <t>St Mirren</t>
        </is>
      </c>
      <c r="B4" s="10" t="n">
        <v>0.46</v>
      </c>
      <c r="C4" s="10" t="n">
        <v>0.36</v>
      </c>
      <c r="D4" s="10" t="n">
        <v>0.18</v>
      </c>
      <c r="E4" s="10" t="n">
        <v>0.16</v>
      </c>
      <c r="F4" s="10" t="n">
        <v>0.74</v>
      </c>
      <c r="G4" s="10" t="n">
        <v>0.39</v>
      </c>
    </row>
    <row r="5">
      <c r="A5" s="6" t="inlineStr">
        <is>
          <t>Dundee United</t>
        </is>
      </c>
      <c r="B5" s="9" t="n">
        <v>0.29</v>
      </c>
      <c r="C5" s="9" t="n">
        <v>0.15</v>
      </c>
      <c r="D5" s="9" t="n">
        <v>0.55</v>
      </c>
      <c r="E5" s="9" t="n">
        <v>0.85</v>
      </c>
      <c r="F5" s="9" t="n">
        <v>0.03</v>
      </c>
      <c r="G5" s="9" t="n">
        <v>-0.62</v>
      </c>
    </row>
    <row r="6">
      <c r="A6" s="8" t="inlineStr">
        <is>
          <t>Dundee</t>
        </is>
      </c>
      <c r="B6" s="10" t="n">
        <v>0.26</v>
      </c>
      <c r="C6" s="10" t="n">
        <v>0.41</v>
      </c>
      <c r="D6" s="10" t="n">
        <v>0.37</v>
      </c>
      <c r="E6" s="10" t="n">
        <v>0.97</v>
      </c>
      <c r="F6" s="10" t="n">
        <v>0.16</v>
      </c>
      <c r="G6" s="10" t="n">
        <v>0.26</v>
      </c>
    </row>
    <row r="7">
      <c r="A7" s="6" t="inlineStr">
        <is>
          <t>Hibernian</t>
        </is>
      </c>
      <c r="B7" s="9" t="n">
        <v>0.17</v>
      </c>
      <c r="C7" s="9" t="n">
        <v>0.55</v>
      </c>
      <c r="D7" s="9" t="n">
        <v>0.02</v>
      </c>
      <c r="E7" s="9" t="n">
        <v>0.02</v>
      </c>
      <c r="F7" s="9" t="n">
        <v>0.27</v>
      </c>
      <c r="G7" s="9" t="n">
        <v>0.59</v>
      </c>
    </row>
    <row r="8">
      <c r="A8" s="8" t="inlineStr">
        <is>
          <t>Rangers</t>
        </is>
      </c>
      <c r="B8" s="10" t="n">
        <v>0.09</v>
      </c>
      <c r="C8" s="10" t="n">
        <v>-0.42</v>
      </c>
      <c r="D8" s="10" t="n">
        <v>0.44</v>
      </c>
      <c r="E8" s="10" t="n">
        <v>-0.39</v>
      </c>
      <c r="F8" s="10" t="n">
        <v>-0.26</v>
      </c>
      <c r="G8" s="10" t="n">
        <v>-0.44</v>
      </c>
    </row>
    <row r="9">
      <c r="A9" s="6" t="inlineStr">
        <is>
          <t>St Johnstone</t>
        </is>
      </c>
      <c r="B9" s="9" t="n">
        <v>0.07000000000000001</v>
      </c>
      <c r="C9" s="9" t="n">
        <v>-0.03</v>
      </c>
      <c r="D9" s="9" t="n">
        <v>0.5600000000000001</v>
      </c>
      <c r="E9" s="9" t="n">
        <v>0.8</v>
      </c>
      <c r="F9" s="9" t="n">
        <v>-0.42</v>
      </c>
      <c r="G9" s="9" t="n">
        <v>-0.16</v>
      </c>
    </row>
    <row r="10">
      <c r="A10" s="8" t="inlineStr">
        <is>
          <t>Motherwell</t>
        </is>
      </c>
      <c r="B10" s="10" t="n">
        <v>-0.09</v>
      </c>
      <c r="C10" s="10" t="n">
        <v>0.05</v>
      </c>
      <c r="D10" s="10" t="n">
        <v>0.86</v>
      </c>
      <c r="E10" s="10" t="n">
        <v>0.86</v>
      </c>
      <c r="F10" s="10" t="n">
        <v>-0.73</v>
      </c>
      <c r="G10" s="10" t="n">
        <v>-0.39</v>
      </c>
    </row>
    <row r="11">
      <c r="A11" s="6" t="inlineStr">
        <is>
          <t>Heart of Midlothian</t>
        </is>
      </c>
      <c r="B11" s="9" t="n">
        <v>-0.12</v>
      </c>
      <c r="C11" s="9" t="n">
        <v>0.13</v>
      </c>
      <c r="D11" s="9" t="n">
        <v>0.36</v>
      </c>
      <c r="E11" s="9" t="n">
        <v>0.34</v>
      </c>
      <c r="F11" s="9" t="n">
        <v>-0.85</v>
      </c>
      <c r="G11" s="9" t="n">
        <v>-0.85</v>
      </c>
    </row>
    <row r="12">
      <c r="A12" s="8" t="inlineStr">
        <is>
          <t>Aberdeen</t>
        </is>
      </c>
      <c r="B12" s="10" t="n">
        <v>-0.38</v>
      </c>
      <c r="C12" s="10" t="n">
        <v>-0.83</v>
      </c>
      <c r="D12" s="10" t="n">
        <v>-0.23</v>
      </c>
      <c r="E12" s="10" t="n">
        <v>-0.83</v>
      </c>
      <c r="F12" s="10" t="n">
        <v>-0.61</v>
      </c>
      <c r="G12" s="10" t="n">
        <v>-0.61</v>
      </c>
    </row>
    <row r="13">
      <c r="A13" s="6" t="inlineStr">
        <is>
          <t>Falkirk</t>
        </is>
      </c>
      <c r="B13" s="9" t="n">
        <v>-0.58</v>
      </c>
      <c r="C13" s="9" t="n">
        <v>-0.85</v>
      </c>
      <c r="D13" s="9" t="n">
        <v>-0.53</v>
      </c>
      <c r="E13" s="9" t="n">
        <v>-0.53</v>
      </c>
      <c r="F13" s="9" t="n">
        <v>-0.61</v>
      </c>
      <c r="G13" s="9" t="n">
        <v>-0.85</v>
      </c>
    </row>
    <row r="14">
      <c r="A14" s="8" t="inlineStr">
        <is>
          <t>Kilmarnock</t>
        </is>
      </c>
      <c r="B14" s="10" t="n">
        <v>-1.15</v>
      </c>
      <c r="C14" s="10" t="n">
        <v>-0.8</v>
      </c>
      <c r="D14" s="10" t="n">
        <v>-1.92</v>
      </c>
      <c r="E14" s="10" t="n">
        <v>-2.4</v>
      </c>
      <c r="F14" s="10" t="n">
        <v>0.01</v>
      </c>
      <c r="G14" s="10" t="n">
        <v>0.01</v>
      </c>
    </row>
    <row r="16">
      <c r="A16" s="13" t="inlineStr">
        <is>
          <t>Total Goals - Total / Home / Away</t>
        </is>
      </c>
    </row>
    <row r="17" ht="30" customHeight="1">
      <c r="A17" s="4" t="inlineStr">
        <is>
          <t>Team</t>
        </is>
      </c>
      <c r="B17" s="4" t="inlineStr">
        <is>
          <t>Total GF</t>
        </is>
      </c>
      <c r="C17" s="4" t="inlineStr">
        <is>
          <t>Total GA</t>
        </is>
      </c>
      <c r="D17" s="4" t="inlineStr">
        <is>
          <t>Home GF</t>
        </is>
      </c>
      <c r="E17" s="4" t="inlineStr">
        <is>
          <t>Home GA</t>
        </is>
      </c>
      <c r="F17" s="4" t="inlineStr">
        <is>
          <t>Away GF</t>
        </is>
      </c>
      <c r="G17" s="4" t="inlineStr">
        <is>
          <t>Away GA</t>
        </is>
      </c>
    </row>
    <row r="18">
      <c r="A18" s="6" t="inlineStr">
        <is>
          <t>Celtic</t>
        </is>
      </c>
      <c r="B18" s="6" t="n">
        <v>14</v>
      </c>
      <c r="C18" s="6" t="n">
        <v>3</v>
      </c>
      <c r="D18" s="6" t="n">
        <v>6</v>
      </c>
      <c r="E18" s="6" t="n">
        <v>1</v>
      </c>
      <c r="F18" s="6" t="n">
        <v>8</v>
      </c>
      <c r="G18" s="6" t="n">
        <v>2</v>
      </c>
    </row>
    <row r="19">
      <c r="A19" s="8" t="inlineStr">
        <is>
          <t>St Mirren</t>
        </is>
      </c>
      <c r="B19" s="8" t="n">
        <v>8</v>
      </c>
      <c r="C19" s="8" t="n">
        <v>6</v>
      </c>
      <c r="D19" s="8" t="n">
        <v>5</v>
      </c>
      <c r="E19" s="8" t="n">
        <v>5</v>
      </c>
      <c r="F19" s="8" t="n">
        <v>3</v>
      </c>
      <c r="G19" s="8" t="n">
        <v>1</v>
      </c>
    </row>
    <row r="20">
      <c r="A20" s="6" t="inlineStr">
        <is>
          <t>Dundee United</t>
        </is>
      </c>
      <c r="B20" s="6" t="n">
        <v>6</v>
      </c>
      <c r="C20" s="6" t="n">
        <v>11</v>
      </c>
      <c r="D20" s="6" t="n">
        <v>2</v>
      </c>
      <c r="E20" s="6" t="n">
        <v>4</v>
      </c>
      <c r="F20" s="6" t="n">
        <v>4</v>
      </c>
      <c r="G20" s="6" t="n">
        <v>7</v>
      </c>
    </row>
    <row r="21">
      <c r="A21" s="8" t="inlineStr">
        <is>
          <t>Dundee</t>
        </is>
      </c>
      <c r="B21" s="8" t="n">
        <v>7</v>
      </c>
      <c r="C21" s="8" t="n">
        <v>6</v>
      </c>
      <c r="D21" s="8" t="n">
        <v>4</v>
      </c>
      <c r="E21" s="8" t="n">
        <v>3</v>
      </c>
      <c r="F21" s="8" t="n">
        <v>3</v>
      </c>
      <c r="G21" s="8" t="n">
        <v>3</v>
      </c>
    </row>
    <row r="22">
      <c r="A22" s="6" t="inlineStr">
        <is>
          <t>Hibernian</t>
        </is>
      </c>
      <c r="B22" s="6" t="n">
        <v>7</v>
      </c>
      <c r="C22" s="6" t="n">
        <v>9</v>
      </c>
      <c r="D22" s="6" t="n">
        <v>2</v>
      </c>
      <c r="E22" s="6" t="n">
        <v>5</v>
      </c>
      <c r="F22" s="6" t="n">
        <v>5</v>
      </c>
      <c r="G22" s="6" t="n">
        <v>4</v>
      </c>
    </row>
    <row r="23">
      <c r="A23" s="8" t="inlineStr">
        <is>
          <t>Rangers</t>
        </is>
      </c>
      <c r="B23" s="8" t="n">
        <v>7</v>
      </c>
      <c r="C23" s="8" t="n">
        <v>4</v>
      </c>
      <c r="D23" s="8" t="n">
        <v>3</v>
      </c>
      <c r="E23" s="8" t="n">
        <v>2</v>
      </c>
      <c r="F23" s="8" t="n">
        <v>4</v>
      </c>
      <c r="G23" s="8" t="n">
        <v>2</v>
      </c>
    </row>
    <row r="24">
      <c r="A24" s="6" t="inlineStr">
        <is>
          <t>St Johnstone</t>
        </is>
      </c>
      <c r="B24" s="6" t="n">
        <v>8</v>
      </c>
      <c r="C24" s="6" t="n">
        <v>9</v>
      </c>
      <c r="D24" s="6" t="n">
        <v>6</v>
      </c>
      <c r="E24" s="6" t="n">
        <v>5</v>
      </c>
      <c r="F24" s="6" t="n">
        <v>2</v>
      </c>
      <c r="G24" s="6" t="n">
        <v>4</v>
      </c>
    </row>
    <row r="25">
      <c r="A25" s="8" t="inlineStr">
        <is>
          <t>Motherwell</t>
        </is>
      </c>
      <c r="B25" s="8" t="n">
        <v>8</v>
      </c>
      <c r="C25" s="8" t="n">
        <v>5</v>
      </c>
      <c r="D25" s="8" t="n">
        <v>3</v>
      </c>
      <c r="E25" s="8" t="n">
        <v>0</v>
      </c>
      <c r="F25" s="8" t="n">
        <v>5</v>
      </c>
      <c r="G25" s="8" t="n">
        <v>5</v>
      </c>
    </row>
    <row r="26">
      <c r="A26" s="6" t="inlineStr">
        <is>
          <t>Heart of Midlothian</t>
        </is>
      </c>
      <c r="B26" s="6" t="n">
        <v>12</v>
      </c>
      <c r="C26" s="6" t="n">
        <v>5</v>
      </c>
      <c r="D26" s="6" t="n">
        <v>8</v>
      </c>
      <c r="E26" s="6" t="n">
        <v>2</v>
      </c>
      <c r="F26" s="6" t="n">
        <v>4</v>
      </c>
      <c r="G26" s="6" t="n">
        <v>3</v>
      </c>
    </row>
    <row r="27">
      <c r="A27" s="8" t="inlineStr">
        <is>
          <t>Aberdeen</t>
        </is>
      </c>
      <c r="B27" s="8" t="n">
        <v>2</v>
      </c>
      <c r="C27" s="8" t="n">
        <v>7</v>
      </c>
      <c r="D27" s="8" t="n">
        <v>2</v>
      </c>
      <c r="E27" s="8" t="n">
        <v>2</v>
      </c>
      <c r="F27" s="8" t="n">
        <v>0</v>
      </c>
      <c r="G27" s="8" t="n">
        <v>5</v>
      </c>
    </row>
    <row r="28">
      <c r="A28" s="6" t="inlineStr">
        <is>
          <t>Falkirk</t>
        </is>
      </c>
      <c r="B28" s="6" t="n">
        <v>3</v>
      </c>
      <c r="C28" s="6" t="n">
        <v>7</v>
      </c>
      <c r="D28" s="6" t="n">
        <v>1</v>
      </c>
      <c r="E28" s="6" t="n">
        <v>4</v>
      </c>
      <c r="F28" s="6" t="n">
        <v>2</v>
      </c>
      <c r="G28" s="6" t="n">
        <v>3</v>
      </c>
    </row>
    <row r="29">
      <c r="A29" s="8" t="inlineStr">
        <is>
          <t>Kilmarnock</t>
        </is>
      </c>
      <c r="B29" s="8" t="n">
        <v>4</v>
      </c>
      <c r="C29" s="8" t="n">
        <v>14</v>
      </c>
      <c r="D29" s="8" t="n">
        <v>1</v>
      </c>
      <c r="E29" s="8" t="n">
        <v>10</v>
      </c>
      <c r="F29" s="8" t="n">
        <v>3</v>
      </c>
      <c r="G29" s="8" t="n">
        <v>4</v>
      </c>
    </row>
  </sheetData>
  <mergeCells count="2">
    <mergeCell ref="A16:G16"/>
    <mergeCell ref="A1:G1"/>
  </mergeCells>
  <conditionalFormatting sqref="B3:B1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14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14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14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14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14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Celtic</t>
        </is>
      </c>
      <c r="B2" s="14">
        <f>'Celtic'!$E$21</f>
        <v/>
      </c>
      <c r="C2" s="9">
        <f>'Celtic'!$R$2</f>
        <v/>
      </c>
      <c r="D2" s="9">
        <f>'Celtic'!$R$3</f>
        <v/>
      </c>
      <c r="E2" s="9">
        <f>'Celtic'!$R$4</f>
        <v/>
      </c>
      <c r="F2" s="9">
        <f>'Celtic'!$R$5</f>
        <v/>
      </c>
      <c r="G2" s="9">
        <f>'Celtic'!$R$6</f>
        <v/>
      </c>
      <c r="H2" s="9">
        <f>'Celtic'!$R$7</f>
        <v/>
      </c>
    </row>
    <row r="3">
      <c r="A3" s="6" t="inlineStr">
        <is>
          <t>St Mirren</t>
        </is>
      </c>
      <c r="B3" s="14">
        <f>'St Mirren'!$E$21</f>
        <v/>
      </c>
      <c r="C3" s="9">
        <f>'St Mirren'!$R$2</f>
        <v/>
      </c>
      <c r="D3" s="9">
        <f>'St Mirren'!$R$3</f>
        <v/>
      </c>
      <c r="E3" s="9">
        <f>'St Mirren'!$R$4</f>
        <v/>
      </c>
      <c r="F3" s="9">
        <f>'St Mirren'!$R$5</f>
        <v/>
      </c>
      <c r="G3" s="9">
        <f>'St Mirren'!$R$6</f>
        <v/>
      </c>
      <c r="H3" s="9">
        <f>'St Mirren'!$R$7</f>
        <v/>
      </c>
    </row>
    <row r="4">
      <c r="A4" s="6" t="inlineStr">
        <is>
          <t>Hibernian</t>
        </is>
      </c>
      <c r="B4" s="14">
        <f>'Hibernian'!$E$20</f>
        <v/>
      </c>
      <c r="C4" s="9">
        <f>'Hibernian'!$R$2</f>
        <v/>
      </c>
      <c r="D4" s="9">
        <f>'Hibernian'!$R$3</f>
        <v/>
      </c>
      <c r="E4" s="9">
        <f>'Hibernian'!$R$4</f>
        <v/>
      </c>
      <c r="F4" s="9">
        <f>'Hibernian'!$R$5</f>
        <v/>
      </c>
      <c r="G4" s="9">
        <f>'Hibernian'!$R$6</f>
        <v/>
      </c>
      <c r="H4" s="6" t="n"/>
    </row>
    <row r="5">
      <c r="A5" s="6" t="inlineStr">
        <is>
          <t>Motherwell</t>
        </is>
      </c>
      <c r="B5" s="14">
        <f>'Motherwell'!$E$20</f>
        <v/>
      </c>
      <c r="C5" s="9">
        <f>'Motherwell'!$R$2</f>
        <v/>
      </c>
      <c r="D5" s="9">
        <f>'Motherwell'!$R$3</f>
        <v/>
      </c>
      <c r="E5" s="9">
        <f>'Motherwell'!$R$4</f>
        <v/>
      </c>
      <c r="F5" s="9">
        <f>'Motherwell'!$R$5</f>
        <v/>
      </c>
      <c r="G5" s="9">
        <f>'Motherwell'!$R$6</f>
        <v/>
      </c>
      <c r="H5" s="6" t="n"/>
    </row>
    <row r="6">
      <c r="A6" s="6" t="inlineStr">
        <is>
          <t>Dundee United</t>
        </is>
      </c>
      <c r="B6" s="14">
        <f>'Dundee United'!$E$21</f>
        <v/>
      </c>
      <c r="C6" s="9">
        <f>'Dundee United'!$R$2</f>
        <v/>
      </c>
      <c r="D6" s="9">
        <f>'Dundee United'!$R$3</f>
        <v/>
      </c>
      <c r="E6" s="9">
        <f>'Dundee United'!$R$4</f>
        <v/>
      </c>
      <c r="F6" s="9">
        <f>'Dundee United'!$R$5</f>
        <v/>
      </c>
      <c r="G6" s="9">
        <f>'Dundee United'!$R$6</f>
        <v/>
      </c>
      <c r="H6" s="9">
        <f>'Dundee United'!$R$7</f>
        <v/>
      </c>
    </row>
    <row r="7">
      <c r="A7" s="6" t="inlineStr">
        <is>
          <t>Rangers</t>
        </is>
      </c>
      <c r="B7" s="14">
        <f>'Rangers'!$E$21</f>
        <v/>
      </c>
      <c r="C7" s="9">
        <f>'Rangers'!$R$2</f>
        <v/>
      </c>
      <c r="D7" s="9">
        <f>'Rangers'!$R$3</f>
        <v/>
      </c>
      <c r="E7" s="9">
        <f>'Rangers'!$R$4</f>
        <v/>
      </c>
      <c r="F7" s="9">
        <f>'Rangers'!$R$5</f>
        <v/>
      </c>
      <c r="G7" s="9">
        <f>'Rangers'!$R$6</f>
        <v/>
      </c>
      <c r="H7" s="9">
        <f>'Rangers'!$R$7</f>
        <v/>
      </c>
    </row>
    <row r="8">
      <c r="A8" s="6" t="inlineStr">
        <is>
          <t>St Johnstone</t>
        </is>
      </c>
      <c r="B8" s="14">
        <f>'St Johnstone'!$E$21</f>
        <v/>
      </c>
      <c r="C8" s="9">
        <f>'St Johnstone'!$R$2</f>
        <v/>
      </c>
      <c r="D8" s="9">
        <f>'St Johnstone'!$R$3</f>
        <v/>
      </c>
      <c r="E8" s="9">
        <f>'St Johnstone'!$R$4</f>
        <v/>
      </c>
      <c r="F8" s="9">
        <f>'St Johnstone'!$R$5</f>
        <v/>
      </c>
      <c r="G8" s="9">
        <f>'St Johnstone'!$R$6</f>
        <v/>
      </c>
      <c r="H8" s="9">
        <f>'St Johnstone'!$R$7</f>
        <v/>
      </c>
    </row>
    <row r="9">
      <c r="A9" s="6" t="inlineStr">
        <is>
          <t>Dundee</t>
        </is>
      </c>
      <c r="B9" s="14">
        <f>'Dundee'!$E$21</f>
        <v/>
      </c>
      <c r="C9" s="9">
        <f>'Dundee'!$R$2</f>
        <v/>
      </c>
      <c r="D9" s="9">
        <f>'Dundee'!$R$3</f>
        <v/>
      </c>
      <c r="E9" s="9">
        <f>'Dundee'!$R$4</f>
        <v/>
      </c>
      <c r="F9" s="9">
        <f>'Dundee'!$R$5</f>
        <v/>
      </c>
      <c r="G9" s="9">
        <f>'Dundee'!$R$6</f>
        <v/>
      </c>
      <c r="H9" s="9">
        <f>'Dundee'!$R$7</f>
        <v/>
      </c>
    </row>
    <row r="10">
      <c r="A10" s="6" t="inlineStr">
        <is>
          <t>Heart of Midlothian</t>
        </is>
      </c>
      <c r="B10" s="14">
        <f>'Heart of Midlothian'!$E$20</f>
        <v/>
      </c>
      <c r="C10" s="9">
        <f>'Heart of Midlothian'!$R$2</f>
        <v/>
      </c>
      <c r="D10" s="9">
        <f>'Heart of Midlothian'!$R$3</f>
        <v/>
      </c>
      <c r="E10" s="9">
        <f>'Heart of Midlothian'!$R$4</f>
        <v/>
      </c>
      <c r="F10" s="9">
        <f>'Heart of Midlothian'!$R$5</f>
        <v/>
      </c>
      <c r="G10" s="9">
        <f>'Heart of Midlothian'!$R$6</f>
        <v/>
      </c>
      <c r="H10" s="6" t="n"/>
    </row>
    <row r="11">
      <c r="A11" s="6" t="inlineStr">
        <is>
          <t>Aberdeen</t>
        </is>
      </c>
      <c r="B11" s="14">
        <f>'Aberdeen'!$E$20</f>
        <v/>
      </c>
      <c r="C11" s="9">
        <f>'Aberdeen'!$R$2</f>
        <v/>
      </c>
      <c r="D11" s="9">
        <f>'Aberdeen'!$R$3</f>
        <v/>
      </c>
      <c r="E11" s="9">
        <f>'Aberdeen'!$R$4</f>
        <v/>
      </c>
      <c r="F11" s="9">
        <f>'Aberdeen'!$R$5</f>
        <v/>
      </c>
      <c r="G11" s="9">
        <f>'Aberdeen'!$R$6</f>
        <v/>
      </c>
      <c r="H11" s="6" t="n"/>
    </row>
    <row r="12">
      <c r="A12" s="6" t="inlineStr">
        <is>
          <t>Kilmarnock</t>
        </is>
      </c>
      <c r="B12" s="14">
        <f>'Kilmarnock'!$E$20</f>
        <v/>
      </c>
      <c r="C12" s="9">
        <f>'Kilmarnock'!$R$2</f>
        <v/>
      </c>
      <c r="D12" s="9">
        <f>'Kilmarnock'!$R$3</f>
        <v/>
      </c>
      <c r="E12" s="9">
        <f>'Kilmarnock'!$R$4</f>
        <v/>
      </c>
      <c r="F12" s="9">
        <f>'Kilmarnock'!$R$5</f>
        <v/>
      </c>
      <c r="G12" s="9">
        <f>'Kilmarnock'!$R$6</f>
        <v/>
      </c>
      <c r="H12" s="6" t="n"/>
    </row>
    <row r="13">
      <c r="A13" s="6" t="inlineStr">
        <is>
          <t>Falkirk</t>
        </is>
      </c>
      <c r="B13" s="14">
        <f>'Falkirk'!$E$20</f>
        <v/>
      </c>
      <c r="C13" s="9">
        <f>'Falkirk'!$R$2</f>
        <v/>
      </c>
      <c r="D13" s="9">
        <f>'Falkirk'!$R$3</f>
        <v/>
      </c>
      <c r="E13" s="9">
        <f>'Falkirk'!$R$4</f>
        <v/>
      </c>
      <c r="F13" s="9">
        <f>'Falkirk'!$R$5</f>
        <v/>
      </c>
      <c r="G13" s="9">
        <f>'Falkirk'!$R$6</f>
        <v/>
      </c>
      <c r="H13" s="6" t="n"/>
    </row>
  </sheetData>
  <conditionalFormatting sqref="B2:H1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  <c r="E1" s="4" t="inlineStr">
        <is>
          <t>H3</t>
        </is>
      </c>
    </row>
    <row r="2">
      <c r="A2" s="6" t="inlineStr">
        <is>
          <t>Celtic</t>
        </is>
      </c>
      <c r="B2" s="14" t="n">
        <v>0.24</v>
      </c>
      <c r="C2" s="9" t="n">
        <v>-0.26</v>
      </c>
      <c r="D2" s="9" t="n">
        <v>0.93</v>
      </c>
      <c r="E2" s="9" t="n">
        <v>0.05</v>
      </c>
    </row>
    <row r="3">
      <c r="A3" s="6" t="inlineStr">
        <is>
          <t>St Mirren</t>
        </is>
      </c>
      <c r="B3" s="14" t="n">
        <v>0.18</v>
      </c>
      <c r="C3" s="9" t="n">
        <v>0.16</v>
      </c>
      <c r="D3" s="9" t="n">
        <v>0.39</v>
      </c>
      <c r="E3" s="9" t="n">
        <v>-0.02</v>
      </c>
    </row>
    <row r="4">
      <c r="A4" s="6" t="inlineStr">
        <is>
          <t>Hibernian</t>
        </is>
      </c>
      <c r="B4" s="14" t="n">
        <v>0.02</v>
      </c>
      <c r="C4" s="9" t="n">
        <v>-0.52</v>
      </c>
      <c r="D4" s="9" t="n">
        <v>0.55</v>
      </c>
      <c r="E4" s="6" t="n"/>
    </row>
    <row r="5">
      <c r="A5" s="6" t="inlineStr">
        <is>
          <t>Motherwell</t>
        </is>
      </c>
      <c r="B5" s="14" t="n">
        <v>0.86</v>
      </c>
      <c r="C5" s="9" t="n">
        <v>0.05</v>
      </c>
      <c r="D5" s="9" t="n">
        <v>1.68</v>
      </c>
      <c r="E5" s="6" t="n"/>
    </row>
    <row r="6">
      <c r="A6" s="6" t="inlineStr">
        <is>
          <t>Dundee United</t>
        </is>
      </c>
      <c r="B6" s="14" t="n">
        <v>0.55</v>
      </c>
      <c r="C6" s="9" t="n">
        <v>1.34</v>
      </c>
      <c r="D6" s="9" t="n">
        <v>-0.55</v>
      </c>
      <c r="E6" s="9" t="n">
        <v>0.85</v>
      </c>
    </row>
    <row r="7">
      <c r="A7" s="6" t="inlineStr">
        <is>
          <t>Rangers</t>
        </is>
      </c>
      <c r="B7" s="14" t="n">
        <v>0.44</v>
      </c>
      <c r="C7" s="9" t="n">
        <v>-0.59</v>
      </c>
      <c r="D7" s="9" t="n">
        <v>2.31</v>
      </c>
      <c r="E7" s="9" t="n">
        <v>-0.39</v>
      </c>
    </row>
    <row r="8">
      <c r="A8" s="6" t="inlineStr">
        <is>
          <t>St Johnstone</t>
        </is>
      </c>
      <c r="B8" s="14" t="n">
        <v>0.5600000000000001</v>
      </c>
      <c r="C8" s="9" t="n">
        <v>0.8</v>
      </c>
      <c r="D8" s="9" t="n">
        <v>0.8</v>
      </c>
      <c r="E8" s="9" t="n">
        <v>0.07000000000000001</v>
      </c>
    </row>
    <row r="9">
      <c r="A9" s="6" t="inlineStr">
        <is>
          <t>Dundee</t>
        </is>
      </c>
      <c r="B9" s="14" t="n">
        <v>0.37</v>
      </c>
      <c r="C9" s="9" t="n">
        <v>1.18</v>
      </c>
      <c r="D9" s="9" t="n">
        <v>-1.03</v>
      </c>
      <c r="E9" s="9" t="n">
        <v>0.97</v>
      </c>
    </row>
    <row r="10">
      <c r="A10" s="6" t="inlineStr">
        <is>
          <t>Heart of Midlothian</t>
        </is>
      </c>
      <c r="B10" s="14" t="n">
        <v>0.36</v>
      </c>
      <c r="C10" s="9" t="n">
        <v>0.62</v>
      </c>
      <c r="D10" s="9" t="n">
        <v>0.13</v>
      </c>
      <c r="E10" s="9" t="n">
        <v>0.34</v>
      </c>
    </row>
    <row r="11">
      <c r="A11" s="6" t="inlineStr">
        <is>
          <t>Aberdeen</t>
        </is>
      </c>
      <c r="B11" s="14" t="n">
        <v>-0.23</v>
      </c>
      <c r="C11" s="9" t="n">
        <v>1.15</v>
      </c>
      <c r="D11" s="9" t="n">
        <v>-1.01</v>
      </c>
      <c r="E11" s="9" t="n">
        <v>-0.83</v>
      </c>
    </row>
    <row r="12">
      <c r="A12" s="6" t="inlineStr">
        <is>
          <t>Kilmarnock</t>
        </is>
      </c>
      <c r="B12" s="14" t="n">
        <v>-1.92</v>
      </c>
      <c r="C12" s="9" t="n">
        <v>-3.04</v>
      </c>
      <c r="D12" s="9" t="n">
        <v>-2.4</v>
      </c>
      <c r="E12" s="9" t="n">
        <v>-0.33</v>
      </c>
    </row>
    <row r="13">
      <c r="A13" s="6" t="inlineStr">
        <is>
          <t>Falkirk</t>
        </is>
      </c>
      <c r="B13" s="14" t="n">
        <v>-0.53</v>
      </c>
      <c r="C13" s="9" t="n">
        <v>-1.49</v>
      </c>
      <c r="D13" s="9" t="n">
        <v>0.44</v>
      </c>
      <c r="E13" s="6" t="n"/>
    </row>
  </sheetData>
  <conditionalFormatting sqref="B2:E1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  <c r="E1" s="4" t="inlineStr">
        <is>
          <t>A3</t>
        </is>
      </c>
    </row>
    <row r="2">
      <c r="A2" s="6" t="inlineStr">
        <is>
          <t>Celtic</t>
        </is>
      </c>
      <c r="B2" s="14" t="n">
        <v>1</v>
      </c>
      <c r="C2" s="9" t="n">
        <v>3.04</v>
      </c>
      <c r="D2" s="9" t="n">
        <v>0.02</v>
      </c>
      <c r="E2" s="9" t="n">
        <v>-0.07000000000000001</v>
      </c>
    </row>
    <row r="3">
      <c r="A3" s="6" t="inlineStr">
        <is>
          <t>St Mirren</t>
        </is>
      </c>
      <c r="B3" s="14" t="n">
        <v>0.74</v>
      </c>
      <c r="C3" s="9" t="n">
        <v>1.49</v>
      </c>
      <c r="D3" s="9" t="n">
        <v>0.33</v>
      </c>
      <c r="E3" s="9" t="n">
        <v>0.39</v>
      </c>
    </row>
    <row r="4">
      <c r="A4" s="6" t="inlineStr">
        <is>
          <t>Hibernian</t>
        </is>
      </c>
      <c r="B4" s="14" t="n">
        <v>0.27</v>
      </c>
      <c r="C4" s="9" t="n">
        <v>0.59</v>
      </c>
      <c r="D4" s="9" t="n">
        <v>1.03</v>
      </c>
      <c r="E4" s="9" t="n">
        <v>-0.8</v>
      </c>
    </row>
    <row r="5">
      <c r="A5" s="6" t="inlineStr">
        <is>
          <t>Motherwell</t>
        </is>
      </c>
      <c r="B5" s="14" t="n">
        <v>-0.73</v>
      </c>
      <c r="C5" s="9" t="n">
        <v>0.52</v>
      </c>
      <c r="D5" s="9" t="n">
        <v>-0.39</v>
      </c>
      <c r="E5" s="9" t="n">
        <v>-2.31</v>
      </c>
    </row>
    <row r="6">
      <c r="A6" s="6" t="inlineStr">
        <is>
          <t>Dundee United</t>
        </is>
      </c>
      <c r="B6" s="14" t="n">
        <v>0.03</v>
      </c>
      <c r="C6" s="9" t="n">
        <v>-0.62</v>
      </c>
      <c r="D6" s="9" t="n">
        <v>2.4</v>
      </c>
      <c r="E6" s="9" t="n">
        <v>-1.68</v>
      </c>
    </row>
    <row r="7">
      <c r="A7" s="6" t="inlineStr">
        <is>
          <t>Rangers</t>
        </is>
      </c>
      <c r="B7" s="14" t="n">
        <v>-0.26</v>
      </c>
      <c r="C7" s="9" t="n">
        <v>-1.34</v>
      </c>
      <c r="D7" s="9" t="n">
        <v>1.01</v>
      </c>
      <c r="E7" s="9" t="n">
        <v>-0.44</v>
      </c>
    </row>
    <row r="8">
      <c r="A8" s="6" t="inlineStr">
        <is>
          <t>St Johnstone</t>
        </is>
      </c>
      <c r="B8" s="14" t="n">
        <v>-0.42</v>
      </c>
      <c r="C8" s="9" t="n">
        <v>-0.16</v>
      </c>
      <c r="D8" s="9" t="n">
        <v>-0.13</v>
      </c>
      <c r="E8" s="9" t="n">
        <v>-0.97</v>
      </c>
    </row>
    <row r="9">
      <c r="A9" s="6" t="inlineStr">
        <is>
          <t>Dundee</t>
        </is>
      </c>
      <c r="B9" s="14" t="n">
        <v>0.16</v>
      </c>
      <c r="C9" s="9" t="n">
        <v>0.26</v>
      </c>
      <c r="D9" s="9" t="n">
        <v>0.55</v>
      </c>
      <c r="E9" s="9" t="n">
        <v>-0.34</v>
      </c>
    </row>
    <row r="10">
      <c r="A10" s="6" t="inlineStr">
        <is>
          <t>Heart of Midlothian</t>
        </is>
      </c>
      <c r="B10" s="14" t="n">
        <v>-0.85</v>
      </c>
      <c r="C10" s="9" t="n">
        <v>-1.15</v>
      </c>
      <c r="D10" s="9" t="n">
        <v>-0.55</v>
      </c>
      <c r="E10" s="6" t="n"/>
    </row>
    <row r="11">
      <c r="A11" s="6" t="inlineStr">
        <is>
          <t>Aberdeen</t>
        </is>
      </c>
      <c r="B11" s="14" t="n">
        <v>-0.61</v>
      </c>
      <c r="C11" s="9" t="n">
        <v>-1.18</v>
      </c>
      <c r="D11" s="9" t="n">
        <v>-0.05</v>
      </c>
      <c r="E11" s="6" t="n"/>
    </row>
    <row r="12">
      <c r="A12" s="6" t="inlineStr">
        <is>
          <t>Kilmarnock</t>
        </is>
      </c>
      <c r="B12" s="14" t="n">
        <v>0.01</v>
      </c>
      <c r="C12" s="9" t="n">
        <v>-0.8</v>
      </c>
      <c r="D12" s="9" t="n">
        <v>0.83</v>
      </c>
      <c r="E12" s="6" t="n"/>
    </row>
    <row r="13">
      <c r="A13" s="6" t="inlineStr">
        <is>
          <t>Falkirk</t>
        </is>
      </c>
      <c r="B13" s="14" t="n">
        <v>-0.61</v>
      </c>
      <c r="C13" s="9" t="n">
        <v>-0.05</v>
      </c>
      <c r="D13" s="9" t="n">
        <v>-0.93</v>
      </c>
      <c r="E13" s="9" t="n">
        <v>-0.85</v>
      </c>
    </row>
  </sheetData>
  <conditionalFormatting sqref="B2:E1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Motherwell</t>
        </is>
      </c>
      <c r="B2" s="14">
        <f>'Motherwell'!$E$22</f>
        <v/>
      </c>
      <c r="C2" s="9">
        <f>'Motherwell'!$S$2</f>
        <v/>
      </c>
      <c r="D2" s="9">
        <f>'Motherwell'!$S$3</f>
        <v/>
      </c>
      <c r="E2" s="9">
        <f>'Motherwell'!$S$4</f>
        <v/>
      </c>
      <c r="F2" s="9">
        <f>'Motherwell'!$S$5</f>
        <v/>
      </c>
      <c r="G2" s="9">
        <f>'Motherwell'!$S$6</f>
        <v/>
      </c>
      <c r="H2" s="6" t="n"/>
    </row>
    <row r="3">
      <c r="A3" s="6" t="inlineStr">
        <is>
          <t>Hibernian</t>
        </is>
      </c>
      <c r="B3" s="14">
        <f>'Hibernian'!$E$22</f>
        <v/>
      </c>
      <c r="C3" s="9">
        <f>'Hibernian'!$S$2</f>
        <v/>
      </c>
      <c r="D3" s="9">
        <f>'Hibernian'!$S$3</f>
        <v/>
      </c>
      <c r="E3" s="9">
        <f>'Hibernian'!$S$4</f>
        <v/>
      </c>
      <c r="F3" s="9">
        <f>'Hibernian'!$S$5</f>
        <v/>
      </c>
      <c r="G3" s="9">
        <f>'Hibernian'!$S$6</f>
        <v/>
      </c>
      <c r="H3" s="6" t="n"/>
    </row>
    <row r="4">
      <c r="A4" s="6" t="inlineStr">
        <is>
          <t>Celtic</t>
        </is>
      </c>
      <c r="B4" s="14">
        <f>'Celtic'!$E$23</f>
        <v/>
      </c>
      <c r="C4" s="9">
        <f>'Celtic'!$S$2</f>
        <v/>
      </c>
      <c r="D4" s="9">
        <f>'Celtic'!$S$3</f>
        <v/>
      </c>
      <c r="E4" s="9">
        <f>'Celtic'!$S$4</f>
        <v/>
      </c>
      <c r="F4" s="9">
        <f>'Celtic'!$S$5</f>
        <v/>
      </c>
      <c r="G4" s="9">
        <f>'Celtic'!$S$6</f>
        <v/>
      </c>
      <c r="H4" s="9">
        <f>'Celtic'!$S$7</f>
        <v/>
      </c>
    </row>
    <row r="5">
      <c r="A5" s="6" t="inlineStr">
        <is>
          <t>Kilmarnock</t>
        </is>
      </c>
      <c r="B5" s="14">
        <f>'Kilmarnock'!$E$22</f>
        <v/>
      </c>
      <c r="C5" s="9">
        <f>'Kilmarnock'!$S$2</f>
        <v/>
      </c>
      <c r="D5" s="9">
        <f>'Kilmarnock'!$S$3</f>
        <v/>
      </c>
      <c r="E5" s="9">
        <f>'Kilmarnock'!$S$4</f>
        <v/>
      </c>
      <c r="F5" s="9">
        <f>'Kilmarnock'!$S$5</f>
        <v/>
      </c>
      <c r="G5" s="9">
        <f>'Kilmarnock'!$S$6</f>
        <v/>
      </c>
      <c r="H5" s="6" t="n"/>
    </row>
    <row r="6">
      <c r="A6" s="6" t="inlineStr">
        <is>
          <t>St Mirren</t>
        </is>
      </c>
      <c r="B6" s="14">
        <f>'St Mirren'!$E$23</f>
        <v/>
      </c>
      <c r="C6" s="9">
        <f>'St Mirren'!$S$2</f>
        <v/>
      </c>
      <c r="D6" s="9">
        <f>'St Mirren'!$S$3</f>
        <v/>
      </c>
      <c r="E6" s="9">
        <f>'St Mirren'!$S$4</f>
        <v/>
      </c>
      <c r="F6" s="9">
        <f>'St Mirren'!$S$5</f>
        <v/>
      </c>
      <c r="G6" s="9">
        <f>'St Mirren'!$S$6</f>
        <v/>
      </c>
      <c r="H6" s="9">
        <f>'St Mirren'!$S$7</f>
        <v/>
      </c>
    </row>
    <row r="7">
      <c r="A7" s="6" t="inlineStr">
        <is>
          <t>Dundee United</t>
        </is>
      </c>
      <c r="B7" s="14">
        <f>'Dundee United'!$E$23</f>
        <v/>
      </c>
      <c r="C7" s="9">
        <f>'Dundee United'!$S$2</f>
        <v/>
      </c>
      <c r="D7" s="9">
        <f>'Dundee United'!$S$3</f>
        <v/>
      </c>
      <c r="E7" s="9">
        <f>'Dundee United'!$S$4</f>
        <v/>
      </c>
      <c r="F7" s="9">
        <f>'Dundee United'!$S$5</f>
        <v/>
      </c>
      <c r="G7" s="9">
        <f>'Dundee United'!$S$6</f>
        <v/>
      </c>
      <c r="H7" s="9">
        <f>'Dundee United'!$S$7</f>
        <v/>
      </c>
    </row>
    <row r="8">
      <c r="A8" s="6" t="inlineStr">
        <is>
          <t>Rangers</t>
        </is>
      </c>
      <c r="B8" s="14">
        <f>'Rangers'!$E$23</f>
        <v/>
      </c>
      <c r="C8" s="9">
        <f>'Rangers'!$S$2</f>
        <v/>
      </c>
      <c r="D8" s="9">
        <f>'Rangers'!$S$3</f>
        <v/>
      </c>
      <c r="E8" s="9">
        <f>'Rangers'!$S$4</f>
        <v/>
      </c>
      <c r="F8" s="9">
        <f>'Rangers'!$S$5</f>
        <v/>
      </c>
      <c r="G8" s="9">
        <f>'Rangers'!$S$6</f>
        <v/>
      </c>
      <c r="H8" s="9">
        <f>'Rangers'!$S$7</f>
        <v/>
      </c>
    </row>
    <row r="9">
      <c r="A9" s="6" t="inlineStr">
        <is>
          <t>St Johnstone</t>
        </is>
      </c>
      <c r="B9" s="14">
        <f>'St Johnstone'!$E$23</f>
        <v/>
      </c>
      <c r="C9" s="9">
        <f>'St Johnstone'!$S$2</f>
        <v/>
      </c>
      <c r="D9" s="9">
        <f>'St Johnstone'!$S$3</f>
        <v/>
      </c>
      <c r="E9" s="9">
        <f>'St Johnstone'!$S$4</f>
        <v/>
      </c>
      <c r="F9" s="9">
        <f>'St Johnstone'!$S$5</f>
        <v/>
      </c>
      <c r="G9" s="9">
        <f>'St Johnstone'!$S$6</f>
        <v/>
      </c>
      <c r="H9" s="9">
        <f>'St Johnstone'!$S$7</f>
        <v/>
      </c>
    </row>
    <row r="10">
      <c r="A10" s="6" t="inlineStr">
        <is>
          <t>Heart of Midlothian</t>
        </is>
      </c>
      <c r="B10" s="14">
        <f>'Heart of Midlothian'!$E$22</f>
        <v/>
      </c>
      <c r="C10" s="9">
        <f>'Heart of Midlothian'!$S$2</f>
        <v/>
      </c>
      <c r="D10" s="9">
        <f>'Heart of Midlothian'!$S$3</f>
        <v/>
      </c>
      <c r="E10" s="9">
        <f>'Heart of Midlothian'!$S$4</f>
        <v/>
      </c>
      <c r="F10" s="9">
        <f>'Heart of Midlothian'!$S$5</f>
        <v/>
      </c>
      <c r="G10" s="9">
        <f>'Heart of Midlothian'!$S$6</f>
        <v/>
      </c>
      <c r="H10" s="6" t="n"/>
    </row>
    <row r="11">
      <c r="A11" s="6" t="inlineStr">
        <is>
          <t>Aberdeen</t>
        </is>
      </c>
      <c r="B11" s="14">
        <f>'Aberdeen'!$E$22</f>
        <v/>
      </c>
      <c r="C11" s="9">
        <f>'Aberdeen'!$S$2</f>
        <v/>
      </c>
      <c r="D11" s="9">
        <f>'Aberdeen'!$S$3</f>
        <v/>
      </c>
      <c r="E11" s="9">
        <f>'Aberdeen'!$S$4</f>
        <v/>
      </c>
      <c r="F11" s="9">
        <f>'Aberdeen'!$S$5</f>
        <v/>
      </c>
      <c r="G11" s="9">
        <f>'Aberdeen'!$S$6</f>
        <v/>
      </c>
      <c r="H11" s="6" t="n"/>
    </row>
    <row r="12">
      <c r="A12" s="6" t="inlineStr">
        <is>
          <t>Dundee</t>
        </is>
      </c>
      <c r="B12" s="14">
        <f>'Dundee'!$E$23</f>
        <v/>
      </c>
      <c r="C12" s="9">
        <f>'Dundee'!$S$2</f>
        <v/>
      </c>
      <c r="D12" s="9">
        <f>'Dundee'!$S$3</f>
        <v/>
      </c>
      <c r="E12" s="9">
        <f>'Dundee'!$S$4</f>
        <v/>
      </c>
      <c r="F12" s="9">
        <f>'Dundee'!$S$5</f>
        <v/>
      </c>
      <c r="G12" s="9">
        <f>'Dundee'!$S$6</f>
        <v/>
      </c>
      <c r="H12" s="9">
        <f>'Dundee'!$S$7</f>
        <v/>
      </c>
    </row>
    <row r="13">
      <c r="A13" s="6" t="inlineStr">
        <is>
          <t>Falkirk</t>
        </is>
      </c>
      <c r="B13" s="14">
        <f>'Falkirk'!$E$22</f>
        <v/>
      </c>
      <c r="C13" s="9">
        <f>'Falkirk'!$S$2</f>
        <v/>
      </c>
      <c r="D13" s="9">
        <f>'Falkirk'!$S$3</f>
        <v/>
      </c>
      <c r="E13" s="9">
        <f>'Falkirk'!$S$4</f>
        <v/>
      </c>
      <c r="F13" s="9">
        <f>'Falkirk'!$S$5</f>
        <v/>
      </c>
      <c r="G13" s="9">
        <f>'Falkirk'!$S$6</f>
        <v/>
      </c>
      <c r="H13" s="6" t="n"/>
    </row>
  </sheetData>
  <conditionalFormatting sqref="B2:H1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0" customWidth="1" min="3" max="3"/>
    <col width="6" customWidth="1" min="4" max="4"/>
    <col width="6" customWidth="1" min="5" max="5"/>
    <col width="6" customWidth="1" min="6" max="6"/>
    <col width="6" customWidth="1" min="7" max="7"/>
    <col width="4" customWidth="1" min="8" max="8"/>
  </cols>
  <sheetData>
    <row r="1" ht="30" customHeight="1">
      <c r="A1" s="4" t="inlineStr">
        <is>
          <t>Date</t>
        </is>
      </c>
      <c r="B1" s="4" t="inlineStr">
        <is>
          <t>Home Team</t>
        </is>
      </c>
      <c r="C1" s="4" t="inlineStr">
        <is>
          <t>Away Team</t>
        </is>
      </c>
      <c r="D1" s="4" t="inlineStr">
        <is>
          <t>Market Pre-Match Supremacy (Home)</t>
        </is>
      </c>
      <c r="E1" s="4" t="inlineStr">
        <is>
          <t>Home Team Season Avg Supremacy</t>
        </is>
      </c>
      <c r="F1" s="4" t="inlineStr">
        <is>
          <t>Away Team Season Avg Supremacy</t>
        </is>
      </c>
      <c r="G1" s="4" t="inlineStr">
        <is>
          <t>Combined Expected Supremacy (Home)</t>
        </is>
      </c>
      <c r="H1" s="4" t="inlineStr">
        <is>
          <t>Notes</t>
        </is>
      </c>
    </row>
    <row r="2">
      <c r="A2" s="6" t="inlineStr">
        <is>
          <t>2026-09-15</t>
        </is>
      </c>
      <c r="B2" s="6" t="inlineStr">
        <is>
          <t>Hibernian</t>
        </is>
      </c>
      <c r="C2" s="6" t="inlineStr">
        <is>
          <t>Kilmarnock</t>
        </is>
      </c>
      <c r="D2" s="9" t="n">
        <v>1.32</v>
      </c>
      <c r="E2" s="9" t="n">
        <v>0.17</v>
      </c>
      <c r="F2" s="9" t="n">
        <v>-1.15</v>
      </c>
      <c r="G2" s="9" t="n">
        <v>2.64</v>
      </c>
      <c r="H2" s="6" t="inlineStr"/>
    </row>
    <row r="3">
      <c r="A3" s="8" t="inlineStr">
        <is>
          <t>2026-09-15</t>
        </is>
      </c>
      <c r="B3" s="8" t="inlineStr">
        <is>
          <t>Motherwell</t>
        </is>
      </c>
      <c r="C3" s="8" t="inlineStr">
        <is>
          <t>Aberdeen</t>
        </is>
      </c>
      <c r="D3" s="10" t="n">
        <v>0.65</v>
      </c>
      <c r="E3" s="10" t="n">
        <v>-0.09</v>
      </c>
      <c r="F3" s="10" t="n">
        <v>-0.38</v>
      </c>
      <c r="G3" s="10" t="n">
        <v>0.9399999999999999</v>
      </c>
      <c r="H3" s="8" t="inlineStr"/>
    </row>
    <row r="4">
      <c r="A4" s="6" t="inlineStr">
        <is>
          <t>2026-09-15</t>
        </is>
      </c>
      <c r="B4" s="6" t="inlineStr">
        <is>
          <t>Falkirk</t>
        </is>
      </c>
      <c r="C4" s="6" t="inlineStr">
        <is>
          <t>Heart of Midlothian</t>
        </is>
      </c>
      <c r="D4" s="9" t="n">
        <v>-0.58</v>
      </c>
      <c r="E4" s="9" t="n">
        <v>-0.58</v>
      </c>
      <c r="F4" s="9" t="n">
        <v>-0.12</v>
      </c>
      <c r="G4" s="9" t="n">
        <v>-1.04</v>
      </c>
      <c r="H4" s="6" t="inlineStr"/>
    </row>
  </sheetData>
  <conditionalFormatting sqref="G2:G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5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2026-08-01</t>
        </is>
      </c>
      <c r="B2" s="6" t="inlineStr">
        <is>
          <t>Heart of Midlothian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1.27</v>
      </c>
      <c r="G2" s="9" t="n">
        <v>1.59</v>
      </c>
      <c r="H2" s="9" t="n">
        <v>2.66</v>
      </c>
      <c r="I2" s="9" t="n">
        <v>1.83</v>
      </c>
      <c r="J2" s="9" t="n">
        <v>1.39</v>
      </c>
      <c r="K2" s="9" t="n">
        <v>0.24</v>
      </c>
      <c r="L2" s="9" t="n">
        <v>1.39</v>
      </c>
      <c r="M2" s="9" t="n">
        <v>0.24</v>
      </c>
      <c r="N2" s="9" t="n">
        <v>1.54</v>
      </c>
      <c r="O2" s="9" t="n">
        <v>0.26</v>
      </c>
      <c r="P2" s="9" t="n">
        <v>1.54</v>
      </c>
      <c r="Q2" s="9" t="n">
        <v>0.26</v>
      </c>
      <c r="R2" s="9">
        <f>(H2-I2)-(F2-G2)</f>
        <v/>
      </c>
      <c r="S2" s="9">
        <f>(H2+I2)-(F2+G2)</f>
        <v/>
      </c>
      <c r="T2" s="9" t="n">
        <v>1.85</v>
      </c>
      <c r="U2" s="9" t="n">
        <v>1.17</v>
      </c>
      <c r="V2" s="9" t="n">
        <v>0.6899999999999999</v>
      </c>
      <c r="W2" s="9" t="n">
        <v>1.85</v>
      </c>
      <c r="X2" s="9" t="n">
        <v>1.17</v>
      </c>
    </row>
    <row r="3">
      <c r="A3" s="8" t="inlineStr">
        <is>
          <t>2026-08-08</t>
        </is>
      </c>
      <c r="B3" s="8" t="inlineStr">
        <is>
          <t>Dundee</t>
        </is>
      </c>
      <c r="C3" s="8" t="inlineStr">
        <is>
          <t>Away</t>
        </is>
      </c>
      <c r="D3" s="8" t="n">
        <v>0</v>
      </c>
      <c r="E3" s="8" t="n">
        <v>2</v>
      </c>
      <c r="F3" s="10" t="n">
        <v>1.41</v>
      </c>
      <c r="G3" s="10" t="n">
        <v>1.34</v>
      </c>
      <c r="H3" s="10" t="n">
        <v>0.71</v>
      </c>
      <c r="I3" s="10" t="n">
        <v>1.83</v>
      </c>
      <c r="J3" s="10" t="n">
        <v>-0.7</v>
      </c>
      <c r="K3" s="10" t="n">
        <v>0.49</v>
      </c>
      <c r="L3" s="10" t="n">
        <v>0.34</v>
      </c>
      <c r="M3" s="10" t="n">
        <v>0.36</v>
      </c>
      <c r="N3" s="10" t="n">
        <v>-0.58</v>
      </c>
      <c r="O3" s="10" t="n">
        <v>0.52</v>
      </c>
      <c r="P3" s="10" t="n">
        <v>0.48</v>
      </c>
      <c r="Q3" s="10" t="n">
        <v>0.39</v>
      </c>
      <c r="R3" s="10">
        <f>(H3-I3)-(F3-G3)</f>
        <v/>
      </c>
      <c r="S3" s="10">
        <f>(H3+I3)-(F3+G3)</f>
        <v/>
      </c>
      <c r="T3" s="10" t="n">
        <v>0.64</v>
      </c>
      <c r="U3" s="10" t="n">
        <v>1.42</v>
      </c>
      <c r="V3" s="10" t="n">
        <v>-0.78</v>
      </c>
      <c r="W3" s="10" t="n">
        <v>2.49</v>
      </c>
      <c r="X3" s="10" t="n">
        <v>2.58</v>
      </c>
    </row>
    <row r="4">
      <c r="A4" s="6" t="inlineStr">
        <is>
          <t>2026-08-30</t>
        </is>
      </c>
      <c r="B4" s="6" t="inlineStr">
        <is>
          <t>Rangers</t>
        </is>
      </c>
      <c r="C4" s="6" t="inlineStr">
        <is>
          <t>Home</t>
        </is>
      </c>
      <c r="D4" s="6" t="n">
        <v>0</v>
      </c>
      <c r="E4" s="6" t="n">
        <v>1</v>
      </c>
      <c r="F4" s="9" t="n">
        <v>1.14</v>
      </c>
      <c r="G4" s="9" t="n">
        <v>1.88</v>
      </c>
      <c r="H4" s="9" t="n">
        <v>0.35</v>
      </c>
      <c r="I4" s="9" t="n">
        <v>2.1</v>
      </c>
      <c r="J4" s="9" t="n">
        <v>-0.79</v>
      </c>
      <c r="K4" s="9" t="n">
        <v>0.23</v>
      </c>
      <c r="L4" s="9" t="n">
        <v>-0.03</v>
      </c>
      <c r="M4" s="9" t="n">
        <v>0.32</v>
      </c>
      <c r="N4" s="9" t="n">
        <v>-1.07</v>
      </c>
      <c r="O4" s="9" t="n">
        <v>0.04</v>
      </c>
      <c r="P4" s="9" t="n">
        <v>-0.03</v>
      </c>
      <c r="Q4" s="9" t="n">
        <v>0.27</v>
      </c>
      <c r="R4" s="9">
        <f>(H4-I4)-(F4-G4)</f>
        <v/>
      </c>
      <c r="S4" s="9">
        <f>(H4+I4)-(F4+G4)</f>
        <v/>
      </c>
      <c r="T4" s="9" t="n">
        <v>0.31</v>
      </c>
      <c r="U4" s="9" t="n">
        <v>0.91</v>
      </c>
      <c r="V4" s="9" t="n">
        <v>-0.6</v>
      </c>
      <c r="W4" s="9" t="n">
        <v>2.8</v>
      </c>
      <c r="X4" s="9" t="n">
        <v>3.49</v>
      </c>
    </row>
    <row r="5">
      <c r="A5" s="8" t="inlineStr">
        <is>
          <t>2026-09-02</t>
        </is>
      </c>
      <c r="B5" s="8" t="inlineStr">
        <is>
          <t>Celtic</t>
        </is>
      </c>
      <c r="C5" s="8" t="inlineStr">
        <is>
          <t>Away</t>
        </is>
      </c>
      <c r="D5" s="8" t="n">
        <v>0</v>
      </c>
      <c r="E5" s="8" t="n">
        <v>3</v>
      </c>
      <c r="F5" s="10" t="n">
        <v>0.8</v>
      </c>
      <c r="G5" s="10" t="n">
        <v>2.74</v>
      </c>
      <c r="H5" s="10" t="n">
        <v>0.68</v>
      </c>
      <c r="I5" s="10" t="n">
        <v>2.67</v>
      </c>
      <c r="J5" s="10" t="n">
        <v>-0.12</v>
      </c>
      <c r="K5" s="10" t="n">
        <v>-0.07000000000000001</v>
      </c>
      <c r="L5" s="10" t="n">
        <v>-0.05</v>
      </c>
      <c r="M5" s="10" t="n">
        <v>0.22</v>
      </c>
      <c r="N5" s="10" t="n">
        <v>-0.11</v>
      </c>
      <c r="O5" s="10" t="n">
        <v>-0.8</v>
      </c>
      <c r="P5" s="10" t="n">
        <v>-0.05</v>
      </c>
      <c r="Q5" s="10" t="n">
        <v>0.01</v>
      </c>
      <c r="R5" s="10">
        <f>(H5-I5)-(F5-G5)</f>
        <v/>
      </c>
      <c r="S5" s="10">
        <f>(H5+I5)-(F5+G5)</f>
        <v/>
      </c>
      <c r="T5" s="10" t="n">
        <v>0.35</v>
      </c>
      <c r="U5" s="10" t="n">
        <v>0.39</v>
      </c>
      <c r="V5" s="10" t="n">
        <v>-0.04</v>
      </c>
      <c r="W5" s="10" t="n">
        <v>3.15</v>
      </c>
      <c r="X5" s="10" t="n">
        <v>3.88</v>
      </c>
    </row>
    <row r="6">
      <c r="A6" s="6" t="inlineStr">
        <is>
          <t>2026-09-05</t>
        </is>
      </c>
      <c r="B6" s="6" t="inlineStr">
        <is>
          <t>Kilmarnock</t>
        </is>
      </c>
      <c r="C6" s="6" t="inlineStr">
        <is>
          <t>Home</t>
        </is>
      </c>
      <c r="D6" s="6" t="n">
        <v>0</v>
      </c>
      <c r="E6" s="6" t="n">
        <v>0</v>
      </c>
      <c r="F6" s="9" t="n">
        <v>1.88</v>
      </c>
      <c r="G6" s="9" t="n">
        <v>1.08</v>
      </c>
      <c r="H6" s="9" t="n">
        <v>1.08</v>
      </c>
      <c r="I6" s="9" t="n">
        <v>1.11</v>
      </c>
      <c r="J6" s="9" t="n">
        <v>-0.8</v>
      </c>
      <c r="K6" s="9" t="n">
        <v>0.03</v>
      </c>
      <c r="L6" s="9" t="n">
        <v>-0.2</v>
      </c>
      <c r="M6" s="9" t="n">
        <v>0.18</v>
      </c>
      <c r="N6" s="9" t="n">
        <v>-2.05</v>
      </c>
      <c r="O6" s="9" t="n">
        <v>0.42</v>
      </c>
      <c r="P6" s="9" t="n">
        <v>-0.45</v>
      </c>
      <c r="Q6" s="9" t="n">
        <v>0.09</v>
      </c>
      <c r="R6" s="9">
        <f>(H6-I6)-(F6-G6)</f>
        <v/>
      </c>
      <c r="S6" s="9">
        <f>(H6+I6)-(F6+G6)</f>
        <v/>
      </c>
      <c r="T6" s="9" t="n">
        <v>1.33</v>
      </c>
      <c r="U6" s="9" t="n">
        <v>1.9</v>
      </c>
      <c r="V6" s="9" t="n">
        <v>-0.57</v>
      </c>
      <c r="W6" s="9" t="n">
        <v>4.48</v>
      </c>
      <c r="X6" s="9" t="n">
        <v>5.78</v>
      </c>
    </row>
    <row r="8">
      <c r="A8" s="12" t="inlineStr">
        <is>
          <t>Season summary</t>
        </is>
      </c>
    </row>
    <row r="9">
      <c r="A9" s="15" t="inlineStr">
        <is>
          <t>Matches played</t>
        </is>
      </c>
      <c r="E9" s="16">
        <f>COUNTA(A2:A6)</f>
        <v/>
      </c>
    </row>
    <row r="10">
      <c r="A10" s="15" t="inlineStr">
        <is>
          <t>Total goals for</t>
        </is>
      </c>
      <c r="E10" s="16">
        <f>SUM(D2:D6)</f>
        <v/>
      </c>
    </row>
    <row r="11">
      <c r="A11" s="15" t="inlineStr">
        <is>
          <t>Total goals against</t>
        </is>
      </c>
      <c r="E11" s="16">
        <f>SUM(E2:E6)</f>
        <v/>
      </c>
    </row>
    <row r="12">
      <c r="A12" s="15" t="inlineStr">
        <is>
          <t>Avg xG Delta (For)</t>
        </is>
      </c>
      <c r="E12" s="17">
        <f>AVERAGE(J2:J6)</f>
        <v/>
      </c>
    </row>
    <row r="13">
      <c r="A13" s="15" t="inlineStr">
        <is>
          <t>Median xG Delta (For)</t>
        </is>
      </c>
      <c r="E13" s="17">
        <f>MEDIAN(J2:J6)</f>
        <v/>
      </c>
    </row>
    <row r="14">
      <c r="A14" s="15" t="inlineStr">
        <is>
          <t>Avg xG Delta (Against)</t>
        </is>
      </c>
      <c r="E14" s="17">
        <f>AVERAGE(K2:K6)</f>
        <v/>
      </c>
    </row>
    <row r="15">
      <c r="A15" s="15" t="inlineStr">
        <is>
          <t>Median xG Delta (Against)</t>
        </is>
      </c>
      <c r="E15" s="17">
        <f>MEDIAN(K2:K6)</f>
        <v/>
      </c>
    </row>
    <row r="16">
      <c r="A16" s="15" t="inlineStr">
        <is>
          <t>Avg xG Delta (For, Adj)</t>
        </is>
      </c>
      <c r="E16" s="17">
        <f>AVERAGE(N2:N6)</f>
        <v/>
      </c>
    </row>
    <row r="17">
      <c r="A17" s="15" t="inlineStr">
        <is>
          <t>Median xG Delta (For, Adj)</t>
        </is>
      </c>
      <c r="E17" s="17">
        <f>MEDIAN(N2:N6)</f>
        <v/>
      </c>
    </row>
    <row r="18">
      <c r="A18" s="15" t="inlineStr">
        <is>
          <t>Avg xG Delta (Against, Adj)</t>
        </is>
      </c>
      <c r="E18" s="17">
        <f>AVERAGE(O2:O6)</f>
        <v/>
      </c>
    </row>
    <row r="19">
      <c r="A19" s="15" t="inlineStr">
        <is>
          <t>Median xG Delta (Against, Adj)</t>
        </is>
      </c>
      <c r="E19" s="17">
        <f>MEDIAN(O2:O6)</f>
        <v/>
      </c>
    </row>
    <row r="20">
      <c r="A20" s="15" t="inlineStr">
        <is>
          <t>Avg Supremacy Delta</t>
        </is>
      </c>
      <c r="E20" s="17">
        <f>AVERAGE(R2:R6)</f>
        <v/>
      </c>
    </row>
    <row r="21">
      <c r="A21" s="15" t="inlineStr">
        <is>
          <t>Median Supremacy Delta</t>
        </is>
      </c>
      <c r="E21" s="17">
        <f>MEDIAN(R2:R6)</f>
        <v/>
      </c>
    </row>
    <row r="22">
      <c r="A22" s="15" t="inlineStr">
        <is>
          <t>Avg Total xG Delta</t>
        </is>
      </c>
      <c r="E22" s="17">
        <f>AVERAGE(S2:S6)</f>
        <v/>
      </c>
    </row>
    <row r="23">
      <c r="A23" s="15" t="inlineStr">
        <is>
          <t>Median Total xG Delta</t>
        </is>
      </c>
      <c r="E23" s="17">
        <f>MEDIAN(S2:S6)</f>
        <v/>
      </c>
    </row>
    <row r="24">
      <c r="A24" s="15" t="inlineStr">
        <is>
          <t>Current form (last 6, For)</t>
        </is>
      </c>
      <c r="E24" s="17">
        <f>L6</f>
        <v/>
      </c>
    </row>
    <row r="25">
      <c r="A25" s="15" t="inlineStr">
        <is>
          <t>Current form (last 6, Against)</t>
        </is>
      </c>
      <c r="E25" s="17">
        <f>M6</f>
        <v/>
      </c>
    </row>
    <row r="26">
      <c r="A26" s="15" t="inlineStr">
        <is>
          <t>Current form (last 6, For, Adj)</t>
        </is>
      </c>
      <c r="E26" s="17">
        <f>P6</f>
        <v/>
      </c>
    </row>
    <row r="27">
      <c r="A27" s="15" t="inlineStr">
        <is>
          <t>Current form (last 6, Against, Adj)</t>
        </is>
      </c>
      <c r="E27" s="17">
        <f>Q6</f>
        <v/>
      </c>
    </row>
    <row r="28">
      <c r="A28" s="15" t="inlineStr">
        <is>
          <t>Total xPts (Actual)</t>
        </is>
      </c>
      <c r="E28" s="17">
        <f>SUM(T2:T6)</f>
        <v/>
      </c>
    </row>
    <row r="29">
      <c r="A29" s="15" t="inlineStr">
        <is>
          <t>Total xPts (Market)</t>
        </is>
      </c>
      <c r="E29" s="17">
        <f>SUM(U2:U6)</f>
        <v/>
      </c>
    </row>
    <row r="30">
      <c r="A30" s="15" t="inlineStr">
        <is>
          <t>Avg xPts Delta</t>
        </is>
      </c>
      <c r="E30" s="17">
        <f>AVERAGE(V2:V6)</f>
        <v/>
      </c>
    </row>
    <row r="32">
      <c r="A32" s="12" t="inlineStr">
        <is>
          <t>Home / Away split</t>
        </is>
      </c>
    </row>
    <row r="33">
      <c r="A33" s="18" t="inlineStr">
        <is>
          <t>Venue</t>
        </is>
      </c>
      <c r="B33" s="18" t="inlineStr">
        <is>
          <t>Matches</t>
        </is>
      </c>
      <c r="C33" s="18" t="inlineStr">
        <is>
          <t>GF</t>
        </is>
      </c>
      <c r="D33" s="18" t="inlineStr">
        <is>
          <t>GA</t>
        </is>
      </c>
      <c r="E33" s="18" t="inlineStr">
        <is>
          <t>Avg Supremacy</t>
        </is>
      </c>
      <c r="F33" s="18" t="inlineStr">
        <is>
          <t>Median Supremacy</t>
        </is>
      </c>
      <c r="G33" s="18" t="inlineStr">
        <is>
          <t>Avg Total xG Delta</t>
        </is>
      </c>
      <c r="H33" s="18" t="inlineStr">
        <is>
          <t>Median Total xG Delta</t>
        </is>
      </c>
    </row>
    <row r="34">
      <c r="A34" s="15" t="inlineStr">
        <is>
          <t>Home</t>
        </is>
      </c>
      <c r="B34" s="15" t="n">
        <v>3</v>
      </c>
      <c r="C34" s="15" t="n">
        <v>2</v>
      </c>
      <c r="D34" s="15" t="n">
        <v>2</v>
      </c>
      <c r="E34" s="19" t="n">
        <v>-0.23</v>
      </c>
      <c r="F34" s="19" t="n">
        <v>-0.83</v>
      </c>
      <c r="G34" s="19" t="n">
        <v>0.1</v>
      </c>
      <c r="H34" s="19" t="n">
        <v>-0.5600000000000001</v>
      </c>
    </row>
    <row r="35">
      <c r="A35" s="15" t="inlineStr">
        <is>
          <t>Away</t>
        </is>
      </c>
      <c r="B35" s="15" t="n">
        <v>2</v>
      </c>
      <c r="C35" s="15" t="n">
        <v>0</v>
      </c>
      <c r="D35" s="15" t="n">
        <v>5</v>
      </c>
      <c r="E35" s="19" t="n">
        <v>-0.61</v>
      </c>
      <c r="F35" s="19" t="n">
        <v>-0.61</v>
      </c>
      <c r="G35" s="19" t="n">
        <v>-0.2</v>
      </c>
      <c r="H35" s="19" t="n">
        <v>-0.2</v>
      </c>
    </row>
    <row r="36">
      <c r="A36" s="20" t="inlineStr">
        <is>
          <t>Total</t>
        </is>
      </c>
      <c r="B36" s="20" t="n">
        <v>5</v>
      </c>
      <c r="C36" s="20" t="n">
        <v>2</v>
      </c>
      <c r="D36" s="20" t="n">
        <v>7</v>
      </c>
      <c r="E36" s="21" t="n">
        <v>-0.38</v>
      </c>
      <c r="F36" s="21" t="n">
        <v>-0.83</v>
      </c>
      <c r="G36" s="21" t="n">
        <v>-0.02</v>
      </c>
      <c r="H36" s="21" t="n">
        <v>-0.21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6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6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6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2026-08-03</t>
        </is>
      </c>
      <c r="B2" s="6" t="inlineStr">
        <is>
          <t>Dundee</t>
        </is>
      </c>
      <c r="C2" s="6" t="inlineStr">
        <is>
          <t>Home</t>
        </is>
      </c>
      <c r="D2" s="6" t="n">
        <v>1</v>
      </c>
      <c r="E2" s="6" t="n">
        <v>0</v>
      </c>
      <c r="F2" s="9" t="n">
        <v>2.83</v>
      </c>
      <c r="G2" s="9" t="n">
        <v>0.8100000000000001</v>
      </c>
      <c r="H2" s="9" t="n">
        <v>2.25</v>
      </c>
      <c r="I2" s="9" t="n">
        <v>0.49</v>
      </c>
      <c r="J2" s="9" t="n">
        <v>-0.58</v>
      </c>
      <c r="K2" s="9" t="n">
        <v>-0.32</v>
      </c>
      <c r="L2" s="9" t="n">
        <v>-0.58</v>
      </c>
      <c r="M2" s="9" t="n">
        <v>-0.32</v>
      </c>
      <c r="N2" s="9" t="n">
        <v>-0.44</v>
      </c>
      <c r="O2" s="9" t="n">
        <v>-0.44</v>
      </c>
      <c r="P2" s="9" t="n">
        <v>-0.44</v>
      </c>
      <c r="Q2" s="9" t="n">
        <v>-0.44</v>
      </c>
      <c r="R2" s="9">
        <f>(H2-I2)-(F2-G2)</f>
        <v/>
      </c>
      <c r="S2" s="9">
        <f>(H2+I2)-(F2+G2)</f>
        <v/>
      </c>
      <c r="T2" s="9" t="n">
        <v>2.49</v>
      </c>
      <c r="U2" s="9" t="n">
        <v>2.5</v>
      </c>
      <c r="V2" s="9" t="n">
        <v>-0.01</v>
      </c>
      <c r="W2" s="9" t="n">
        <v>2.49</v>
      </c>
      <c r="X2" s="9" t="n">
        <v>2.5</v>
      </c>
    </row>
    <row r="3">
      <c r="A3" s="8" t="inlineStr">
        <is>
          <t>2026-08-09</t>
        </is>
      </c>
      <c r="B3" s="8" t="inlineStr">
        <is>
          <t>Kilmarnock</t>
        </is>
      </c>
      <c r="C3" s="8" t="inlineStr">
        <is>
          <t>Away</t>
        </is>
      </c>
      <c r="D3" s="8" t="n">
        <v>5</v>
      </c>
      <c r="E3" s="8" t="n">
        <v>1</v>
      </c>
      <c r="F3" s="10" t="n">
        <v>2.4</v>
      </c>
      <c r="G3" s="10" t="n">
        <v>0.98</v>
      </c>
      <c r="H3" s="10" t="n">
        <v>5.44</v>
      </c>
      <c r="I3" s="10" t="n">
        <v>0.98</v>
      </c>
      <c r="J3" s="10" t="n">
        <v>3.04</v>
      </c>
      <c r="K3" s="10" t="n">
        <v>0</v>
      </c>
      <c r="L3" s="10" t="n">
        <v>1.23</v>
      </c>
      <c r="M3" s="10" t="n">
        <v>-0.16</v>
      </c>
      <c r="N3" s="10" t="n">
        <v>2.75</v>
      </c>
      <c r="O3" s="10" t="n">
        <v>0.39</v>
      </c>
      <c r="P3" s="10" t="n">
        <v>1.16</v>
      </c>
      <c r="Q3" s="10" t="n">
        <v>-0.03</v>
      </c>
      <c r="R3" s="10">
        <f>(H3-I3)-(F3-G3)</f>
        <v/>
      </c>
      <c r="S3" s="10">
        <f>(H3+I3)-(F3+G3)</f>
        <v/>
      </c>
      <c r="T3" s="10" t="n">
        <v>2.82</v>
      </c>
      <c r="U3" s="10" t="n">
        <v>2.24</v>
      </c>
      <c r="V3" s="10" t="n">
        <v>0.58</v>
      </c>
      <c r="W3" s="10" t="n">
        <v>5.3</v>
      </c>
      <c r="X3" s="10" t="n">
        <v>4.74</v>
      </c>
    </row>
    <row r="4">
      <c r="A4" s="6" t="inlineStr">
        <is>
          <t>2026-08-29</t>
        </is>
      </c>
      <c r="B4" s="6" t="inlineStr">
        <is>
          <t>Falkirk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2.78</v>
      </c>
      <c r="G4" s="9" t="n">
        <v>0.82</v>
      </c>
      <c r="H4" s="9" t="n">
        <v>3.45</v>
      </c>
      <c r="I4" s="9" t="n">
        <v>0.57</v>
      </c>
      <c r="J4" s="9" t="n">
        <v>0.67</v>
      </c>
      <c r="K4" s="9" t="n">
        <v>-0.25</v>
      </c>
      <c r="L4" s="9" t="n">
        <v>1.04</v>
      </c>
      <c r="M4" s="9" t="n">
        <v>-0.19</v>
      </c>
      <c r="N4" s="9" t="n">
        <v>0.59</v>
      </c>
      <c r="O4" s="9" t="n">
        <v>0.16</v>
      </c>
      <c r="P4" s="9" t="n">
        <v>0.97</v>
      </c>
      <c r="Q4" s="9" t="n">
        <v>0.03</v>
      </c>
      <c r="R4" s="9">
        <f>(H4-I4)-(F4-G4)</f>
        <v/>
      </c>
      <c r="S4" s="9">
        <f>(H4+I4)-(F4+G4)</f>
        <v/>
      </c>
      <c r="T4" s="9" t="n">
        <v>2.76</v>
      </c>
      <c r="U4" s="9" t="n">
        <v>2.48</v>
      </c>
      <c r="V4" s="9" t="n">
        <v>0.28</v>
      </c>
      <c r="W4" s="9" t="n">
        <v>8.06</v>
      </c>
      <c r="X4" s="9" t="n">
        <v>7.22</v>
      </c>
    </row>
    <row r="5">
      <c r="A5" s="8" t="inlineStr">
        <is>
          <t>2026-09-02</t>
        </is>
      </c>
      <c r="B5" s="8" t="inlineStr">
        <is>
          <t>Aberdeen</t>
        </is>
      </c>
      <c r="C5" s="8" t="inlineStr">
        <is>
          <t>Home</t>
        </is>
      </c>
      <c r="D5" s="8" t="n">
        <v>3</v>
      </c>
      <c r="E5" s="8" t="n">
        <v>0</v>
      </c>
      <c r="F5" s="10" t="n">
        <v>2.74</v>
      </c>
      <c r="G5" s="10" t="n">
        <v>0.8</v>
      </c>
      <c r="H5" s="10" t="n">
        <v>2.67</v>
      </c>
      <c r="I5" s="10" t="n">
        <v>0.68</v>
      </c>
      <c r="J5" s="10" t="n">
        <v>-0.07000000000000001</v>
      </c>
      <c r="K5" s="10" t="n">
        <v>-0.12</v>
      </c>
      <c r="L5" s="10" t="n">
        <v>0.77</v>
      </c>
      <c r="M5" s="10" t="n">
        <v>-0.17</v>
      </c>
      <c r="N5" s="10" t="n">
        <v>-0.31</v>
      </c>
      <c r="O5" s="10" t="n">
        <v>0.11</v>
      </c>
      <c r="P5" s="10" t="n">
        <v>0.65</v>
      </c>
      <c r="Q5" s="10" t="n">
        <v>0.05</v>
      </c>
      <c r="R5" s="10">
        <f>(H5-I5)-(F5-G5)</f>
        <v/>
      </c>
      <c r="S5" s="10">
        <f>(H5+I5)-(F5+G5)</f>
        <v/>
      </c>
      <c r="T5" s="10" t="n">
        <v>2.52</v>
      </c>
      <c r="U5" s="10" t="n">
        <v>2.48</v>
      </c>
      <c r="V5" s="10" t="n">
        <v>0.04</v>
      </c>
      <c r="W5" s="10" t="n">
        <v>10.58</v>
      </c>
      <c r="X5" s="10" t="n">
        <v>9.69</v>
      </c>
    </row>
    <row r="6">
      <c r="A6" s="6" t="inlineStr">
        <is>
          <t>2026-09-05</t>
        </is>
      </c>
      <c r="B6" s="6" t="inlineStr">
        <is>
          <t>St Mirren</t>
        </is>
      </c>
      <c r="C6" s="6" t="inlineStr">
        <is>
          <t>Away</t>
        </is>
      </c>
      <c r="D6" s="6" t="n">
        <v>2</v>
      </c>
      <c r="E6" s="6" t="n">
        <v>1</v>
      </c>
      <c r="F6" s="9" t="n">
        <v>2.25</v>
      </c>
      <c r="G6" s="9" t="n">
        <v>1.03</v>
      </c>
      <c r="H6" s="9" t="n">
        <v>3.19</v>
      </c>
      <c r="I6" s="9" t="n">
        <v>1.95</v>
      </c>
      <c r="J6" s="9" t="n">
        <v>0.9399999999999999</v>
      </c>
      <c r="K6" s="9" t="n">
        <v>0.92</v>
      </c>
      <c r="L6" s="9" t="n">
        <v>0.8</v>
      </c>
      <c r="M6" s="9" t="n">
        <v>0.05</v>
      </c>
      <c r="N6" s="9" t="n">
        <v>1.13</v>
      </c>
      <c r="O6" s="9" t="n">
        <v>0.55</v>
      </c>
      <c r="P6" s="9" t="n">
        <v>0.74</v>
      </c>
      <c r="Q6" s="9" t="n">
        <v>0.15</v>
      </c>
      <c r="R6" s="9">
        <f>(H6-I6)-(F6-G6)</f>
        <v/>
      </c>
      <c r="S6" s="9">
        <f>(H6+I6)-(F6+G6)</f>
        <v/>
      </c>
      <c r="T6" s="9" t="n">
        <v>2.03</v>
      </c>
      <c r="U6" s="9" t="n">
        <v>2.13</v>
      </c>
      <c r="V6" s="9" t="n">
        <v>-0.1</v>
      </c>
      <c r="W6" s="9" t="n">
        <v>12.61</v>
      </c>
      <c r="X6" s="9" t="n">
        <v>11.83</v>
      </c>
    </row>
    <row r="7">
      <c r="A7" s="8" t="inlineStr">
        <is>
          <t>2026-09-09</t>
        </is>
      </c>
      <c r="B7" s="8" t="inlineStr">
        <is>
          <t>St Johnstone</t>
        </is>
      </c>
      <c r="C7" s="8" t="inlineStr">
        <is>
          <t>Away</t>
        </is>
      </c>
      <c r="D7" s="8" t="n">
        <v>1</v>
      </c>
      <c r="E7" s="8" t="n">
        <v>0</v>
      </c>
      <c r="F7" s="10" t="n">
        <v>2.24</v>
      </c>
      <c r="G7" s="10" t="n">
        <v>1.05</v>
      </c>
      <c r="H7" s="10" t="n">
        <v>1.8</v>
      </c>
      <c r="I7" s="10" t="n">
        <v>0.6899999999999999</v>
      </c>
      <c r="J7" s="10" t="n">
        <v>-0.44</v>
      </c>
      <c r="K7" s="10" t="n">
        <v>-0.36</v>
      </c>
      <c r="L7" s="10" t="n">
        <v>0.59</v>
      </c>
      <c r="M7" s="10" t="n">
        <v>-0.02</v>
      </c>
      <c r="N7" s="10" t="n">
        <v>-0.65</v>
      </c>
      <c r="O7" s="10" t="n">
        <v>-0.64</v>
      </c>
      <c r="P7" s="10" t="n">
        <v>0.51</v>
      </c>
      <c r="Q7" s="10" t="n">
        <v>0.02</v>
      </c>
      <c r="R7" s="10">
        <f>(H7-I7)-(F7-G7)</f>
        <v/>
      </c>
      <c r="S7" s="10">
        <f>(H7+I7)-(F7+G7)</f>
        <v/>
      </c>
      <c r="T7" s="10" t="n">
        <v>2.14</v>
      </c>
      <c r="U7" s="10" t="n">
        <v>2.12</v>
      </c>
      <c r="V7" s="10" t="n">
        <v>0.03</v>
      </c>
      <c r="W7" s="10" t="n">
        <v>14.75</v>
      </c>
      <c r="X7" s="10" t="n">
        <v>13.95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1</v>
      </c>
      <c r="E35" s="19" t="n">
        <v>0.24</v>
      </c>
      <c r="F35" s="19" t="n">
        <v>0.05</v>
      </c>
      <c r="G35" s="19" t="n">
        <v>-0.22</v>
      </c>
      <c r="H35" s="19" t="n">
        <v>-0.19</v>
      </c>
    </row>
    <row r="36">
      <c r="A36" s="15" t="inlineStr">
        <is>
          <t>Away</t>
        </is>
      </c>
      <c r="B36" s="15" t="n">
        <v>3</v>
      </c>
      <c r="C36" s="15" t="n">
        <v>8</v>
      </c>
      <c r="D36" s="15" t="n">
        <v>2</v>
      </c>
      <c r="E36" s="19" t="n">
        <v>1</v>
      </c>
      <c r="F36" s="19" t="n">
        <v>0.02</v>
      </c>
      <c r="G36" s="19" t="n">
        <v>1.37</v>
      </c>
      <c r="H36" s="19" t="n">
        <v>1.86</v>
      </c>
    </row>
    <row r="37">
      <c r="A37" s="20" t="inlineStr">
        <is>
          <t>Total</t>
        </is>
      </c>
      <c r="B37" s="20" t="n">
        <v>6</v>
      </c>
      <c r="C37" s="20" t="n">
        <v>14</v>
      </c>
      <c r="D37" s="20" t="n">
        <v>3</v>
      </c>
      <c r="E37" s="21" t="n">
        <v>0.62</v>
      </c>
      <c r="F37" s="21" t="n">
        <v>0.04</v>
      </c>
      <c r="G37" s="21" t="n">
        <v>0.57</v>
      </c>
      <c r="H37" s="21" t="n">
        <v>0.11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2026-08-03</t>
        </is>
      </c>
      <c r="B2" s="6" t="inlineStr">
        <is>
          <t>Celtic</t>
        </is>
      </c>
      <c r="C2" s="6" t="inlineStr">
        <is>
          <t>Away</t>
        </is>
      </c>
      <c r="D2" s="6" t="n">
        <v>0</v>
      </c>
      <c r="E2" s="6" t="n">
        <v>1</v>
      </c>
      <c r="F2" s="9" t="n">
        <v>0.8100000000000001</v>
      </c>
      <c r="G2" s="9" t="n">
        <v>2.83</v>
      </c>
      <c r="H2" s="9" t="n">
        <v>0.49</v>
      </c>
      <c r="I2" s="9" t="n">
        <v>2.25</v>
      </c>
      <c r="J2" s="9" t="n">
        <v>-0.32</v>
      </c>
      <c r="K2" s="9" t="n">
        <v>-0.58</v>
      </c>
      <c r="L2" s="9" t="n">
        <v>-0.32</v>
      </c>
      <c r="M2" s="9" t="n">
        <v>-0.58</v>
      </c>
      <c r="N2" s="9" t="n">
        <v>-0.35</v>
      </c>
      <c r="O2" s="9" t="n">
        <v>-1.41</v>
      </c>
      <c r="P2" s="9" t="n">
        <v>-0.35</v>
      </c>
      <c r="Q2" s="9" t="n">
        <v>-1.41</v>
      </c>
      <c r="R2" s="9">
        <f>(H2-I2)-(F2-G2)</f>
        <v/>
      </c>
      <c r="S2" s="9">
        <f>(H2+I2)-(F2+G2)</f>
        <v/>
      </c>
      <c r="T2" s="9" t="n">
        <v>0.35</v>
      </c>
      <c r="U2" s="9" t="n">
        <v>0.37</v>
      </c>
      <c r="V2" s="9" t="n">
        <v>-0.01</v>
      </c>
      <c r="W2" s="9" t="n">
        <v>0.35</v>
      </c>
      <c r="X2" s="9" t="n">
        <v>0.37</v>
      </c>
    </row>
    <row r="3">
      <c r="A3" s="8" t="inlineStr">
        <is>
          <t>2026-08-08</t>
        </is>
      </c>
      <c r="B3" s="8" t="inlineStr">
        <is>
          <t>Aberdeen</t>
        </is>
      </c>
      <c r="C3" s="8" t="inlineStr">
        <is>
          <t>Home</t>
        </is>
      </c>
      <c r="D3" s="8" t="n">
        <v>2</v>
      </c>
      <c r="E3" s="8" t="n">
        <v>0</v>
      </c>
      <c r="F3" s="10" t="n">
        <v>1.34</v>
      </c>
      <c r="G3" s="10" t="n">
        <v>1.41</v>
      </c>
      <c r="H3" s="10" t="n">
        <v>1.83</v>
      </c>
      <c r="I3" s="10" t="n">
        <v>0.71</v>
      </c>
      <c r="J3" s="10" t="n">
        <v>0.49</v>
      </c>
      <c r="K3" s="10" t="n">
        <v>-0.7</v>
      </c>
      <c r="L3" s="10" t="n">
        <v>0.08</v>
      </c>
      <c r="M3" s="10" t="n">
        <v>-0.64</v>
      </c>
      <c r="N3" s="10" t="n">
        <v>0.38</v>
      </c>
      <c r="O3" s="10" t="n">
        <v>-0.62</v>
      </c>
      <c r="P3" s="10" t="n">
        <v>0.01</v>
      </c>
      <c r="Q3" s="10" t="n">
        <v>-1.02</v>
      </c>
      <c r="R3" s="10">
        <f>(H3-I3)-(F3-G3)</f>
        <v/>
      </c>
      <c r="S3" s="10">
        <f>(H3+I3)-(F3+G3)</f>
        <v/>
      </c>
      <c r="T3" s="10" t="n">
        <v>2.14</v>
      </c>
      <c r="U3" s="10" t="n">
        <v>1.33</v>
      </c>
      <c r="V3" s="10" t="n">
        <v>0.8100000000000001</v>
      </c>
      <c r="W3" s="10" t="n">
        <v>2.5</v>
      </c>
      <c r="X3" s="10" t="n">
        <v>1.7</v>
      </c>
    </row>
    <row r="4">
      <c r="A4" s="6" t="inlineStr">
        <is>
          <t>2026-08-22</t>
        </is>
      </c>
      <c r="B4" s="6" t="inlineStr">
        <is>
          <t>Dundee United</t>
        </is>
      </c>
      <c r="C4" s="6" t="inlineStr">
        <is>
          <t>Away</t>
        </is>
      </c>
      <c r="D4" s="6" t="n">
        <v>2</v>
      </c>
      <c r="E4" s="6" t="n">
        <v>0</v>
      </c>
      <c r="F4" s="9" t="n">
        <v>1.23</v>
      </c>
      <c r="G4" s="9" t="n">
        <v>1.54</v>
      </c>
      <c r="H4" s="9" t="n">
        <v>1.43</v>
      </c>
      <c r="I4" s="9" t="n">
        <v>1.19</v>
      </c>
      <c r="J4" s="9" t="n">
        <v>0.2</v>
      </c>
      <c r="K4" s="9" t="n">
        <v>-0.35</v>
      </c>
      <c r="L4" s="9" t="n">
        <v>0.12</v>
      </c>
      <c r="M4" s="9" t="n">
        <v>-0.54</v>
      </c>
      <c r="N4" s="9" t="n">
        <v>0.24</v>
      </c>
      <c r="O4" s="9" t="n">
        <v>-0.78</v>
      </c>
      <c r="P4" s="9" t="n">
        <v>0.09</v>
      </c>
      <c r="Q4" s="9" t="n">
        <v>-0.9399999999999999</v>
      </c>
      <c r="R4" s="9">
        <f>(H4-I4)-(F4-G4)</f>
        <v/>
      </c>
      <c r="S4" s="9">
        <f>(H4+I4)-(F4+G4)</f>
        <v/>
      </c>
      <c r="T4" s="9" t="n">
        <v>1.54</v>
      </c>
      <c r="U4" s="9" t="n">
        <v>1.16</v>
      </c>
      <c r="V4" s="9" t="n">
        <v>0.38</v>
      </c>
      <c r="W4" s="9" t="n">
        <v>4.04</v>
      </c>
      <c r="X4" s="9" t="n">
        <v>2.86</v>
      </c>
    </row>
    <row r="5">
      <c r="A5" s="8" t="inlineStr">
        <is>
          <t>2026-08-30</t>
        </is>
      </c>
      <c r="B5" s="8" t="inlineStr">
        <is>
          <t>Hibernian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1.22</v>
      </c>
      <c r="G5" s="10" t="n">
        <v>1.51</v>
      </c>
      <c r="H5" s="10" t="n">
        <v>1.01</v>
      </c>
      <c r="I5" s="10" t="n">
        <v>2.33</v>
      </c>
      <c r="J5" s="10" t="n">
        <v>-0.21</v>
      </c>
      <c r="K5" s="10" t="n">
        <v>0.82</v>
      </c>
      <c r="L5" s="10" t="n">
        <v>0.04</v>
      </c>
      <c r="M5" s="10" t="n">
        <v>-0.2</v>
      </c>
      <c r="N5" s="10" t="n">
        <v>-0.6</v>
      </c>
      <c r="O5" s="10" t="n">
        <v>0.48</v>
      </c>
      <c r="P5" s="10" t="n">
        <v>-0.08</v>
      </c>
      <c r="Q5" s="10" t="n">
        <v>-0.58</v>
      </c>
      <c r="R5" s="10">
        <f>(H5-I5)-(F5-G5)</f>
        <v/>
      </c>
      <c r="S5" s="10">
        <f>(H5+I5)-(F5+G5)</f>
        <v/>
      </c>
      <c r="T5" s="10" t="n">
        <v>0.63</v>
      </c>
      <c r="U5" s="10" t="n">
        <v>1.17</v>
      </c>
      <c r="V5" s="10" t="n">
        <v>-0.54</v>
      </c>
      <c r="W5" s="10" t="n">
        <v>4.66</v>
      </c>
      <c r="X5" s="10" t="n">
        <v>4.03</v>
      </c>
    </row>
    <row r="6">
      <c r="A6" s="6" t="inlineStr">
        <is>
          <t>2026-09-02</t>
        </is>
      </c>
      <c r="B6" s="6" t="inlineStr">
        <is>
          <t>St Johnstone</t>
        </is>
      </c>
      <c r="C6" s="6" t="inlineStr">
        <is>
          <t>Home</t>
        </is>
      </c>
      <c r="D6" s="6" t="n">
        <v>1</v>
      </c>
      <c r="E6" s="6" t="n">
        <v>1</v>
      </c>
      <c r="F6" s="9" t="n">
        <v>1.37</v>
      </c>
      <c r="G6" s="9" t="n">
        <v>1.37</v>
      </c>
      <c r="H6" s="9" t="n">
        <v>2.04</v>
      </c>
      <c r="I6" s="9" t="n">
        <v>1.07</v>
      </c>
      <c r="J6" s="9" t="n">
        <v>0.67</v>
      </c>
      <c r="K6" s="9" t="n">
        <v>-0.3</v>
      </c>
      <c r="L6" s="9" t="n">
        <v>0.17</v>
      </c>
      <c r="M6" s="9" t="n">
        <v>-0.22</v>
      </c>
      <c r="N6" s="9" t="n">
        <v>0.68</v>
      </c>
      <c r="O6" s="9" t="n">
        <v>-0.57</v>
      </c>
      <c r="P6" s="9" t="n">
        <v>0.07000000000000001</v>
      </c>
      <c r="Q6" s="9" t="n">
        <v>-0.58</v>
      </c>
      <c r="R6" s="9">
        <f>(H6-I6)-(F6-G6)</f>
        <v/>
      </c>
      <c r="S6" s="9">
        <f>(H6+I6)-(F6+G6)</f>
        <v/>
      </c>
      <c r="T6" s="9" t="n">
        <v>2</v>
      </c>
      <c r="U6" s="9" t="n">
        <v>1.37</v>
      </c>
      <c r="V6" s="9" t="n">
        <v>0.63</v>
      </c>
      <c r="W6" s="9" t="n">
        <v>6.67</v>
      </c>
      <c r="X6" s="9" t="n">
        <v>5.4</v>
      </c>
    </row>
    <row r="7">
      <c r="A7" s="8" t="inlineStr">
        <is>
          <t>2026-09-06</t>
        </is>
      </c>
      <c r="B7" s="8" t="inlineStr">
        <is>
          <t>Heart of Midlothian</t>
        </is>
      </c>
      <c r="C7" s="8" t="inlineStr">
        <is>
          <t>Away</t>
        </is>
      </c>
      <c r="D7" s="8" t="n">
        <v>1</v>
      </c>
      <c r="E7" s="8" t="n">
        <v>2</v>
      </c>
      <c r="F7" s="10" t="n">
        <v>0.96</v>
      </c>
      <c r="G7" s="10" t="n">
        <v>2.12</v>
      </c>
      <c r="H7" s="10" t="n">
        <v>0.42</v>
      </c>
      <c r="I7" s="10" t="n">
        <v>1.92</v>
      </c>
      <c r="J7" s="10" t="n">
        <v>-0.54</v>
      </c>
      <c r="K7" s="10" t="n">
        <v>-0.2</v>
      </c>
      <c r="L7" s="10" t="n">
        <v>0.05</v>
      </c>
      <c r="M7" s="10" t="n">
        <v>-0.22</v>
      </c>
      <c r="N7" s="10" t="n">
        <v>-0.87</v>
      </c>
      <c r="O7" s="10" t="n">
        <v>-0.29</v>
      </c>
      <c r="P7" s="10" t="n">
        <v>-0.09</v>
      </c>
      <c r="Q7" s="10" t="n">
        <v>-0.53</v>
      </c>
      <c r="R7" s="10">
        <f>(H7-I7)-(F7-G7)</f>
        <v/>
      </c>
      <c r="S7" s="10">
        <f>(H7+I7)-(F7+G7)</f>
        <v/>
      </c>
      <c r="T7" s="10" t="n">
        <v>0.41</v>
      </c>
      <c r="U7" s="10" t="n">
        <v>0.68</v>
      </c>
      <c r="V7" s="10" t="n">
        <v>-0.28</v>
      </c>
      <c r="W7" s="10" t="n">
        <v>7.07</v>
      </c>
      <c r="X7" s="10" t="n">
        <v>6.08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4</v>
      </c>
      <c r="D35" s="15" t="n">
        <v>3</v>
      </c>
      <c r="E35" s="19" t="n">
        <v>0.37</v>
      </c>
      <c r="F35" s="19" t="n">
        <v>0.97</v>
      </c>
      <c r="G35" s="19" t="n">
        <v>0.26</v>
      </c>
      <c r="H35" s="19" t="n">
        <v>0.36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3</v>
      </c>
      <c r="E36" s="19" t="n">
        <v>0.16</v>
      </c>
      <c r="F36" s="19" t="n">
        <v>0.26</v>
      </c>
      <c r="G36" s="19" t="n">
        <v>-0.59</v>
      </c>
      <c r="H36" s="19" t="n">
        <v>-0.74</v>
      </c>
    </row>
    <row r="37">
      <c r="A37" s="20" t="inlineStr">
        <is>
          <t>Total</t>
        </is>
      </c>
      <c r="B37" s="20" t="n">
        <v>6</v>
      </c>
      <c r="C37" s="20" t="n">
        <v>7</v>
      </c>
      <c r="D37" s="20" t="n">
        <v>6</v>
      </c>
      <c r="E37" s="21" t="n">
        <v>0.26</v>
      </c>
      <c r="F37" s="21" t="n">
        <v>0.41</v>
      </c>
      <c r="G37" s="21" t="n">
        <v>-0.17</v>
      </c>
      <c r="H37" s="21" t="n">
        <v>-0.17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2026-07-31</t>
        </is>
      </c>
      <c r="B2" s="6" t="inlineStr">
        <is>
          <t>Rangers</t>
        </is>
      </c>
      <c r="C2" s="6" t="inlineStr">
        <is>
          <t>Home</t>
        </is>
      </c>
      <c r="D2" s="6" t="n">
        <v>1</v>
      </c>
      <c r="E2" s="6" t="n">
        <v>1</v>
      </c>
      <c r="F2" s="9" t="n">
        <v>1.05</v>
      </c>
      <c r="G2" s="9" t="n">
        <v>2.21</v>
      </c>
      <c r="H2" s="9" t="n">
        <v>1.64</v>
      </c>
      <c r="I2" s="9" t="n">
        <v>1.46</v>
      </c>
      <c r="J2" s="9" t="n">
        <v>0.59</v>
      </c>
      <c r="K2" s="9" t="n">
        <v>-0.75</v>
      </c>
      <c r="L2" s="9" t="n">
        <v>0.59</v>
      </c>
      <c r="M2" s="9" t="n">
        <v>-0.75</v>
      </c>
      <c r="N2" s="9" t="n">
        <v>0.59</v>
      </c>
      <c r="O2" s="9" t="n">
        <v>-1.14</v>
      </c>
      <c r="P2" s="9" t="n">
        <v>0.59</v>
      </c>
      <c r="Q2" s="9" t="n">
        <v>-1.14</v>
      </c>
      <c r="R2" s="9">
        <f>(H2-I2)-(F2-G2)</f>
        <v/>
      </c>
      <c r="S2" s="9">
        <f>(H2+I2)-(F2+G2)</f>
        <v/>
      </c>
      <c r="T2" s="9" t="n">
        <v>1.5</v>
      </c>
      <c r="U2" s="9" t="n">
        <v>0.7</v>
      </c>
      <c r="V2" s="9" t="n">
        <v>0.8</v>
      </c>
      <c r="W2" s="9" t="n">
        <v>1.5</v>
      </c>
      <c r="X2" s="9" t="n">
        <v>0.7</v>
      </c>
    </row>
    <row r="3">
      <c r="A3" s="8" t="inlineStr">
        <is>
          <t>2026-08-09</t>
        </is>
      </c>
      <c r="B3" s="8" t="inlineStr">
        <is>
          <t>Heart of Midlothian</t>
        </is>
      </c>
      <c r="C3" s="8" t="inlineStr">
        <is>
          <t>Away</t>
        </is>
      </c>
      <c r="D3" s="8" t="n">
        <v>0</v>
      </c>
      <c r="E3" s="8" t="n">
        <v>4</v>
      </c>
      <c r="F3" s="10" t="n">
        <v>0.98</v>
      </c>
      <c r="G3" s="10" t="n">
        <v>1.92</v>
      </c>
      <c r="H3" s="10" t="n">
        <v>0.58</v>
      </c>
      <c r="I3" s="10" t="n">
        <v>2.15</v>
      </c>
      <c r="J3" s="10" t="n">
        <v>-0.4</v>
      </c>
      <c r="K3" s="10" t="n">
        <v>0.23</v>
      </c>
      <c r="L3" s="10" t="n">
        <v>0.1</v>
      </c>
      <c r="M3" s="10" t="n">
        <v>-0.26</v>
      </c>
      <c r="N3" s="10" t="n">
        <v>-0.6899999999999999</v>
      </c>
      <c r="O3" s="10" t="n">
        <v>0.24</v>
      </c>
      <c r="P3" s="10" t="n">
        <v>-0.05</v>
      </c>
      <c r="Q3" s="10" t="n">
        <v>-0.45</v>
      </c>
      <c r="R3" s="10">
        <f>(H3-I3)-(F3-G3)</f>
        <v/>
      </c>
      <c r="S3" s="10">
        <f>(H3+I3)-(F3+G3)</f>
        <v/>
      </c>
      <c r="T3" s="10" t="n">
        <v>0.43</v>
      </c>
      <c r="U3" s="10" t="n">
        <v>0.78</v>
      </c>
      <c r="V3" s="10" t="n">
        <v>-0.34</v>
      </c>
      <c r="W3" s="10" t="n">
        <v>1.93</v>
      </c>
      <c r="X3" s="10" t="n">
        <v>1.48</v>
      </c>
    </row>
    <row r="4">
      <c r="A4" s="6" t="inlineStr">
        <is>
          <t>2026-08-22</t>
        </is>
      </c>
      <c r="B4" s="6" t="inlineStr">
        <is>
          <t>Dundee</t>
        </is>
      </c>
      <c r="C4" s="6" t="inlineStr">
        <is>
          <t>Home</t>
        </is>
      </c>
      <c r="D4" s="6" t="n">
        <v>0</v>
      </c>
      <c r="E4" s="6" t="n">
        <v>2</v>
      </c>
      <c r="F4" s="9" t="n">
        <v>1.54</v>
      </c>
      <c r="G4" s="9" t="n">
        <v>1.23</v>
      </c>
      <c r="H4" s="9" t="n">
        <v>1.19</v>
      </c>
      <c r="I4" s="9" t="n">
        <v>1.43</v>
      </c>
      <c r="J4" s="9" t="n">
        <v>-0.35</v>
      </c>
      <c r="K4" s="9" t="n">
        <v>0.2</v>
      </c>
      <c r="L4" s="9" t="n">
        <v>-0.05</v>
      </c>
      <c r="M4" s="9" t="n">
        <v>-0.11</v>
      </c>
      <c r="N4" s="9" t="n">
        <v>-0.16</v>
      </c>
      <c r="O4" s="9" t="n">
        <v>0.19</v>
      </c>
      <c r="P4" s="9" t="n">
        <v>-0.09</v>
      </c>
      <c r="Q4" s="9" t="n">
        <v>-0.24</v>
      </c>
      <c r="R4" s="9">
        <f>(H4-I4)-(F4-G4)</f>
        <v/>
      </c>
      <c r="S4" s="9">
        <f>(H4+I4)-(F4+G4)</f>
        <v/>
      </c>
      <c r="T4" s="9" t="n">
        <v>1.2</v>
      </c>
      <c r="U4" s="9" t="n">
        <v>1.59</v>
      </c>
      <c r="V4" s="9" t="n">
        <v>-0.39</v>
      </c>
      <c r="W4" s="9" t="n">
        <v>3.13</v>
      </c>
      <c r="X4" s="9" t="n">
        <v>3.07</v>
      </c>
    </row>
    <row r="5">
      <c r="A5" s="8" t="inlineStr">
        <is>
          <t>2026-08-29</t>
        </is>
      </c>
      <c r="B5" s="8" t="inlineStr">
        <is>
          <t>Kilmarnock</t>
        </is>
      </c>
      <c r="C5" s="8" t="inlineStr">
        <is>
          <t>Away</t>
        </is>
      </c>
      <c r="D5" s="8" t="n">
        <v>4</v>
      </c>
      <c r="E5" s="8" t="n">
        <v>0</v>
      </c>
      <c r="F5" s="10" t="n">
        <v>1.35</v>
      </c>
      <c r="G5" s="10" t="n">
        <v>1.46</v>
      </c>
      <c r="H5" s="10" t="n">
        <v>3.42</v>
      </c>
      <c r="I5" s="10" t="n">
        <v>1.13</v>
      </c>
      <c r="J5" s="10" t="n">
        <v>2.07</v>
      </c>
      <c r="K5" s="10" t="n">
        <v>-0.33</v>
      </c>
      <c r="L5" s="10" t="n">
        <v>0.48</v>
      </c>
      <c r="M5" s="10" t="n">
        <v>-0.16</v>
      </c>
      <c r="N5" s="10" t="n">
        <v>1.54</v>
      </c>
      <c r="O5" s="10" t="n">
        <v>-0.03</v>
      </c>
      <c r="P5" s="10" t="n">
        <v>0.32</v>
      </c>
      <c r="Q5" s="10" t="n">
        <v>-0.19</v>
      </c>
      <c r="R5" s="10">
        <f>(H5-I5)-(F5-G5)</f>
        <v/>
      </c>
      <c r="S5" s="10">
        <f>(H5+I5)-(F5+G5)</f>
        <v/>
      </c>
      <c r="T5" s="10" t="n">
        <v>2.52</v>
      </c>
      <c r="U5" s="10" t="n">
        <v>1.3</v>
      </c>
      <c r="V5" s="10" t="n">
        <v>1.22</v>
      </c>
      <c r="W5" s="10" t="n">
        <v>5.65</v>
      </c>
      <c r="X5" s="10" t="n">
        <v>4.37</v>
      </c>
    </row>
    <row r="6">
      <c r="A6" s="6" t="inlineStr">
        <is>
          <t>2026-09-02</t>
        </is>
      </c>
      <c r="B6" s="6" t="inlineStr">
        <is>
          <t>Motherwell</t>
        </is>
      </c>
      <c r="C6" s="6" t="inlineStr">
        <is>
          <t>Away</t>
        </is>
      </c>
      <c r="D6" s="6" t="n">
        <v>0</v>
      </c>
      <c r="E6" s="6" t="n">
        <v>3</v>
      </c>
      <c r="F6" s="9" t="n">
        <v>1.19</v>
      </c>
      <c r="G6" s="9" t="n">
        <v>1.72</v>
      </c>
      <c r="H6" s="9" t="n">
        <v>0.16</v>
      </c>
      <c r="I6" s="9" t="n">
        <v>2.37</v>
      </c>
      <c r="J6" s="9" t="n">
        <v>-1.03</v>
      </c>
      <c r="K6" s="9" t="n">
        <v>0.65</v>
      </c>
      <c r="L6" s="9" t="n">
        <v>0.18</v>
      </c>
      <c r="M6" s="9" t="n">
        <v>-0</v>
      </c>
      <c r="N6" s="9" t="n">
        <v>-1.93</v>
      </c>
      <c r="O6" s="9" t="n">
        <v>0.29</v>
      </c>
      <c r="P6" s="9" t="n">
        <v>-0.13</v>
      </c>
      <c r="Q6" s="9" t="n">
        <v>-0.09</v>
      </c>
      <c r="R6" s="9">
        <f>(H6-I6)-(F6-G6)</f>
        <v/>
      </c>
      <c r="S6" s="9">
        <f>(H6+I6)-(F6+G6)</f>
        <v/>
      </c>
      <c r="T6" s="9" t="n">
        <v>0.16</v>
      </c>
      <c r="U6" s="9" t="n">
        <v>1.03</v>
      </c>
      <c r="V6" s="9" t="n">
        <v>-0.87</v>
      </c>
      <c r="W6" s="9" t="n">
        <v>5.82</v>
      </c>
      <c r="X6" s="9" t="n">
        <v>5.4</v>
      </c>
    </row>
    <row r="7">
      <c r="A7" s="8" t="inlineStr">
        <is>
          <t>2026-09-05</t>
        </is>
      </c>
      <c r="B7" s="8" t="inlineStr">
        <is>
          <t>Falkirk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1.74</v>
      </c>
      <c r="G7" s="10" t="n">
        <v>1.16</v>
      </c>
      <c r="H7" s="10" t="n">
        <v>2.65</v>
      </c>
      <c r="I7" s="10" t="n">
        <v>1.22</v>
      </c>
      <c r="J7" s="10" t="n">
        <v>0.91</v>
      </c>
      <c r="K7" s="10" t="n">
        <v>0.06</v>
      </c>
      <c r="L7" s="10" t="n">
        <v>0.3</v>
      </c>
      <c r="M7" s="10" t="n">
        <v>0.01</v>
      </c>
      <c r="N7" s="10" t="n">
        <v>0.9</v>
      </c>
      <c r="O7" s="10" t="n">
        <v>0.55</v>
      </c>
      <c r="P7" s="10" t="n">
        <v>0.04</v>
      </c>
      <c r="Q7" s="10" t="n">
        <v>0.02</v>
      </c>
      <c r="R7" s="10">
        <f>(H7-I7)-(F7-G7)</f>
        <v/>
      </c>
      <c r="S7" s="10">
        <f>(H7+I7)-(F7+G7)</f>
        <v/>
      </c>
      <c r="T7" s="10" t="n">
        <v>2.2</v>
      </c>
      <c r="U7" s="10" t="n">
        <v>1.76</v>
      </c>
      <c r="V7" s="10" t="n">
        <v>0.44</v>
      </c>
      <c r="W7" s="10" t="n">
        <v>8.02</v>
      </c>
      <c r="X7" s="10" t="n">
        <v>7.16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2</v>
      </c>
      <c r="D35" s="15" t="n">
        <v>4</v>
      </c>
      <c r="E35" s="19" t="n">
        <v>0.55</v>
      </c>
      <c r="F35" s="19" t="n">
        <v>0.85</v>
      </c>
      <c r="G35" s="19" t="n">
        <v>0.23</v>
      </c>
      <c r="H35" s="19" t="n">
        <v>-0.14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7</v>
      </c>
      <c r="E36" s="19" t="n">
        <v>0.03</v>
      </c>
      <c r="F36" s="19" t="n">
        <v>-0.62</v>
      </c>
      <c r="G36" s="19" t="n">
        <v>0.39</v>
      </c>
      <c r="H36" s="19" t="n">
        <v>-0.17</v>
      </c>
    </row>
    <row r="37">
      <c r="A37" s="20" t="inlineStr">
        <is>
          <t>Total</t>
        </is>
      </c>
      <c r="B37" s="20" t="n">
        <v>6</v>
      </c>
      <c r="C37" s="20" t="n">
        <v>6</v>
      </c>
      <c r="D37" s="20" t="n">
        <v>11</v>
      </c>
      <c r="E37" s="21" t="n">
        <v>0.29</v>
      </c>
      <c r="F37" s="21" t="n">
        <v>0.15</v>
      </c>
      <c r="G37" s="21" t="n">
        <v>0.31</v>
      </c>
      <c r="H37" s="21" t="n">
        <v>-0.15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2026-08-01</t>
        </is>
      </c>
      <c r="B2" s="6" t="inlineStr">
        <is>
          <t>St Mirren</t>
        </is>
      </c>
      <c r="C2" s="6" t="inlineStr">
        <is>
          <t>Home</t>
        </is>
      </c>
      <c r="D2" s="6" t="n">
        <v>0</v>
      </c>
      <c r="E2" s="6" t="n">
        <v>2</v>
      </c>
      <c r="F2" s="9" t="n">
        <v>1.64</v>
      </c>
      <c r="G2" s="9" t="n">
        <v>1.17</v>
      </c>
      <c r="H2" s="9" t="n">
        <v>0.55</v>
      </c>
      <c r="I2" s="9" t="n">
        <v>1.57</v>
      </c>
      <c r="J2" s="9" t="n">
        <v>-1.09</v>
      </c>
      <c r="K2" s="9" t="n">
        <v>0.4</v>
      </c>
      <c r="L2" s="9" t="n">
        <v>-1.09</v>
      </c>
      <c r="M2" s="9" t="n">
        <v>0.4</v>
      </c>
      <c r="N2" s="9" t="n">
        <v>-1.32</v>
      </c>
      <c r="O2" s="9" t="n">
        <v>-0.08</v>
      </c>
      <c r="P2" s="9" t="n">
        <v>-1.32</v>
      </c>
      <c r="Q2" s="9" t="n">
        <v>-0.08</v>
      </c>
      <c r="R2" s="9">
        <f>(H2-I2)-(F2-G2)</f>
        <v/>
      </c>
      <c r="S2" s="9">
        <f>(H2+I2)-(F2+G2)</f>
        <v/>
      </c>
      <c r="T2" s="9" t="n">
        <v>0.63</v>
      </c>
      <c r="U2" s="9" t="n">
        <v>1.7</v>
      </c>
      <c r="V2" s="9" t="n">
        <v>-1.06</v>
      </c>
      <c r="W2" s="9" t="n">
        <v>0.63</v>
      </c>
      <c r="X2" s="9" t="n">
        <v>1.7</v>
      </c>
    </row>
    <row r="3">
      <c r="A3" s="8" t="inlineStr">
        <is>
          <t>2026-08-09</t>
        </is>
      </c>
      <c r="B3" s="8" t="inlineStr">
        <is>
          <t>Motherwell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1.1</v>
      </c>
      <c r="G3" s="10" t="n">
        <v>1.78</v>
      </c>
      <c r="H3" s="10" t="n">
        <v>0.55</v>
      </c>
      <c r="I3" s="10" t="n">
        <v>1.27</v>
      </c>
      <c r="J3" s="10" t="n">
        <v>-0.55</v>
      </c>
      <c r="K3" s="10" t="n">
        <v>-0.51</v>
      </c>
      <c r="L3" s="10" t="n">
        <v>-0.82</v>
      </c>
      <c r="M3" s="10" t="n">
        <v>-0.05</v>
      </c>
      <c r="N3" s="10" t="n">
        <v>-1.32</v>
      </c>
      <c r="O3" s="10" t="n">
        <v>-1.15</v>
      </c>
      <c r="P3" s="10" t="n">
        <v>-1.32</v>
      </c>
      <c r="Q3" s="10" t="n">
        <v>-0.61</v>
      </c>
      <c r="R3" s="10">
        <f>(H3-I3)-(F3-G3)</f>
        <v/>
      </c>
      <c r="S3" s="10">
        <f>(H3+I3)-(F3+G3)</f>
        <v/>
      </c>
      <c r="T3" s="10" t="n">
        <v>0.78</v>
      </c>
      <c r="U3" s="10" t="n">
        <v>0.9399999999999999</v>
      </c>
      <c r="V3" s="10" t="n">
        <v>-0.16</v>
      </c>
      <c r="W3" s="10" t="n">
        <v>1.41</v>
      </c>
      <c r="X3" s="10" t="n">
        <v>2.63</v>
      </c>
    </row>
    <row r="4">
      <c r="A4" s="6" t="inlineStr">
        <is>
          <t>2026-08-29</t>
        </is>
      </c>
      <c r="B4" s="6" t="inlineStr">
        <is>
          <t>Celtic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0.82</v>
      </c>
      <c r="G4" s="9" t="n">
        <v>2.78</v>
      </c>
      <c r="H4" s="9" t="n">
        <v>0.57</v>
      </c>
      <c r="I4" s="9" t="n">
        <v>3.45</v>
      </c>
      <c r="J4" s="9" t="n">
        <v>-0.25</v>
      </c>
      <c r="K4" s="9" t="n">
        <v>0.67</v>
      </c>
      <c r="L4" s="9" t="n">
        <v>-0.63</v>
      </c>
      <c r="M4" s="9" t="n">
        <v>0.19</v>
      </c>
      <c r="N4" s="9" t="n">
        <v>-0.28</v>
      </c>
      <c r="O4" s="9" t="n">
        <v>0.09</v>
      </c>
      <c r="P4" s="9" t="n">
        <v>-0.97</v>
      </c>
      <c r="Q4" s="9" t="n">
        <v>-0.38</v>
      </c>
      <c r="R4" s="9">
        <f>(H4-I4)-(F4-G4)</f>
        <v/>
      </c>
      <c r="S4" s="9">
        <f>(H4+I4)-(F4+G4)</f>
        <v/>
      </c>
      <c r="T4" s="9" t="n">
        <v>0.17</v>
      </c>
      <c r="U4" s="9" t="n">
        <v>0.39</v>
      </c>
      <c r="V4" s="9" t="n">
        <v>-0.22</v>
      </c>
      <c r="W4" s="9" t="n">
        <v>1.58</v>
      </c>
      <c r="X4" s="9" t="n">
        <v>3.02</v>
      </c>
    </row>
    <row r="5">
      <c r="A5" s="8" t="inlineStr">
        <is>
          <t>2026-09-02</t>
        </is>
      </c>
      <c r="B5" s="8" t="inlineStr">
        <is>
          <t>Rangers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1.05</v>
      </c>
      <c r="G5" s="10" t="n">
        <v>2.05</v>
      </c>
      <c r="H5" s="10" t="n">
        <v>1</v>
      </c>
      <c r="I5" s="10" t="n">
        <v>1.56</v>
      </c>
      <c r="J5" s="10" t="n">
        <v>-0.05</v>
      </c>
      <c r="K5" s="10" t="n">
        <v>-0.49</v>
      </c>
      <c r="L5" s="10" t="n">
        <v>-0.49</v>
      </c>
      <c r="M5" s="10" t="n">
        <v>0.02</v>
      </c>
      <c r="N5" s="10" t="n">
        <v>-0.18</v>
      </c>
      <c r="O5" s="10" t="n">
        <v>-0.82</v>
      </c>
      <c r="P5" s="10" t="n">
        <v>-0.77</v>
      </c>
      <c r="Q5" s="10" t="n">
        <v>-0.49</v>
      </c>
      <c r="R5" s="10">
        <f>(H5-I5)-(F5-G5)</f>
        <v/>
      </c>
      <c r="S5" s="10">
        <f>(H5+I5)-(F5+G5)</f>
        <v/>
      </c>
      <c r="T5" s="10" t="n">
        <v>0.98</v>
      </c>
      <c r="U5" s="10" t="n">
        <v>0.77</v>
      </c>
      <c r="V5" s="10" t="n">
        <v>0.21</v>
      </c>
      <c r="W5" s="10" t="n">
        <v>2.56</v>
      </c>
      <c r="X5" s="10" t="n">
        <v>3.79</v>
      </c>
    </row>
    <row r="6">
      <c r="A6" s="6" t="inlineStr">
        <is>
          <t>2026-09-05</t>
        </is>
      </c>
      <c r="B6" s="6" t="inlineStr">
        <is>
          <t>Dundee United</t>
        </is>
      </c>
      <c r="C6" s="6" t="inlineStr">
        <is>
          <t>Away</t>
        </is>
      </c>
      <c r="D6" s="6" t="n">
        <v>1</v>
      </c>
      <c r="E6" s="6" t="n">
        <v>1</v>
      </c>
      <c r="F6" s="9" t="n">
        <v>1.16</v>
      </c>
      <c r="G6" s="9" t="n">
        <v>1.74</v>
      </c>
      <c r="H6" s="9" t="n">
        <v>1.22</v>
      </c>
      <c r="I6" s="9" t="n">
        <v>2.65</v>
      </c>
      <c r="J6" s="9" t="n">
        <v>0.06</v>
      </c>
      <c r="K6" s="9" t="n">
        <v>0.91</v>
      </c>
      <c r="L6" s="9" t="n">
        <v>-0.38</v>
      </c>
      <c r="M6" s="9" t="n">
        <v>0.2</v>
      </c>
      <c r="N6" s="9" t="n">
        <v>0.06</v>
      </c>
      <c r="O6" s="9" t="n">
        <v>0.74</v>
      </c>
      <c r="P6" s="9" t="n">
        <v>-0.61</v>
      </c>
      <c r="Q6" s="9" t="n">
        <v>-0.24</v>
      </c>
      <c r="R6" s="9">
        <f>(H6-I6)-(F6-G6)</f>
        <v/>
      </c>
      <c r="S6" s="9">
        <f>(H6+I6)-(F6+G6)</f>
        <v/>
      </c>
      <c r="T6" s="9" t="n">
        <v>0.63</v>
      </c>
      <c r="U6" s="9" t="n">
        <v>1</v>
      </c>
      <c r="V6" s="9" t="n">
        <v>-0.37</v>
      </c>
      <c r="W6" s="9" t="n">
        <v>3.19</v>
      </c>
      <c r="X6" s="9" t="n">
        <v>4.79</v>
      </c>
    </row>
    <row r="8">
      <c r="A8" s="12" t="inlineStr">
        <is>
          <t>Season summary</t>
        </is>
      </c>
    </row>
    <row r="9">
      <c r="A9" s="15" t="inlineStr">
        <is>
          <t>Matches played</t>
        </is>
      </c>
      <c r="E9" s="16">
        <f>COUNTA(A2:A6)</f>
        <v/>
      </c>
    </row>
    <row r="10">
      <c r="A10" s="15" t="inlineStr">
        <is>
          <t>Total goals for</t>
        </is>
      </c>
      <c r="E10" s="16">
        <f>SUM(D2:D6)</f>
        <v/>
      </c>
    </row>
    <row r="11">
      <c r="A11" s="15" t="inlineStr">
        <is>
          <t>Total goals against</t>
        </is>
      </c>
      <c r="E11" s="16">
        <f>SUM(E2:E6)</f>
        <v/>
      </c>
    </row>
    <row r="12">
      <c r="A12" s="15" t="inlineStr">
        <is>
          <t>Avg xG Delta (For)</t>
        </is>
      </c>
      <c r="E12" s="17">
        <f>AVERAGE(J2:J6)</f>
        <v/>
      </c>
    </row>
    <row r="13">
      <c r="A13" s="15" t="inlineStr">
        <is>
          <t>Median xG Delta (For)</t>
        </is>
      </c>
      <c r="E13" s="17">
        <f>MEDIAN(J2:J6)</f>
        <v/>
      </c>
    </row>
    <row r="14">
      <c r="A14" s="15" t="inlineStr">
        <is>
          <t>Avg xG Delta (Against)</t>
        </is>
      </c>
      <c r="E14" s="17">
        <f>AVERAGE(K2:K6)</f>
        <v/>
      </c>
    </row>
    <row r="15">
      <c r="A15" s="15" t="inlineStr">
        <is>
          <t>Median xG Delta (Against)</t>
        </is>
      </c>
      <c r="E15" s="17">
        <f>MEDIAN(K2:K6)</f>
        <v/>
      </c>
    </row>
    <row r="16">
      <c r="A16" s="15" t="inlineStr">
        <is>
          <t>Avg xG Delta (For, Adj)</t>
        </is>
      </c>
      <c r="E16" s="17">
        <f>AVERAGE(N2:N6)</f>
        <v/>
      </c>
    </row>
    <row r="17">
      <c r="A17" s="15" t="inlineStr">
        <is>
          <t>Median xG Delta (For, Adj)</t>
        </is>
      </c>
      <c r="E17" s="17">
        <f>MEDIAN(N2:N6)</f>
        <v/>
      </c>
    </row>
    <row r="18">
      <c r="A18" s="15" t="inlineStr">
        <is>
          <t>Avg xG Delta (Against, Adj)</t>
        </is>
      </c>
      <c r="E18" s="17">
        <f>AVERAGE(O2:O6)</f>
        <v/>
      </c>
    </row>
    <row r="19">
      <c r="A19" s="15" t="inlineStr">
        <is>
          <t>Median xG Delta (Against, Adj)</t>
        </is>
      </c>
      <c r="E19" s="17">
        <f>MEDIAN(O2:O6)</f>
        <v/>
      </c>
    </row>
    <row r="20">
      <c r="A20" s="15" t="inlineStr">
        <is>
          <t>Avg Supremacy Delta</t>
        </is>
      </c>
      <c r="E20" s="17">
        <f>AVERAGE(R2:R6)</f>
        <v/>
      </c>
    </row>
    <row r="21">
      <c r="A21" s="15" t="inlineStr">
        <is>
          <t>Median Supremacy Delta</t>
        </is>
      </c>
      <c r="E21" s="17">
        <f>MEDIAN(R2:R6)</f>
        <v/>
      </c>
    </row>
    <row r="22">
      <c r="A22" s="15" t="inlineStr">
        <is>
          <t>Avg Total xG Delta</t>
        </is>
      </c>
      <c r="E22" s="17">
        <f>AVERAGE(S2:S6)</f>
        <v/>
      </c>
    </row>
    <row r="23">
      <c r="A23" s="15" t="inlineStr">
        <is>
          <t>Median Total xG Delta</t>
        </is>
      </c>
      <c r="E23" s="17">
        <f>MEDIAN(S2:S6)</f>
        <v/>
      </c>
    </row>
    <row r="24">
      <c r="A24" s="15" t="inlineStr">
        <is>
          <t>Current form (last 6, For)</t>
        </is>
      </c>
      <c r="E24" s="17">
        <f>L6</f>
        <v/>
      </c>
    </row>
    <row r="25">
      <c r="A25" s="15" t="inlineStr">
        <is>
          <t>Current form (last 6, Against)</t>
        </is>
      </c>
      <c r="E25" s="17">
        <f>M6</f>
        <v/>
      </c>
    </row>
    <row r="26">
      <c r="A26" s="15" t="inlineStr">
        <is>
          <t>Current form (last 6, For, Adj)</t>
        </is>
      </c>
      <c r="E26" s="17">
        <f>P6</f>
        <v/>
      </c>
    </row>
    <row r="27">
      <c r="A27" s="15" t="inlineStr">
        <is>
          <t>Current form (last 6, Against, Adj)</t>
        </is>
      </c>
      <c r="E27" s="17">
        <f>Q6</f>
        <v/>
      </c>
    </row>
    <row r="28">
      <c r="A28" s="15" t="inlineStr">
        <is>
          <t>Total xPts (Actual)</t>
        </is>
      </c>
      <c r="E28" s="17">
        <f>SUM(T2:T6)</f>
        <v/>
      </c>
    </row>
    <row r="29">
      <c r="A29" s="15" t="inlineStr">
        <is>
          <t>Total xPts (Market)</t>
        </is>
      </c>
      <c r="E29" s="17">
        <f>SUM(U2:U6)</f>
        <v/>
      </c>
    </row>
    <row r="30">
      <c r="A30" s="15" t="inlineStr">
        <is>
          <t>Avg xPts Delta</t>
        </is>
      </c>
      <c r="E30" s="17">
        <f>AVERAGE(V2:V6)</f>
        <v/>
      </c>
    </row>
    <row r="32">
      <c r="A32" s="12" t="inlineStr">
        <is>
          <t>Home / Away split</t>
        </is>
      </c>
    </row>
    <row r="33">
      <c r="A33" s="18" t="inlineStr">
        <is>
          <t>Venue</t>
        </is>
      </c>
      <c r="B33" s="18" t="inlineStr">
        <is>
          <t>Matches</t>
        </is>
      </c>
      <c r="C33" s="18" t="inlineStr">
        <is>
          <t>GF</t>
        </is>
      </c>
      <c r="D33" s="18" t="inlineStr">
        <is>
          <t>GA</t>
        </is>
      </c>
      <c r="E33" s="18" t="inlineStr">
        <is>
          <t>Avg Supremacy</t>
        </is>
      </c>
      <c r="F33" s="18" t="inlineStr">
        <is>
          <t>Median Supremacy</t>
        </is>
      </c>
      <c r="G33" s="18" t="inlineStr">
        <is>
          <t>Avg Total xG Delta</t>
        </is>
      </c>
      <c r="H33" s="18" t="inlineStr">
        <is>
          <t>Median Total xG Delta</t>
        </is>
      </c>
    </row>
    <row r="34">
      <c r="A34" s="15" t="inlineStr">
        <is>
          <t>Home</t>
        </is>
      </c>
      <c r="B34" s="15" t="n">
        <v>2</v>
      </c>
      <c r="C34" s="15" t="n">
        <v>1</v>
      </c>
      <c r="D34" s="15" t="n">
        <v>4</v>
      </c>
      <c r="E34" s="19" t="n">
        <v>-0.53</v>
      </c>
      <c r="F34" s="19" t="n">
        <v>-0.53</v>
      </c>
      <c r="G34" s="19" t="n">
        <v>-0.61</v>
      </c>
      <c r="H34" s="19" t="n">
        <v>-0.61</v>
      </c>
    </row>
    <row r="35">
      <c r="A35" s="15" t="inlineStr">
        <is>
          <t>Away</t>
        </is>
      </c>
      <c r="B35" s="15" t="n">
        <v>3</v>
      </c>
      <c r="C35" s="15" t="n">
        <v>2</v>
      </c>
      <c r="D35" s="15" t="n">
        <v>3</v>
      </c>
      <c r="E35" s="19" t="n">
        <v>-0.61</v>
      </c>
      <c r="F35" s="19" t="n">
        <v>-0.85</v>
      </c>
      <c r="G35" s="19" t="n">
        <v>0.11</v>
      </c>
      <c r="H35" s="19" t="n">
        <v>0.42</v>
      </c>
    </row>
    <row r="36">
      <c r="A36" s="20" t="inlineStr">
        <is>
          <t>Total</t>
        </is>
      </c>
      <c r="B36" s="20" t="n">
        <v>5</v>
      </c>
      <c r="C36" s="20" t="n">
        <v>3</v>
      </c>
      <c r="D36" s="20" t="n">
        <v>7</v>
      </c>
      <c r="E36" s="21" t="n">
        <v>-0.58</v>
      </c>
      <c r="F36" s="21" t="n">
        <v>-0.85</v>
      </c>
      <c r="G36" s="21" t="n">
        <v>-0.18</v>
      </c>
      <c r="H36" s="21" t="n">
        <v>-0.53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6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6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6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2026-08-01</t>
        </is>
      </c>
      <c r="B2" s="6" t="inlineStr">
        <is>
          <t>Aberdeen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1.59</v>
      </c>
      <c r="G2" s="9" t="n">
        <v>1.27</v>
      </c>
      <c r="H2" s="9" t="n">
        <v>1.83</v>
      </c>
      <c r="I2" s="9" t="n">
        <v>2.66</v>
      </c>
      <c r="J2" s="9" t="n">
        <v>0.24</v>
      </c>
      <c r="K2" s="9" t="n">
        <v>1.39</v>
      </c>
      <c r="L2" s="9" t="n">
        <v>0.24</v>
      </c>
      <c r="M2" s="9" t="n">
        <v>1.39</v>
      </c>
      <c r="N2" s="9" t="n">
        <v>0.07000000000000001</v>
      </c>
      <c r="O2" s="9" t="n">
        <v>1.99</v>
      </c>
      <c r="P2" s="9" t="n">
        <v>0.07000000000000001</v>
      </c>
      <c r="Q2" s="9" t="n">
        <v>1.99</v>
      </c>
      <c r="R2" s="9">
        <f>(H2-I2)-(F2-G2)</f>
        <v/>
      </c>
      <c r="S2" s="9">
        <f>(H2+I2)-(F2+G2)</f>
        <v/>
      </c>
      <c r="T2" s="9" t="n">
        <v>0.96</v>
      </c>
      <c r="U2" s="9" t="n">
        <v>1.59</v>
      </c>
      <c r="V2" s="9" t="n">
        <v>-0.63</v>
      </c>
      <c r="W2" s="9" t="n">
        <v>0.96</v>
      </c>
      <c r="X2" s="9" t="n">
        <v>1.59</v>
      </c>
    </row>
    <row r="3">
      <c r="A3" s="8" t="inlineStr">
        <is>
          <t>2026-08-09</t>
        </is>
      </c>
      <c r="B3" s="8" t="inlineStr">
        <is>
          <t>Dundee United</t>
        </is>
      </c>
      <c r="C3" s="8" t="inlineStr">
        <is>
          <t>Home</t>
        </is>
      </c>
      <c r="D3" s="8" t="n">
        <v>4</v>
      </c>
      <c r="E3" s="8" t="n">
        <v>0</v>
      </c>
      <c r="F3" s="10" t="n">
        <v>1.92</v>
      </c>
      <c r="G3" s="10" t="n">
        <v>0.98</v>
      </c>
      <c r="H3" s="10" t="n">
        <v>2.15</v>
      </c>
      <c r="I3" s="10" t="n">
        <v>0.58</v>
      </c>
      <c r="J3" s="10" t="n">
        <v>0.23</v>
      </c>
      <c r="K3" s="10" t="n">
        <v>-0.4</v>
      </c>
      <c r="L3" s="10" t="n">
        <v>0.23</v>
      </c>
      <c r="M3" s="10" t="n">
        <v>0.49</v>
      </c>
      <c r="N3" s="10" t="n">
        <v>0.26</v>
      </c>
      <c r="O3" s="10" t="n">
        <v>-0.84</v>
      </c>
      <c r="P3" s="10" t="n">
        <v>0.17</v>
      </c>
      <c r="Q3" s="10" t="n">
        <v>0.58</v>
      </c>
      <c r="R3" s="10">
        <f>(H3-I3)-(F3-G3)</f>
        <v/>
      </c>
      <c r="S3" s="10">
        <f>(H3+I3)-(F3+G3)</f>
        <v/>
      </c>
      <c r="T3" s="10" t="n">
        <v>2.39</v>
      </c>
      <c r="U3" s="10" t="n">
        <v>2</v>
      </c>
      <c r="V3" s="10" t="n">
        <v>0.39</v>
      </c>
      <c r="W3" s="10" t="n">
        <v>3.35</v>
      </c>
      <c r="X3" s="10" t="n">
        <v>3.59</v>
      </c>
    </row>
    <row r="4">
      <c r="A4" s="6" t="inlineStr">
        <is>
          <t>2026-08-29</t>
        </is>
      </c>
      <c r="B4" s="6" t="inlineStr">
        <is>
          <t>St Johnstone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1.82</v>
      </c>
      <c r="G4" s="9" t="n">
        <v>1.03</v>
      </c>
      <c r="H4" s="9" t="n">
        <v>2.2</v>
      </c>
      <c r="I4" s="9" t="n">
        <v>1.28</v>
      </c>
      <c r="J4" s="9" t="n">
        <v>0.38</v>
      </c>
      <c r="K4" s="9" t="n">
        <v>0.25</v>
      </c>
      <c r="L4" s="9" t="n">
        <v>0.28</v>
      </c>
      <c r="M4" s="9" t="n">
        <v>0.41</v>
      </c>
      <c r="N4" s="9" t="n">
        <v>0.34</v>
      </c>
      <c r="O4" s="9" t="n">
        <v>0.1</v>
      </c>
      <c r="P4" s="9" t="n">
        <v>0.22</v>
      </c>
      <c r="Q4" s="9" t="n">
        <v>0.42</v>
      </c>
      <c r="R4" s="9">
        <f>(H4-I4)-(F4-G4)</f>
        <v/>
      </c>
      <c r="S4" s="9">
        <f>(H4+I4)-(F4+G4)</f>
        <v/>
      </c>
      <c r="T4" s="9" t="n">
        <v>1.95</v>
      </c>
      <c r="U4" s="9" t="n">
        <v>1.9</v>
      </c>
      <c r="V4" s="9" t="n">
        <v>0.05</v>
      </c>
      <c r="W4" s="9" t="n">
        <v>5.3</v>
      </c>
      <c r="X4" s="9" t="n">
        <v>5.5</v>
      </c>
    </row>
    <row r="5">
      <c r="A5" s="8" t="inlineStr">
        <is>
          <t>2026-09-03</t>
        </is>
      </c>
      <c r="B5" s="8" t="inlineStr">
        <is>
          <t>Hibernian</t>
        </is>
      </c>
      <c r="C5" s="8" t="inlineStr">
        <is>
          <t>Away</t>
        </is>
      </c>
      <c r="D5" s="8" t="n">
        <v>3</v>
      </c>
      <c r="E5" s="8" t="n">
        <v>1</v>
      </c>
      <c r="F5" s="10" t="n">
        <v>1.34</v>
      </c>
      <c r="G5" s="10" t="n">
        <v>1.41</v>
      </c>
      <c r="H5" s="10" t="n">
        <v>0.86</v>
      </c>
      <c r="I5" s="10" t="n">
        <v>1.47</v>
      </c>
      <c r="J5" s="10" t="n">
        <v>-0.48</v>
      </c>
      <c r="K5" s="10" t="n">
        <v>0.06</v>
      </c>
      <c r="L5" s="10" t="n">
        <v>0.09</v>
      </c>
      <c r="M5" s="10" t="n">
        <v>0.33</v>
      </c>
      <c r="N5" s="10" t="n">
        <v>-0.9399999999999999</v>
      </c>
      <c r="O5" s="10" t="n">
        <v>-0.47</v>
      </c>
      <c r="P5" s="10" t="n">
        <v>-0.07000000000000001</v>
      </c>
      <c r="Q5" s="10" t="n">
        <v>0.19</v>
      </c>
      <c r="R5" s="10">
        <f>(H5-I5)-(F5-G5)</f>
        <v/>
      </c>
      <c r="S5" s="10">
        <f>(H5+I5)-(F5+G5)</f>
        <v/>
      </c>
      <c r="T5" s="10" t="n">
        <v>0.93</v>
      </c>
      <c r="U5" s="10" t="n">
        <v>1.33</v>
      </c>
      <c r="V5" s="10" t="n">
        <v>-0.4</v>
      </c>
      <c r="W5" s="10" t="n">
        <v>6.23</v>
      </c>
      <c r="X5" s="10" t="n">
        <v>6.82</v>
      </c>
    </row>
    <row r="6">
      <c r="A6" s="6" t="inlineStr">
        <is>
          <t>2026-09-06</t>
        </is>
      </c>
      <c r="B6" s="6" t="inlineStr">
        <is>
          <t>Dundee</t>
        </is>
      </c>
      <c r="C6" s="6" t="inlineStr">
        <is>
          <t>Home</t>
        </is>
      </c>
      <c r="D6" s="6" t="n">
        <v>2</v>
      </c>
      <c r="E6" s="6" t="n">
        <v>1</v>
      </c>
      <c r="F6" s="9" t="n">
        <v>2.12</v>
      </c>
      <c r="G6" s="9" t="n">
        <v>0.96</v>
      </c>
      <c r="H6" s="9" t="n">
        <v>1.92</v>
      </c>
      <c r="I6" s="9" t="n">
        <v>0.42</v>
      </c>
      <c r="J6" s="9" t="n">
        <v>-0.2</v>
      </c>
      <c r="K6" s="9" t="n">
        <v>-0.54</v>
      </c>
      <c r="L6" s="9" t="n">
        <v>0.03</v>
      </c>
      <c r="M6" s="9" t="n">
        <v>0.15</v>
      </c>
      <c r="N6" s="9" t="n">
        <v>0.02</v>
      </c>
      <c r="O6" s="9" t="n">
        <v>-0.71</v>
      </c>
      <c r="P6" s="9" t="n">
        <v>-0.05</v>
      </c>
      <c r="Q6" s="9" t="n">
        <v>0.01</v>
      </c>
      <c r="R6" s="9">
        <f>(H6-I6)-(F6-G6)</f>
        <v/>
      </c>
      <c r="S6" s="9">
        <f>(H6+I6)-(F6+G6)</f>
        <v/>
      </c>
      <c r="T6" s="9" t="n">
        <v>2.4</v>
      </c>
      <c r="U6" s="9" t="n">
        <v>2.12</v>
      </c>
      <c r="V6" s="9" t="n">
        <v>0.28</v>
      </c>
      <c r="W6" s="9" t="n">
        <v>8.630000000000001</v>
      </c>
      <c r="X6" s="9" t="n">
        <v>8.94</v>
      </c>
    </row>
    <row r="8">
      <c r="A8" s="12" t="inlineStr">
        <is>
          <t>Season summary</t>
        </is>
      </c>
    </row>
    <row r="9">
      <c r="A9" s="15" t="inlineStr">
        <is>
          <t>Matches played</t>
        </is>
      </c>
      <c r="E9" s="16">
        <f>COUNTA(A2:A6)</f>
        <v/>
      </c>
    </row>
    <row r="10">
      <c r="A10" s="15" t="inlineStr">
        <is>
          <t>Total goals for</t>
        </is>
      </c>
      <c r="E10" s="16">
        <f>SUM(D2:D6)</f>
        <v/>
      </c>
    </row>
    <row r="11">
      <c r="A11" s="15" t="inlineStr">
        <is>
          <t>Total goals against</t>
        </is>
      </c>
      <c r="E11" s="16">
        <f>SUM(E2:E6)</f>
        <v/>
      </c>
    </row>
    <row r="12">
      <c r="A12" s="15" t="inlineStr">
        <is>
          <t>Avg xG Delta (For)</t>
        </is>
      </c>
      <c r="E12" s="17">
        <f>AVERAGE(J2:J6)</f>
        <v/>
      </c>
    </row>
    <row r="13">
      <c r="A13" s="15" t="inlineStr">
        <is>
          <t>Median xG Delta (For)</t>
        </is>
      </c>
      <c r="E13" s="17">
        <f>MEDIAN(J2:J6)</f>
        <v/>
      </c>
    </row>
    <row r="14">
      <c r="A14" s="15" t="inlineStr">
        <is>
          <t>Avg xG Delta (Against)</t>
        </is>
      </c>
      <c r="E14" s="17">
        <f>AVERAGE(K2:K6)</f>
        <v/>
      </c>
    </row>
    <row r="15">
      <c r="A15" s="15" t="inlineStr">
        <is>
          <t>Median xG Delta (Against)</t>
        </is>
      </c>
      <c r="E15" s="17">
        <f>MEDIAN(K2:K6)</f>
        <v/>
      </c>
    </row>
    <row r="16">
      <c r="A16" s="15" t="inlineStr">
        <is>
          <t>Avg xG Delta (For, Adj)</t>
        </is>
      </c>
      <c r="E16" s="17">
        <f>AVERAGE(N2:N6)</f>
        <v/>
      </c>
    </row>
    <row r="17">
      <c r="A17" s="15" t="inlineStr">
        <is>
          <t>Median xG Delta (For, Adj)</t>
        </is>
      </c>
      <c r="E17" s="17">
        <f>MEDIAN(N2:N6)</f>
        <v/>
      </c>
    </row>
    <row r="18">
      <c r="A18" s="15" t="inlineStr">
        <is>
          <t>Avg xG Delta (Against, Adj)</t>
        </is>
      </c>
      <c r="E18" s="17">
        <f>AVERAGE(O2:O6)</f>
        <v/>
      </c>
    </row>
    <row r="19">
      <c r="A19" s="15" t="inlineStr">
        <is>
          <t>Median xG Delta (Against, Adj)</t>
        </is>
      </c>
      <c r="E19" s="17">
        <f>MEDIAN(O2:O6)</f>
        <v/>
      </c>
    </row>
    <row r="20">
      <c r="A20" s="15" t="inlineStr">
        <is>
          <t>Avg Supremacy Delta</t>
        </is>
      </c>
      <c r="E20" s="17">
        <f>AVERAGE(R2:R6)</f>
        <v/>
      </c>
    </row>
    <row r="21">
      <c r="A21" s="15" t="inlineStr">
        <is>
          <t>Median Supremacy Delta</t>
        </is>
      </c>
      <c r="E21" s="17">
        <f>MEDIAN(R2:R6)</f>
        <v/>
      </c>
    </row>
    <row r="22">
      <c r="A22" s="15" t="inlineStr">
        <is>
          <t>Avg Total xG Delta</t>
        </is>
      </c>
      <c r="E22" s="17">
        <f>AVERAGE(S2:S6)</f>
        <v/>
      </c>
    </row>
    <row r="23">
      <c r="A23" s="15" t="inlineStr">
        <is>
          <t>Median Total xG Delta</t>
        </is>
      </c>
      <c r="E23" s="17">
        <f>MEDIAN(S2:S6)</f>
        <v/>
      </c>
    </row>
    <row r="24">
      <c r="A24" s="15" t="inlineStr">
        <is>
          <t>Current form (last 6, For)</t>
        </is>
      </c>
      <c r="E24" s="17">
        <f>L6</f>
        <v/>
      </c>
    </row>
    <row r="25">
      <c r="A25" s="15" t="inlineStr">
        <is>
          <t>Current form (last 6, Against)</t>
        </is>
      </c>
      <c r="E25" s="17">
        <f>M6</f>
        <v/>
      </c>
    </row>
    <row r="26">
      <c r="A26" s="15" t="inlineStr">
        <is>
          <t>Current form (last 6, For, Adj)</t>
        </is>
      </c>
      <c r="E26" s="17">
        <f>P6</f>
        <v/>
      </c>
    </row>
    <row r="27">
      <c r="A27" s="15" t="inlineStr">
        <is>
          <t>Current form (last 6, Against, Adj)</t>
        </is>
      </c>
      <c r="E27" s="17">
        <f>Q6</f>
        <v/>
      </c>
    </row>
    <row r="28">
      <c r="A28" s="15" t="inlineStr">
        <is>
          <t>Total xPts (Actual)</t>
        </is>
      </c>
      <c r="E28" s="17">
        <f>SUM(T2:T6)</f>
        <v/>
      </c>
    </row>
    <row r="29">
      <c r="A29" s="15" t="inlineStr">
        <is>
          <t>Total xPts (Market)</t>
        </is>
      </c>
      <c r="E29" s="17">
        <f>SUM(U2:U6)</f>
        <v/>
      </c>
    </row>
    <row r="30">
      <c r="A30" s="15" t="inlineStr">
        <is>
          <t>Avg xPts Delta</t>
        </is>
      </c>
      <c r="E30" s="17">
        <f>AVERAGE(V2:V6)</f>
        <v/>
      </c>
    </row>
    <row r="32">
      <c r="A32" s="12" t="inlineStr">
        <is>
          <t>Home / Away split</t>
        </is>
      </c>
    </row>
    <row r="33">
      <c r="A33" s="18" t="inlineStr">
        <is>
          <t>Venue</t>
        </is>
      </c>
      <c r="B33" s="18" t="inlineStr">
        <is>
          <t>Matches</t>
        </is>
      </c>
      <c r="C33" s="18" t="inlineStr">
        <is>
          <t>GF</t>
        </is>
      </c>
      <c r="D33" s="18" t="inlineStr">
        <is>
          <t>GA</t>
        </is>
      </c>
      <c r="E33" s="18" t="inlineStr">
        <is>
          <t>Avg Supremacy</t>
        </is>
      </c>
      <c r="F33" s="18" t="inlineStr">
        <is>
          <t>Median Supremacy</t>
        </is>
      </c>
      <c r="G33" s="18" t="inlineStr">
        <is>
          <t>Avg Total xG Delta</t>
        </is>
      </c>
      <c r="H33" s="18" t="inlineStr">
        <is>
          <t>Median Total xG Delta</t>
        </is>
      </c>
    </row>
    <row r="34">
      <c r="A34" s="15" t="inlineStr">
        <is>
          <t>Home</t>
        </is>
      </c>
      <c r="B34" s="15" t="n">
        <v>3</v>
      </c>
      <c r="C34" s="15" t="n">
        <v>8</v>
      </c>
      <c r="D34" s="15" t="n">
        <v>2</v>
      </c>
      <c r="E34" s="19" t="n">
        <v>0.36</v>
      </c>
      <c r="F34" s="19" t="n">
        <v>0.34</v>
      </c>
      <c r="G34" s="19" t="n">
        <v>-0.09</v>
      </c>
      <c r="H34" s="19" t="n">
        <v>-0.17</v>
      </c>
    </row>
    <row r="35">
      <c r="A35" s="15" t="inlineStr">
        <is>
          <t>Away</t>
        </is>
      </c>
      <c r="B35" s="15" t="n">
        <v>2</v>
      </c>
      <c r="C35" s="15" t="n">
        <v>4</v>
      </c>
      <c r="D35" s="15" t="n">
        <v>3</v>
      </c>
      <c r="E35" s="19" t="n">
        <v>-0.85</v>
      </c>
      <c r="F35" s="19" t="n">
        <v>-0.85</v>
      </c>
      <c r="G35" s="19" t="n">
        <v>0.6</v>
      </c>
      <c r="H35" s="19" t="n">
        <v>0.6</v>
      </c>
    </row>
    <row r="36">
      <c r="A36" s="20" t="inlineStr">
        <is>
          <t>Total</t>
        </is>
      </c>
      <c r="B36" s="20" t="n">
        <v>5</v>
      </c>
      <c r="C36" s="20" t="n">
        <v>12</v>
      </c>
      <c r="D36" s="20" t="n">
        <v>5</v>
      </c>
      <c r="E36" s="21" t="n">
        <v>-0.12</v>
      </c>
      <c r="F36" s="21" t="n">
        <v>0.13</v>
      </c>
      <c r="G36" s="21" t="n">
        <v>0.19</v>
      </c>
      <c r="H36" s="21" t="n">
        <v>-0.17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6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6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6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  <col width="5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2026-08-02</t>
        </is>
      </c>
      <c r="B2" s="6" t="inlineStr">
        <is>
          <t>Motherwell</t>
        </is>
      </c>
      <c r="C2" s="6" t="inlineStr">
        <is>
          <t>Home</t>
        </is>
      </c>
      <c r="D2" s="6" t="n">
        <v>1</v>
      </c>
      <c r="E2" s="6" t="n">
        <v>2</v>
      </c>
      <c r="F2" s="9" t="n">
        <v>1.52</v>
      </c>
      <c r="G2" s="9" t="n">
        <v>1.25</v>
      </c>
      <c r="H2" s="9" t="n">
        <v>1.94</v>
      </c>
      <c r="I2" s="9" t="n">
        <v>2.19</v>
      </c>
      <c r="J2" s="9" t="n">
        <v>0.42</v>
      </c>
      <c r="K2" s="9" t="n">
        <v>0.9399999999999999</v>
      </c>
      <c r="L2" s="9" t="n">
        <v>0.42</v>
      </c>
      <c r="M2" s="9" t="n">
        <v>0.9399999999999999</v>
      </c>
      <c r="N2" s="9" t="n">
        <v>-0.1</v>
      </c>
      <c r="O2" s="9" t="n">
        <v>0.66</v>
      </c>
      <c r="P2" s="9" t="n">
        <v>-0.1</v>
      </c>
      <c r="Q2" s="9" t="n">
        <v>0.66</v>
      </c>
      <c r="R2" s="9">
        <f>(H2-I2)-(F2-G2)</f>
        <v/>
      </c>
      <c r="S2" s="9">
        <f>(H2+I2)-(F2+G2)</f>
        <v/>
      </c>
      <c r="T2" s="9" t="n">
        <v>1.26</v>
      </c>
      <c r="U2" s="9" t="n">
        <v>1.56</v>
      </c>
      <c r="V2" s="9" t="n">
        <v>-0.3</v>
      </c>
      <c r="W2" s="9" t="n">
        <v>1.26</v>
      </c>
      <c r="X2" s="9" t="n">
        <v>1.56</v>
      </c>
    </row>
    <row r="3">
      <c r="A3" s="8" t="inlineStr">
        <is>
          <t>2026-08-09</t>
        </is>
      </c>
      <c r="B3" s="8" t="inlineStr">
        <is>
          <t>Rangers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1.02</v>
      </c>
      <c r="G3" s="10" t="n">
        <v>2.13</v>
      </c>
      <c r="H3" s="10" t="n">
        <v>1.7</v>
      </c>
      <c r="I3" s="10" t="n">
        <v>2.22</v>
      </c>
      <c r="J3" s="10" t="n">
        <v>0.68</v>
      </c>
      <c r="K3" s="10" t="n">
        <v>0.09</v>
      </c>
      <c r="L3" s="10" t="n">
        <v>0.55</v>
      </c>
      <c r="M3" s="10" t="n">
        <v>0.52</v>
      </c>
      <c r="N3" s="10" t="n">
        <v>0.6899999999999999</v>
      </c>
      <c r="O3" s="10" t="n">
        <v>-0.12</v>
      </c>
      <c r="P3" s="10" t="n">
        <v>0.29</v>
      </c>
      <c r="Q3" s="10" t="n">
        <v>0.27</v>
      </c>
      <c r="R3" s="10">
        <f>(H3-I3)-(F3-G3)</f>
        <v/>
      </c>
      <c r="S3" s="10">
        <f>(H3+I3)-(F3+G3)</f>
        <v/>
      </c>
      <c r="T3" s="10" t="n">
        <v>1.1</v>
      </c>
      <c r="U3" s="10" t="n">
        <v>0.72</v>
      </c>
      <c r="V3" s="10" t="n">
        <v>0.38</v>
      </c>
      <c r="W3" s="10" t="n">
        <v>2.35</v>
      </c>
      <c r="X3" s="10" t="n">
        <v>2.28</v>
      </c>
    </row>
    <row r="4">
      <c r="A4" s="6" t="inlineStr">
        <is>
          <t>2026-08-30</t>
        </is>
      </c>
      <c r="B4" s="6" t="inlineStr">
        <is>
          <t>Dundee</t>
        </is>
      </c>
      <c r="C4" s="6" t="inlineStr">
        <is>
          <t>Away</t>
        </is>
      </c>
      <c r="D4" s="6" t="n">
        <v>2</v>
      </c>
      <c r="E4" s="6" t="n">
        <v>1</v>
      </c>
      <c r="F4" s="9" t="n">
        <v>1.51</v>
      </c>
      <c r="G4" s="9" t="n">
        <v>1.22</v>
      </c>
      <c r="H4" s="9" t="n">
        <v>2.33</v>
      </c>
      <c r="I4" s="9" t="n">
        <v>1.01</v>
      </c>
      <c r="J4" s="9" t="n">
        <v>0.82</v>
      </c>
      <c r="K4" s="9" t="n">
        <v>-0.21</v>
      </c>
      <c r="L4" s="9" t="n">
        <v>0.64</v>
      </c>
      <c r="M4" s="9" t="n">
        <v>0.28</v>
      </c>
      <c r="N4" s="9" t="n">
        <v>1.25</v>
      </c>
      <c r="O4" s="9" t="n">
        <v>-0.31</v>
      </c>
      <c r="P4" s="9" t="n">
        <v>0.61</v>
      </c>
      <c r="Q4" s="9" t="n">
        <v>0.08</v>
      </c>
      <c r="R4" s="9">
        <f>(H4-I4)-(F4-G4)</f>
        <v/>
      </c>
      <c r="S4" s="9">
        <f>(H4+I4)-(F4+G4)</f>
        <v/>
      </c>
      <c r="T4" s="9" t="n">
        <v>2.19</v>
      </c>
      <c r="U4" s="9" t="n">
        <v>1.57</v>
      </c>
      <c r="V4" s="9" t="n">
        <v>0.61</v>
      </c>
      <c r="W4" s="9" t="n">
        <v>4.54</v>
      </c>
      <c r="X4" s="9" t="n">
        <v>3.85</v>
      </c>
    </row>
    <row r="5">
      <c r="A5" s="8" t="inlineStr">
        <is>
          <t>2026-09-03</t>
        </is>
      </c>
      <c r="B5" s="8" t="inlineStr">
        <is>
          <t>Heart of Midlothian</t>
        </is>
      </c>
      <c r="C5" s="8" t="inlineStr">
        <is>
          <t>Home</t>
        </is>
      </c>
      <c r="D5" s="8" t="n">
        <v>1</v>
      </c>
      <c r="E5" s="8" t="n">
        <v>3</v>
      </c>
      <c r="F5" s="10" t="n">
        <v>1.41</v>
      </c>
      <c r="G5" s="10" t="n">
        <v>1.34</v>
      </c>
      <c r="H5" s="10" t="n">
        <v>1.47</v>
      </c>
      <c r="I5" s="10" t="n">
        <v>0.86</v>
      </c>
      <c r="J5" s="10" t="n">
        <v>0.06</v>
      </c>
      <c r="K5" s="10" t="n">
        <v>-0.48</v>
      </c>
      <c r="L5" s="10" t="n">
        <v>0.5</v>
      </c>
      <c r="M5" s="10" t="n">
        <v>0.09</v>
      </c>
      <c r="N5" s="10" t="n">
        <v>-0.11</v>
      </c>
      <c r="O5" s="10" t="n">
        <v>-0.65</v>
      </c>
      <c r="P5" s="10" t="n">
        <v>0.43</v>
      </c>
      <c r="Q5" s="10" t="n">
        <v>-0.1</v>
      </c>
      <c r="R5" s="10">
        <f>(H5-I5)-(F5-G5)</f>
        <v/>
      </c>
      <c r="S5" s="10">
        <f>(H5+I5)-(F5+G5)</f>
        <v/>
      </c>
      <c r="T5" s="10" t="n">
        <v>1.81</v>
      </c>
      <c r="U5" s="10" t="n">
        <v>1.42</v>
      </c>
      <c r="V5" s="10" t="n">
        <v>0.39</v>
      </c>
      <c r="W5" s="10" t="n">
        <v>6.35</v>
      </c>
      <c r="X5" s="10" t="n">
        <v>5.27</v>
      </c>
    </row>
    <row r="6">
      <c r="A6" s="6" t="inlineStr">
        <is>
          <t>2026-09-06</t>
        </is>
      </c>
      <c r="B6" s="6" t="inlineStr">
        <is>
          <t>St Johnstone</t>
        </is>
      </c>
      <c r="C6" s="6" t="inlineStr">
        <is>
          <t>Away</t>
        </is>
      </c>
      <c r="D6" s="6" t="n">
        <v>1</v>
      </c>
      <c r="E6" s="6" t="n">
        <v>2</v>
      </c>
      <c r="F6" s="9" t="n">
        <v>1.4</v>
      </c>
      <c r="G6" s="9" t="n">
        <v>1.31</v>
      </c>
      <c r="H6" s="9" t="n">
        <v>1.61</v>
      </c>
      <c r="I6" s="9" t="n">
        <v>2.32</v>
      </c>
      <c r="J6" s="9" t="n">
        <v>0.21</v>
      </c>
      <c r="K6" s="9" t="n">
        <v>1.01</v>
      </c>
      <c r="L6" s="9" t="n">
        <v>0.44</v>
      </c>
      <c r="M6" s="9" t="n">
        <v>0.27</v>
      </c>
      <c r="N6" s="9" t="n">
        <v>0.13</v>
      </c>
      <c r="O6" s="9" t="n">
        <v>1.01</v>
      </c>
      <c r="P6" s="9" t="n">
        <v>0.37</v>
      </c>
      <c r="Q6" s="9" t="n">
        <v>0.12</v>
      </c>
      <c r="R6" s="9">
        <f>(H6-I6)-(F6-G6)</f>
        <v/>
      </c>
      <c r="S6" s="9">
        <f>(H6+I6)-(F6+G6)</f>
        <v/>
      </c>
      <c r="T6" s="9" t="n">
        <v>0.99</v>
      </c>
      <c r="U6" s="9" t="n">
        <v>1.43</v>
      </c>
      <c r="V6" s="9" t="n">
        <v>-0.44</v>
      </c>
      <c r="W6" s="9" t="n">
        <v>7.34</v>
      </c>
      <c r="X6" s="9" t="n">
        <v>6.7</v>
      </c>
    </row>
    <row r="8">
      <c r="A8" s="12" t="inlineStr">
        <is>
          <t>Season summary</t>
        </is>
      </c>
    </row>
    <row r="9">
      <c r="A9" s="15" t="inlineStr">
        <is>
          <t>Matches played</t>
        </is>
      </c>
      <c r="E9" s="16">
        <f>COUNTA(A2:A6)</f>
        <v/>
      </c>
    </row>
    <row r="10">
      <c r="A10" s="15" t="inlineStr">
        <is>
          <t>Total goals for</t>
        </is>
      </c>
      <c r="E10" s="16">
        <f>SUM(D2:D6)</f>
        <v/>
      </c>
    </row>
    <row r="11">
      <c r="A11" s="15" t="inlineStr">
        <is>
          <t>Total goals against</t>
        </is>
      </c>
      <c r="E11" s="16">
        <f>SUM(E2:E6)</f>
        <v/>
      </c>
    </row>
    <row r="12">
      <c r="A12" s="15" t="inlineStr">
        <is>
          <t>Avg xG Delta (For)</t>
        </is>
      </c>
      <c r="E12" s="17">
        <f>AVERAGE(J2:J6)</f>
        <v/>
      </c>
    </row>
    <row r="13">
      <c r="A13" s="15" t="inlineStr">
        <is>
          <t>Median xG Delta (For)</t>
        </is>
      </c>
      <c r="E13" s="17">
        <f>MEDIAN(J2:J6)</f>
        <v/>
      </c>
    </row>
    <row r="14">
      <c r="A14" s="15" t="inlineStr">
        <is>
          <t>Avg xG Delta (Against)</t>
        </is>
      </c>
      <c r="E14" s="17">
        <f>AVERAGE(K2:K6)</f>
        <v/>
      </c>
    </row>
    <row r="15">
      <c r="A15" s="15" t="inlineStr">
        <is>
          <t>Median xG Delta (Against)</t>
        </is>
      </c>
      <c r="E15" s="17">
        <f>MEDIAN(K2:K6)</f>
        <v/>
      </c>
    </row>
    <row r="16">
      <c r="A16" s="15" t="inlineStr">
        <is>
          <t>Avg xG Delta (For, Adj)</t>
        </is>
      </c>
      <c r="E16" s="17">
        <f>AVERAGE(N2:N6)</f>
        <v/>
      </c>
    </row>
    <row r="17">
      <c r="A17" s="15" t="inlineStr">
        <is>
          <t>Median xG Delta (For, Adj)</t>
        </is>
      </c>
      <c r="E17" s="17">
        <f>MEDIAN(N2:N6)</f>
        <v/>
      </c>
    </row>
    <row r="18">
      <c r="A18" s="15" t="inlineStr">
        <is>
          <t>Avg xG Delta (Against, Adj)</t>
        </is>
      </c>
      <c r="E18" s="17">
        <f>AVERAGE(O2:O6)</f>
        <v/>
      </c>
    </row>
    <row r="19">
      <c r="A19" s="15" t="inlineStr">
        <is>
          <t>Median xG Delta (Against, Adj)</t>
        </is>
      </c>
      <c r="E19" s="17">
        <f>MEDIAN(O2:O6)</f>
        <v/>
      </c>
    </row>
    <row r="20">
      <c r="A20" s="15" t="inlineStr">
        <is>
          <t>Avg Supremacy Delta</t>
        </is>
      </c>
      <c r="E20" s="17">
        <f>AVERAGE(R2:R6)</f>
        <v/>
      </c>
    </row>
    <row r="21">
      <c r="A21" s="15" t="inlineStr">
        <is>
          <t>Median Supremacy Delta</t>
        </is>
      </c>
      <c r="E21" s="17">
        <f>MEDIAN(R2:R6)</f>
        <v/>
      </c>
    </row>
    <row r="22">
      <c r="A22" s="15" t="inlineStr">
        <is>
          <t>Avg Total xG Delta</t>
        </is>
      </c>
      <c r="E22" s="17">
        <f>AVERAGE(S2:S6)</f>
        <v/>
      </c>
    </row>
    <row r="23">
      <c r="A23" s="15" t="inlineStr">
        <is>
          <t>Median Total xG Delta</t>
        </is>
      </c>
      <c r="E23" s="17">
        <f>MEDIAN(S2:S6)</f>
        <v/>
      </c>
    </row>
    <row r="24">
      <c r="A24" s="15" t="inlineStr">
        <is>
          <t>Current form (last 6, For)</t>
        </is>
      </c>
      <c r="E24" s="17">
        <f>L6</f>
        <v/>
      </c>
    </row>
    <row r="25">
      <c r="A25" s="15" t="inlineStr">
        <is>
          <t>Current form (last 6, Against)</t>
        </is>
      </c>
      <c r="E25" s="17">
        <f>M6</f>
        <v/>
      </c>
    </row>
    <row r="26">
      <c r="A26" s="15" t="inlineStr">
        <is>
          <t>Current form (last 6, For, Adj)</t>
        </is>
      </c>
      <c r="E26" s="17">
        <f>P6</f>
        <v/>
      </c>
    </row>
    <row r="27">
      <c r="A27" s="15" t="inlineStr">
        <is>
          <t>Current form (last 6, Against, Adj)</t>
        </is>
      </c>
      <c r="E27" s="17">
        <f>Q6</f>
        <v/>
      </c>
    </row>
    <row r="28">
      <c r="A28" s="15" t="inlineStr">
        <is>
          <t>Total xPts (Actual)</t>
        </is>
      </c>
      <c r="E28" s="17">
        <f>SUM(T2:T6)</f>
        <v/>
      </c>
    </row>
    <row r="29">
      <c r="A29" s="15" t="inlineStr">
        <is>
          <t>Total xPts (Market)</t>
        </is>
      </c>
      <c r="E29" s="17">
        <f>SUM(U2:U6)</f>
        <v/>
      </c>
    </row>
    <row r="30">
      <c r="A30" s="15" t="inlineStr">
        <is>
          <t>Avg xPts Delta</t>
        </is>
      </c>
      <c r="E30" s="17">
        <f>AVERAGE(V2:V6)</f>
        <v/>
      </c>
    </row>
    <row r="32">
      <c r="A32" s="12" t="inlineStr">
        <is>
          <t>Home / Away split</t>
        </is>
      </c>
    </row>
    <row r="33">
      <c r="A33" s="18" t="inlineStr">
        <is>
          <t>Venue</t>
        </is>
      </c>
      <c r="B33" s="18" t="inlineStr">
        <is>
          <t>Matches</t>
        </is>
      </c>
      <c r="C33" s="18" t="inlineStr">
        <is>
          <t>GF</t>
        </is>
      </c>
      <c r="D33" s="18" t="inlineStr">
        <is>
          <t>GA</t>
        </is>
      </c>
      <c r="E33" s="18" t="inlineStr">
        <is>
          <t>Avg Supremacy</t>
        </is>
      </c>
      <c r="F33" s="18" t="inlineStr">
        <is>
          <t>Median Supremacy</t>
        </is>
      </c>
      <c r="G33" s="18" t="inlineStr">
        <is>
          <t>Avg Total xG Delta</t>
        </is>
      </c>
      <c r="H33" s="18" t="inlineStr">
        <is>
          <t>Median Total xG Delta</t>
        </is>
      </c>
    </row>
    <row r="34">
      <c r="A34" s="15" t="inlineStr">
        <is>
          <t>Home</t>
        </is>
      </c>
      <c r="B34" s="15" t="n">
        <v>2</v>
      </c>
      <c r="C34" s="15" t="n">
        <v>2</v>
      </c>
      <c r="D34" s="15" t="n">
        <v>5</v>
      </c>
      <c r="E34" s="19" t="n">
        <v>0.02</v>
      </c>
      <c r="F34" s="19" t="n">
        <v>0.02</v>
      </c>
      <c r="G34" s="19" t="n">
        <v>0.48</v>
      </c>
      <c r="H34" s="19" t="n">
        <v>0.48</v>
      </c>
    </row>
    <row r="35">
      <c r="A35" s="15" t="inlineStr">
        <is>
          <t>Away</t>
        </is>
      </c>
      <c r="B35" s="15" t="n">
        <v>3</v>
      </c>
      <c r="C35" s="15" t="n">
        <v>5</v>
      </c>
      <c r="D35" s="15" t="n">
        <v>4</v>
      </c>
      <c r="E35" s="19" t="n">
        <v>0.27</v>
      </c>
      <c r="F35" s="19" t="n">
        <v>0.59</v>
      </c>
      <c r="G35" s="19" t="n">
        <v>0.87</v>
      </c>
      <c r="H35" s="19" t="n">
        <v>0.77</v>
      </c>
    </row>
    <row r="36">
      <c r="A36" s="20" t="inlineStr">
        <is>
          <t>Total</t>
        </is>
      </c>
      <c r="B36" s="20" t="n">
        <v>5</v>
      </c>
      <c r="C36" s="20" t="n">
        <v>7</v>
      </c>
      <c r="D36" s="20" t="n">
        <v>9</v>
      </c>
      <c r="E36" s="21" t="n">
        <v>0.17</v>
      </c>
      <c r="F36" s="21" t="n">
        <v>0.55</v>
      </c>
      <c r="G36" s="21" t="n">
        <v>0.71</v>
      </c>
      <c r="H36" s="21" t="n">
        <v>0.77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6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6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6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2026-08-02</t>
        </is>
      </c>
      <c r="B2" s="6" t="inlineStr">
        <is>
          <t>St Johnstone</t>
        </is>
      </c>
      <c r="C2" s="6" t="inlineStr">
        <is>
          <t>Away</t>
        </is>
      </c>
      <c r="D2" s="6" t="n">
        <v>3</v>
      </c>
      <c r="E2" s="6" t="n">
        <v>4</v>
      </c>
      <c r="F2" s="9" t="n">
        <v>1.24</v>
      </c>
      <c r="G2" s="9" t="n">
        <v>1.55</v>
      </c>
      <c r="H2" s="9" t="n">
        <v>0.92</v>
      </c>
      <c r="I2" s="9" t="n">
        <v>2.03</v>
      </c>
      <c r="J2" s="9" t="n">
        <v>-0.32</v>
      </c>
      <c r="K2" s="9" t="n">
        <v>0.48</v>
      </c>
      <c r="L2" s="9" t="n">
        <v>-0.32</v>
      </c>
      <c r="M2" s="9" t="n">
        <v>0.48</v>
      </c>
      <c r="N2" s="9" t="n">
        <v>-0.5</v>
      </c>
      <c r="O2" s="9" t="n">
        <v>0.37</v>
      </c>
      <c r="P2" s="9" t="n">
        <v>-0.5</v>
      </c>
      <c r="Q2" s="9" t="n">
        <v>0.37</v>
      </c>
      <c r="R2" s="9">
        <f>(H2-I2)-(F2-G2)</f>
        <v/>
      </c>
      <c r="S2" s="9">
        <f>(H2+I2)-(F2+G2)</f>
        <v/>
      </c>
      <c r="T2" s="9" t="n">
        <v>0.6899999999999999</v>
      </c>
      <c r="U2" s="9" t="n">
        <v>1.16</v>
      </c>
      <c r="V2" s="9" t="n">
        <v>-0.47</v>
      </c>
      <c r="W2" s="9" t="n">
        <v>0.6899999999999999</v>
      </c>
      <c r="X2" s="9" t="n">
        <v>1.16</v>
      </c>
    </row>
    <row r="3">
      <c r="A3" s="8" t="inlineStr">
        <is>
          <t>2026-08-09</t>
        </is>
      </c>
      <c r="B3" s="8" t="inlineStr">
        <is>
          <t>Celtic</t>
        </is>
      </c>
      <c r="C3" s="8" t="inlineStr">
        <is>
          <t>Home</t>
        </is>
      </c>
      <c r="D3" s="8" t="n">
        <v>1</v>
      </c>
      <c r="E3" s="8" t="n">
        <v>5</v>
      </c>
      <c r="F3" s="10" t="n">
        <v>0.98</v>
      </c>
      <c r="G3" s="10" t="n">
        <v>2.4</v>
      </c>
      <c r="H3" s="10" t="n">
        <v>0.98</v>
      </c>
      <c r="I3" s="10" t="n">
        <v>5.44</v>
      </c>
      <c r="J3" s="10" t="n">
        <v>0</v>
      </c>
      <c r="K3" s="10" t="n">
        <v>3.04</v>
      </c>
      <c r="L3" s="10" t="n">
        <v>-0.16</v>
      </c>
      <c r="M3" s="10" t="n">
        <v>1.76</v>
      </c>
      <c r="N3" s="10" t="n">
        <v>0.03</v>
      </c>
      <c r="O3" s="10" t="n">
        <v>2.94</v>
      </c>
      <c r="P3" s="10" t="n">
        <v>-0.24</v>
      </c>
      <c r="Q3" s="10" t="n">
        <v>1.65</v>
      </c>
      <c r="R3" s="10">
        <f>(H3-I3)-(F3-G3)</f>
        <v/>
      </c>
      <c r="S3" s="10">
        <f>(H3+I3)-(F3+G3)</f>
        <v/>
      </c>
      <c r="T3" s="10" t="n">
        <v>0.08</v>
      </c>
      <c r="U3" s="10" t="n">
        <v>0.59</v>
      </c>
      <c r="V3" s="10" t="n">
        <v>-0.51</v>
      </c>
      <c r="W3" s="10" t="n">
        <v>0.78</v>
      </c>
      <c r="X3" s="10" t="n">
        <v>1.75</v>
      </c>
    </row>
    <row r="4">
      <c r="A4" s="6" t="inlineStr">
        <is>
          <t>2026-08-29</t>
        </is>
      </c>
      <c r="B4" s="6" t="inlineStr">
        <is>
          <t>Dundee United</t>
        </is>
      </c>
      <c r="C4" s="6" t="inlineStr">
        <is>
          <t>Home</t>
        </is>
      </c>
      <c r="D4" s="6" t="n">
        <v>0</v>
      </c>
      <c r="E4" s="6" t="n">
        <v>4</v>
      </c>
      <c r="F4" s="9" t="n">
        <v>1.46</v>
      </c>
      <c r="G4" s="9" t="n">
        <v>1.35</v>
      </c>
      <c r="H4" s="9" t="n">
        <v>1.13</v>
      </c>
      <c r="I4" s="9" t="n">
        <v>3.42</v>
      </c>
      <c r="J4" s="9" t="n">
        <v>-0.33</v>
      </c>
      <c r="K4" s="9" t="n">
        <v>2.07</v>
      </c>
      <c r="L4" s="9" t="n">
        <v>-0.22</v>
      </c>
      <c r="M4" s="9" t="n">
        <v>1.86</v>
      </c>
      <c r="N4" s="9" t="n">
        <v>-0.41</v>
      </c>
      <c r="O4" s="9" t="n">
        <v>2.12</v>
      </c>
      <c r="P4" s="9" t="n">
        <v>-0.3</v>
      </c>
      <c r="Q4" s="9" t="n">
        <v>1.81</v>
      </c>
      <c r="R4" s="9">
        <f>(H4-I4)-(F4-G4)</f>
        <v/>
      </c>
      <c r="S4" s="9">
        <f>(H4+I4)-(F4+G4)</f>
        <v/>
      </c>
      <c r="T4" s="9" t="n">
        <v>0.37</v>
      </c>
      <c r="U4" s="9" t="n">
        <v>1.45</v>
      </c>
      <c r="V4" s="9" t="n">
        <v>-1.08</v>
      </c>
      <c r="W4" s="9" t="n">
        <v>1.14</v>
      </c>
      <c r="X4" s="9" t="n">
        <v>3.2</v>
      </c>
    </row>
    <row r="5">
      <c r="A5" s="8" t="inlineStr">
        <is>
          <t>2026-09-02</t>
        </is>
      </c>
      <c r="B5" s="8" t="inlineStr">
        <is>
          <t>St Mirren</t>
        </is>
      </c>
      <c r="C5" s="8" t="inlineStr">
        <is>
          <t>Home</t>
        </is>
      </c>
      <c r="D5" s="8" t="n">
        <v>0</v>
      </c>
      <c r="E5" s="8" t="n">
        <v>1</v>
      </c>
      <c r="F5" s="10" t="n">
        <v>1.33</v>
      </c>
      <c r="G5" s="10" t="n">
        <v>1.44</v>
      </c>
      <c r="H5" s="10" t="n">
        <v>0.41</v>
      </c>
      <c r="I5" s="10" t="n">
        <v>0.85</v>
      </c>
      <c r="J5" s="10" t="n">
        <v>-0.92</v>
      </c>
      <c r="K5" s="10" t="n">
        <v>-0.59</v>
      </c>
      <c r="L5" s="10" t="n">
        <v>-0.39</v>
      </c>
      <c r="M5" s="10" t="n">
        <v>1.25</v>
      </c>
      <c r="N5" s="10" t="n">
        <v>-1.11</v>
      </c>
      <c r="O5" s="10" t="n">
        <v>-1.26</v>
      </c>
      <c r="P5" s="10" t="n">
        <v>-0.5</v>
      </c>
      <c r="Q5" s="10" t="n">
        <v>1.04</v>
      </c>
      <c r="R5" s="10">
        <f>(H5-I5)-(F5-G5)</f>
        <v/>
      </c>
      <c r="S5" s="10">
        <f>(H5+I5)-(F5+G5)</f>
        <v/>
      </c>
      <c r="T5" s="10" t="n">
        <v>0.9</v>
      </c>
      <c r="U5" s="10" t="n">
        <v>1.3</v>
      </c>
      <c r="V5" s="10" t="n">
        <v>-0.4</v>
      </c>
      <c r="W5" s="10" t="n">
        <v>2.04</v>
      </c>
      <c r="X5" s="10" t="n">
        <v>4.5</v>
      </c>
    </row>
    <row r="6">
      <c r="A6" s="6" t="inlineStr">
        <is>
          <t>2026-09-05</t>
        </is>
      </c>
      <c r="B6" s="6" t="inlineStr">
        <is>
          <t>Aberdeen</t>
        </is>
      </c>
      <c r="C6" s="6" t="inlineStr">
        <is>
          <t>Away</t>
        </is>
      </c>
      <c r="D6" s="6" t="n">
        <v>0</v>
      </c>
      <c r="E6" s="6" t="n">
        <v>0</v>
      </c>
      <c r="F6" s="9" t="n">
        <v>1.08</v>
      </c>
      <c r="G6" s="9" t="n">
        <v>1.88</v>
      </c>
      <c r="H6" s="9" t="n">
        <v>1.11</v>
      </c>
      <c r="I6" s="9" t="n">
        <v>1.08</v>
      </c>
      <c r="J6" s="9" t="n">
        <v>0.03</v>
      </c>
      <c r="K6" s="9" t="n">
        <v>-0.8</v>
      </c>
      <c r="L6" s="9" t="n">
        <v>-0.31</v>
      </c>
      <c r="M6" s="9" t="n">
        <v>0.84</v>
      </c>
      <c r="N6" s="9" t="n">
        <v>-0.19</v>
      </c>
      <c r="O6" s="9" t="n">
        <v>-0.75</v>
      </c>
      <c r="P6" s="9" t="n">
        <v>-0.44</v>
      </c>
      <c r="Q6" s="9" t="n">
        <v>0.6899999999999999</v>
      </c>
      <c r="R6" s="9">
        <f>(H6-I6)-(F6-G6)</f>
        <v/>
      </c>
      <c r="S6" s="9">
        <f>(H6+I6)-(F6+G6)</f>
        <v/>
      </c>
      <c r="T6" s="9" t="n">
        <v>1.38</v>
      </c>
      <c r="U6" s="9" t="n">
        <v>0.87</v>
      </c>
      <c r="V6" s="9" t="n">
        <v>0.51</v>
      </c>
      <c r="W6" s="9" t="n">
        <v>3.42</v>
      </c>
      <c r="X6" s="9" t="n">
        <v>5.37</v>
      </c>
    </row>
    <row r="8">
      <c r="A8" s="12" t="inlineStr">
        <is>
          <t>Season summary</t>
        </is>
      </c>
    </row>
    <row r="9">
      <c r="A9" s="15" t="inlineStr">
        <is>
          <t>Matches played</t>
        </is>
      </c>
      <c r="E9" s="16">
        <f>COUNTA(A2:A6)</f>
        <v/>
      </c>
    </row>
    <row r="10">
      <c r="A10" s="15" t="inlineStr">
        <is>
          <t>Total goals for</t>
        </is>
      </c>
      <c r="E10" s="16">
        <f>SUM(D2:D6)</f>
        <v/>
      </c>
    </row>
    <row r="11">
      <c r="A11" s="15" t="inlineStr">
        <is>
          <t>Total goals against</t>
        </is>
      </c>
      <c r="E11" s="16">
        <f>SUM(E2:E6)</f>
        <v/>
      </c>
    </row>
    <row r="12">
      <c r="A12" s="15" t="inlineStr">
        <is>
          <t>Avg xG Delta (For)</t>
        </is>
      </c>
      <c r="E12" s="17">
        <f>AVERAGE(J2:J6)</f>
        <v/>
      </c>
    </row>
    <row r="13">
      <c r="A13" s="15" t="inlineStr">
        <is>
          <t>Median xG Delta (For)</t>
        </is>
      </c>
      <c r="E13" s="17">
        <f>MEDIAN(J2:J6)</f>
        <v/>
      </c>
    </row>
    <row r="14">
      <c r="A14" s="15" t="inlineStr">
        <is>
          <t>Avg xG Delta (Against)</t>
        </is>
      </c>
      <c r="E14" s="17">
        <f>AVERAGE(K2:K6)</f>
        <v/>
      </c>
    </row>
    <row r="15">
      <c r="A15" s="15" t="inlineStr">
        <is>
          <t>Median xG Delta (Against)</t>
        </is>
      </c>
      <c r="E15" s="17">
        <f>MEDIAN(K2:K6)</f>
        <v/>
      </c>
    </row>
    <row r="16">
      <c r="A16" s="15" t="inlineStr">
        <is>
          <t>Avg xG Delta (For, Adj)</t>
        </is>
      </c>
      <c r="E16" s="17">
        <f>AVERAGE(N2:N6)</f>
        <v/>
      </c>
    </row>
    <row r="17">
      <c r="A17" s="15" t="inlineStr">
        <is>
          <t>Median xG Delta (For, Adj)</t>
        </is>
      </c>
      <c r="E17" s="17">
        <f>MEDIAN(N2:N6)</f>
        <v/>
      </c>
    </row>
    <row r="18">
      <c r="A18" s="15" t="inlineStr">
        <is>
          <t>Avg xG Delta (Against, Adj)</t>
        </is>
      </c>
      <c r="E18" s="17">
        <f>AVERAGE(O2:O6)</f>
        <v/>
      </c>
    </row>
    <row r="19">
      <c r="A19" s="15" t="inlineStr">
        <is>
          <t>Median xG Delta (Against, Adj)</t>
        </is>
      </c>
      <c r="E19" s="17">
        <f>MEDIAN(O2:O6)</f>
        <v/>
      </c>
    </row>
    <row r="20">
      <c r="A20" s="15" t="inlineStr">
        <is>
          <t>Avg Supremacy Delta</t>
        </is>
      </c>
      <c r="E20" s="17">
        <f>AVERAGE(R2:R6)</f>
        <v/>
      </c>
    </row>
    <row r="21">
      <c r="A21" s="15" t="inlineStr">
        <is>
          <t>Median Supremacy Delta</t>
        </is>
      </c>
      <c r="E21" s="17">
        <f>MEDIAN(R2:R6)</f>
        <v/>
      </c>
    </row>
    <row r="22">
      <c r="A22" s="15" t="inlineStr">
        <is>
          <t>Avg Total xG Delta</t>
        </is>
      </c>
      <c r="E22" s="17">
        <f>AVERAGE(S2:S6)</f>
        <v/>
      </c>
    </row>
    <row r="23">
      <c r="A23" s="15" t="inlineStr">
        <is>
          <t>Median Total xG Delta</t>
        </is>
      </c>
      <c r="E23" s="17">
        <f>MEDIAN(S2:S6)</f>
        <v/>
      </c>
    </row>
    <row r="24">
      <c r="A24" s="15" t="inlineStr">
        <is>
          <t>Current form (last 6, For)</t>
        </is>
      </c>
      <c r="E24" s="17">
        <f>L6</f>
        <v/>
      </c>
    </row>
    <row r="25">
      <c r="A25" s="15" t="inlineStr">
        <is>
          <t>Current form (last 6, Against)</t>
        </is>
      </c>
      <c r="E25" s="17">
        <f>M6</f>
        <v/>
      </c>
    </row>
    <row r="26">
      <c r="A26" s="15" t="inlineStr">
        <is>
          <t>Current form (last 6, For, Adj)</t>
        </is>
      </c>
      <c r="E26" s="17">
        <f>P6</f>
        <v/>
      </c>
    </row>
    <row r="27">
      <c r="A27" s="15" t="inlineStr">
        <is>
          <t>Current form (last 6, Against, Adj)</t>
        </is>
      </c>
      <c r="E27" s="17">
        <f>Q6</f>
        <v/>
      </c>
    </row>
    <row r="28">
      <c r="A28" s="15" t="inlineStr">
        <is>
          <t>Total xPts (Actual)</t>
        </is>
      </c>
      <c r="E28" s="17">
        <f>SUM(T2:T6)</f>
        <v/>
      </c>
    </row>
    <row r="29">
      <c r="A29" s="15" t="inlineStr">
        <is>
          <t>Total xPts (Market)</t>
        </is>
      </c>
      <c r="E29" s="17">
        <f>SUM(U2:U6)</f>
        <v/>
      </c>
    </row>
    <row r="30">
      <c r="A30" s="15" t="inlineStr">
        <is>
          <t>Avg xPts Delta</t>
        </is>
      </c>
      <c r="E30" s="17">
        <f>AVERAGE(V2:V6)</f>
        <v/>
      </c>
    </row>
    <row r="32">
      <c r="A32" s="12" t="inlineStr">
        <is>
          <t>Home / Away split</t>
        </is>
      </c>
    </row>
    <row r="33">
      <c r="A33" s="18" t="inlineStr">
        <is>
          <t>Venue</t>
        </is>
      </c>
      <c r="B33" s="18" t="inlineStr">
        <is>
          <t>Matches</t>
        </is>
      </c>
      <c r="C33" s="18" t="inlineStr">
        <is>
          <t>GF</t>
        </is>
      </c>
      <c r="D33" s="18" t="inlineStr">
        <is>
          <t>GA</t>
        </is>
      </c>
      <c r="E33" s="18" t="inlineStr">
        <is>
          <t>Avg Supremacy</t>
        </is>
      </c>
      <c r="F33" s="18" t="inlineStr">
        <is>
          <t>Median Supremacy</t>
        </is>
      </c>
      <c r="G33" s="18" t="inlineStr">
        <is>
          <t>Avg Total xG Delta</t>
        </is>
      </c>
      <c r="H33" s="18" t="inlineStr">
        <is>
          <t>Median Total xG Delta</t>
        </is>
      </c>
    </row>
    <row r="34">
      <c r="A34" s="15" t="inlineStr">
        <is>
          <t>Home</t>
        </is>
      </c>
      <c r="B34" s="15" t="n">
        <v>3</v>
      </c>
      <c r="C34" s="15" t="n">
        <v>1</v>
      </c>
      <c r="D34" s="15" t="n">
        <v>10</v>
      </c>
      <c r="E34" s="19" t="n">
        <v>-1.92</v>
      </c>
      <c r="F34" s="19" t="n">
        <v>-2.4</v>
      </c>
      <c r="G34" s="19" t="n">
        <v>1.09</v>
      </c>
      <c r="H34" s="19" t="n">
        <v>1.74</v>
      </c>
    </row>
    <row r="35">
      <c r="A35" s="15" t="inlineStr">
        <is>
          <t>Away</t>
        </is>
      </c>
      <c r="B35" s="15" t="n">
        <v>2</v>
      </c>
      <c r="C35" s="15" t="n">
        <v>3</v>
      </c>
      <c r="D35" s="15" t="n">
        <v>4</v>
      </c>
      <c r="E35" s="19" t="n">
        <v>0.01</v>
      </c>
      <c r="F35" s="19" t="n">
        <v>0.01</v>
      </c>
      <c r="G35" s="19" t="n">
        <v>-0.3</v>
      </c>
      <c r="H35" s="19" t="n">
        <v>-0.3</v>
      </c>
    </row>
    <row r="36">
      <c r="A36" s="20" t="inlineStr">
        <is>
          <t>Total</t>
        </is>
      </c>
      <c r="B36" s="20" t="n">
        <v>5</v>
      </c>
      <c r="C36" s="20" t="n">
        <v>4</v>
      </c>
      <c r="D36" s="20" t="n">
        <v>14</v>
      </c>
      <c r="E36" s="21" t="n">
        <v>-1.15</v>
      </c>
      <c r="F36" s="21" t="n">
        <v>-0.8</v>
      </c>
      <c r="G36" s="21" t="n">
        <v>0.53</v>
      </c>
      <c r="H36" s="21" t="n">
        <v>0.16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6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6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6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2026-08-02</t>
        </is>
      </c>
      <c r="B2" s="6" t="inlineStr">
        <is>
          <t>Hibernian</t>
        </is>
      </c>
      <c r="C2" s="6" t="inlineStr">
        <is>
          <t>Away</t>
        </is>
      </c>
      <c r="D2" s="6" t="n">
        <v>2</v>
      </c>
      <c r="E2" s="6" t="n">
        <v>1</v>
      </c>
      <c r="F2" s="9" t="n">
        <v>1.25</v>
      </c>
      <c r="G2" s="9" t="n">
        <v>1.52</v>
      </c>
      <c r="H2" s="9" t="n">
        <v>2.19</v>
      </c>
      <c r="I2" s="9" t="n">
        <v>1.94</v>
      </c>
      <c r="J2" s="9" t="n">
        <v>0.9399999999999999</v>
      </c>
      <c r="K2" s="9" t="n">
        <v>0.42</v>
      </c>
      <c r="L2" s="9" t="n">
        <v>0.9399999999999999</v>
      </c>
      <c r="M2" s="9" t="n">
        <v>0.42</v>
      </c>
      <c r="N2" s="9" t="n">
        <v>0.84</v>
      </c>
      <c r="O2" s="9" t="n">
        <v>-0.02</v>
      </c>
      <c r="P2" s="9" t="n">
        <v>0.84</v>
      </c>
      <c r="Q2" s="9" t="n">
        <v>-0.02</v>
      </c>
      <c r="R2" s="9">
        <f>(H2-I2)-(F2-G2)</f>
        <v/>
      </c>
      <c r="S2" s="9">
        <f>(H2+I2)-(F2+G2)</f>
        <v/>
      </c>
      <c r="T2" s="9" t="n">
        <v>1.54</v>
      </c>
      <c r="U2" s="9" t="n">
        <v>1.19</v>
      </c>
      <c r="V2" s="9" t="n">
        <v>0.35</v>
      </c>
      <c r="W2" s="9" t="n">
        <v>1.54</v>
      </c>
      <c r="X2" s="9" t="n">
        <v>1.19</v>
      </c>
    </row>
    <row r="3">
      <c r="A3" s="8" t="inlineStr">
        <is>
          <t>2026-08-09</t>
        </is>
      </c>
      <c r="B3" s="8" t="inlineStr">
        <is>
          <t>Falkirk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1.78</v>
      </c>
      <c r="G3" s="10" t="n">
        <v>1.1</v>
      </c>
      <c r="H3" s="10" t="n">
        <v>1.27</v>
      </c>
      <c r="I3" s="10" t="n">
        <v>0.55</v>
      </c>
      <c r="J3" s="10" t="n">
        <v>-0.51</v>
      </c>
      <c r="K3" s="10" t="n">
        <v>-0.55</v>
      </c>
      <c r="L3" s="10" t="n">
        <v>0.22</v>
      </c>
      <c r="M3" s="10" t="n">
        <v>-0.07000000000000001</v>
      </c>
      <c r="N3" s="10" t="n">
        <v>-0.88</v>
      </c>
      <c r="O3" s="10" t="n">
        <v>-0.22</v>
      </c>
      <c r="P3" s="10" t="n">
        <v>-0.02</v>
      </c>
      <c r="Q3" s="10" t="n">
        <v>-0.12</v>
      </c>
      <c r="R3" s="10">
        <f>(H3-I3)-(F3-G3)</f>
        <v/>
      </c>
      <c r="S3" s="10">
        <f>(H3+I3)-(F3+G3)</f>
        <v/>
      </c>
      <c r="T3" s="10" t="n">
        <v>1.92</v>
      </c>
      <c r="U3" s="10" t="n">
        <v>1.83</v>
      </c>
      <c r="V3" s="10" t="n">
        <v>0.1</v>
      </c>
      <c r="W3" s="10" t="n">
        <v>3.46</v>
      </c>
      <c r="X3" s="10" t="n">
        <v>3.02</v>
      </c>
    </row>
    <row r="4">
      <c r="A4" s="6" t="inlineStr">
        <is>
          <t>2026-08-30</t>
        </is>
      </c>
      <c r="B4" s="6" t="inlineStr">
        <is>
          <t>St Mirren</t>
        </is>
      </c>
      <c r="C4" s="6" t="inlineStr">
        <is>
          <t>Away</t>
        </is>
      </c>
      <c r="D4" s="6" t="n">
        <v>3</v>
      </c>
      <c r="E4" s="6" t="n">
        <v>3</v>
      </c>
      <c r="F4" s="9" t="n">
        <v>1.27</v>
      </c>
      <c r="G4" s="9" t="n">
        <v>1.35</v>
      </c>
      <c r="H4" s="9" t="n">
        <v>2.45</v>
      </c>
      <c r="I4" s="9" t="n">
        <v>2.92</v>
      </c>
      <c r="J4" s="9" t="n">
        <v>1.18</v>
      </c>
      <c r="K4" s="9" t="n">
        <v>1.57</v>
      </c>
      <c r="L4" s="9" t="n">
        <v>0.54</v>
      </c>
      <c r="M4" s="9" t="n">
        <v>0.48</v>
      </c>
      <c r="N4" s="9" t="n">
        <v>1.41</v>
      </c>
      <c r="O4" s="9" t="n">
        <v>1.34</v>
      </c>
      <c r="P4" s="9" t="n">
        <v>0.46</v>
      </c>
      <c r="Q4" s="9" t="n">
        <v>0.36</v>
      </c>
      <c r="R4" s="9">
        <f>(H4-I4)-(F4-G4)</f>
        <v/>
      </c>
      <c r="S4" s="9">
        <f>(H4+I4)-(F4+G4)</f>
        <v/>
      </c>
      <c r="T4" s="9" t="n">
        <v>1.18</v>
      </c>
      <c r="U4" s="9" t="n">
        <v>1.31</v>
      </c>
      <c r="V4" s="9" t="n">
        <v>-0.14</v>
      </c>
      <c r="W4" s="9" t="n">
        <v>4.64</v>
      </c>
      <c r="X4" s="9" t="n">
        <v>4.33</v>
      </c>
    </row>
    <row r="5">
      <c r="A5" s="8" t="inlineStr">
        <is>
          <t>2026-09-02</t>
        </is>
      </c>
      <c r="B5" s="8" t="inlineStr">
        <is>
          <t>Dundee United</t>
        </is>
      </c>
      <c r="C5" s="8" t="inlineStr">
        <is>
          <t>Home</t>
        </is>
      </c>
      <c r="D5" s="8" t="n">
        <v>3</v>
      </c>
      <c r="E5" s="8" t="n">
        <v>0</v>
      </c>
      <c r="F5" s="10" t="n">
        <v>1.72</v>
      </c>
      <c r="G5" s="10" t="n">
        <v>1.19</v>
      </c>
      <c r="H5" s="10" t="n">
        <v>2.37</v>
      </c>
      <c r="I5" s="10" t="n">
        <v>0.16</v>
      </c>
      <c r="J5" s="10" t="n">
        <v>0.65</v>
      </c>
      <c r="K5" s="10" t="n">
        <v>-1.03</v>
      </c>
      <c r="L5" s="10" t="n">
        <v>0.57</v>
      </c>
      <c r="M5" s="10" t="n">
        <v>0.1</v>
      </c>
      <c r="N5" s="10" t="n">
        <v>0.77</v>
      </c>
      <c r="O5" s="10" t="n">
        <v>-1.6</v>
      </c>
      <c r="P5" s="10" t="n">
        <v>0.53</v>
      </c>
      <c r="Q5" s="10" t="n">
        <v>-0.13</v>
      </c>
      <c r="R5" s="10">
        <f>(H5-I5)-(F5-G5)</f>
        <v/>
      </c>
      <c r="S5" s="10">
        <f>(H5+I5)-(F5+G5)</f>
        <v/>
      </c>
      <c r="T5" s="10" t="n">
        <v>2.73</v>
      </c>
      <c r="U5" s="10" t="n">
        <v>1.73</v>
      </c>
      <c r="V5" s="10" t="n">
        <v>0.99</v>
      </c>
      <c r="W5" s="10" t="n">
        <v>7.37</v>
      </c>
      <c r="X5" s="10" t="n">
        <v>6.06</v>
      </c>
    </row>
    <row r="6">
      <c r="A6" s="6" t="inlineStr">
        <is>
          <t>2026-09-05</t>
        </is>
      </c>
      <c r="B6" s="6" t="inlineStr">
        <is>
          <t>Rangers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0.89</v>
      </c>
      <c r="G6" s="9" t="n">
        <v>2.16</v>
      </c>
      <c r="H6" s="9" t="n">
        <v>0.7</v>
      </c>
      <c r="I6" s="9" t="n">
        <v>4.28</v>
      </c>
      <c r="J6" s="9" t="n">
        <v>-0.19</v>
      </c>
      <c r="K6" s="9" t="n">
        <v>2.12</v>
      </c>
      <c r="L6" s="9" t="n">
        <v>0.41</v>
      </c>
      <c r="M6" s="9" t="n">
        <v>0.51</v>
      </c>
      <c r="N6" s="9" t="n">
        <v>-0.35</v>
      </c>
      <c r="O6" s="9" t="n">
        <v>2.31</v>
      </c>
      <c r="P6" s="9" t="n">
        <v>0.36</v>
      </c>
      <c r="Q6" s="9" t="n">
        <v>0.36</v>
      </c>
      <c r="R6" s="9">
        <f>(H6-I6)-(F6-G6)</f>
        <v/>
      </c>
      <c r="S6" s="9">
        <f>(H6+I6)-(F6+G6)</f>
        <v/>
      </c>
      <c r="T6" s="9" t="n">
        <v>0.11</v>
      </c>
      <c r="U6" s="9" t="n">
        <v>0.62</v>
      </c>
      <c r="V6" s="9" t="n">
        <v>-0.51</v>
      </c>
      <c r="W6" s="9" t="n">
        <v>7.48</v>
      </c>
      <c r="X6" s="9" t="n">
        <v>6.68</v>
      </c>
    </row>
    <row r="8">
      <c r="A8" s="12" t="inlineStr">
        <is>
          <t>Season summary</t>
        </is>
      </c>
    </row>
    <row r="9">
      <c r="A9" s="15" t="inlineStr">
        <is>
          <t>Matches played</t>
        </is>
      </c>
      <c r="E9" s="16">
        <f>COUNTA(A2:A6)</f>
        <v/>
      </c>
    </row>
    <row r="10">
      <c r="A10" s="15" t="inlineStr">
        <is>
          <t>Total goals for</t>
        </is>
      </c>
      <c r="E10" s="16">
        <f>SUM(D2:D6)</f>
        <v/>
      </c>
    </row>
    <row r="11">
      <c r="A11" s="15" t="inlineStr">
        <is>
          <t>Total goals against</t>
        </is>
      </c>
      <c r="E11" s="16">
        <f>SUM(E2:E6)</f>
        <v/>
      </c>
    </row>
    <row r="12">
      <c r="A12" s="15" t="inlineStr">
        <is>
          <t>Avg xG Delta (For)</t>
        </is>
      </c>
      <c r="E12" s="17">
        <f>AVERAGE(J2:J6)</f>
        <v/>
      </c>
    </row>
    <row r="13">
      <c r="A13" s="15" t="inlineStr">
        <is>
          <t>Median xG Delta (For)</t>
        </is>
      </c>
      <c r="E13" s="17">
        <f>MEDIAN(J2:J6)</f>
        <v/>
      </c>
    </row>
    <row r="14">
      <c r="A14" s="15" t="inlineStr">
        <is>
          <t>Avg xG Delta (Against)</t>
        </is>
      </c>
      <c r="E14" s="17">
        <f>AVERAGE(K2:K6)</f>
        <v/>
      </c>
    </row>
    <row r="15">
      <c r="A15" s="15" t="inlineStr">
        <is>
          <t>Median xG Delta (Against)</t>
        </is>
      </c>
      <c r="E15" s="17">
        <f>MEDIAN(K2:K6)</f>
        <v/>
      </c>
    </row>
    <row r="16">
      <c r="A16" s="15" t="inlineStr">
        <is>
          <t>Avg xG Delta (For, Adj)</t>
        </is>
      </c>
      <c r="E16" s="17">
        <f>AVERAGE(N2:N6)</f>
        <v/>
      </c>
    </row>
    <row r="17">
      <c r="A17" s="15" t="inlineStr">
        <is>
          <t>Median xG Delta (For, Adj)</t>
        </is>
      </c>
      <c r="E17" s="17">
        <f>MEDIAN(N2:N6)</f>
        <v/>
      </c>
    </row>
    <row r="18">
      <c r="A18" s="15" t="inlineStr">
        <is>
          <t>Avg xG Delta (Against, Adj)</t>
        </is>
      </c>
      <c r="E18" s="17">
        <f>AVERAGE(O2:O6)</f>
        <v/>
      </c>
    </row>
    <row r="19">
      <c r="A19" s="15" t="inlineStr">
        <is>
          <t>Median xG Delta (Against, Adj)</t>
        </is>
      </c>
      <c r="E19" s="17">
        <f>MEDIAN(O2:O6)</f>
        <v/>
      </c>
    </row>
    <row r="20">
      <c r="A20" s="15" t="inlineStr">
        <is>
          <t>Avg Supremacy Delta</t>
        </is>
      </c>
      <c r="E20" s="17">
        <f>AVERAGE(R2:R6)</f>
        <v/>
      </c>
    </row>
    <row r="21">
      <c r="A21" s="15" t="inlineStr">
        <is>
          <t>Median Supremacy Delta</t>
        </is>
      </c>
      <c r="E21" s="17">
        <f>MEDIAN(R2:R6)</f>
        <v/>
      </c>
    </row>
    <row r="22">
      <c r="A22" s="15" t="inlineStr">
        <is>
          <t>Avg Total xG Delta</t>
        </is>
      </c>
      <c r="E22" s="17">
        <f>AVERAGE(S2:S6)</f>
        <v/>
      </c>
    </row>
    <row r="23">
      <c r="A23" s="15" t="inlineStr">
        <is>
          <t>Median Total xG Delta</t>
        </is>
      </c>
      <c r="E23" s="17">
        <f>MEDIAN(S2:S6)</f>
        <v/>
      </c>
    </row>
    <row r="24">
      <c r="A24" s="15" t="inlineStr">
        <is>
          <t>Current form (last 6, For)</t>
        </is>
      </c>
      <c r="E24" s="17">
        <f>L6</f>
        <v/>
      </c>
    </row>
    <row r="25">
      <c r="A25" s="15" t="inlineStr">
        <is>
          <t>Current form (last 6, Against)</t>
        </is>
      </c>
      <c r="E25" s="17">
        <f>M6</f>
        <v/>
      </c>
    </row>
    <row r="26">
      <c r="A26" s="15" t="inlineStr">
        <is>
          <t>Current form (last 6, For, Adj)</t>
        </is>
      </c>
      <c r="E26" s="17">
        <f>P6</f>
        <v/>
      </c>
    </row>
    <row r="27">
      <c r="A27" s="15" t="inlineStr">
        <is>
          <t>Current form (last 6, Against, Adj)</t>
        </is>
      </c>
      <c r="E27" s="17">
        <f>Q6</f>
        <v/>
      </c>
    </row>
    <row r="28">
      <c r="A28" s="15" t="inlineStr">
        <is>
          <t>Total xPts (Actual)</t>
        </is>
      </c>
      <c r="E28" s="17">
        <f>SUM(T2:T6)</f>
        <v/>
      </c>
    </row>
    <row r="29">
      <c r="A29" s="15" t="inlineStr">
        <is>
          <t>Total xPts (Market)</t>
        </is>
      </c>
      <c r="E29" s="17">
        <f>SUM(U2:U6)</f>
        <v/>
      </c>
    </row>
    <row r="30">
      <c r="A30" s="15" t="inlineStr">
        <is>
          <t>Avg xPts Delta</t>
        </is>
      </c>
      <c r="E30" s="17">
        <f>AVERAGE(V2:V6)</f>
        <v/>
      </c>
    </row>
    <row r="32">
      <c r="A32" s="12" t="inlineStr">
        <is>
          <t>Home / Away split</t>
        </is>
      </c>
    </row>
    <row r="33">
      <c r="A33" s="18" t="inlineStr">
        <is>
          <t>Venue</t>
        </is>
      </c>
      <c r="B33" s="18" t="inlineStr">
        <is>
          <t>Matches</t>
        </is>
      </c>
      <c r="C33" s="18" t="inlineStr">
        <is>
          <t>GF</t>
        </is>
      </c>
      <c r="D33" s="18" t="inlineStr">
        <is>
          <t>GA</t>
        </is>
      </c>
      <c r="E33" s="18" t="inlineStr">
        <is>
          <t>Avg Supremacy</t>
        </is>
      </c>
      <c r="F33" s="18" t="inlineStr">
        <is>
          <t>Median Supremacy</t>
        </is>
      </c>
      <c r="G33" s="18" t="inlineStr">
        <is>
          <t>Avg Total xG Delta</t>
        </is>
      </c>
      <c r="H33" s="18" t="inlineStr">
        <is>
          <t>Median Total xG Delta</t>
        </is>
      </c>
    </row>
    <row r="34">
      <c r="A34" s="15" t="inlineStr">
        <is>
          <t>Home</t>
        </is>
      </c>
      <c r="B34" s="15" t="n">
        <v>2</v>
      </c>
      <c r="C34" s="15" t="n">
        <v>3</v>
      </c>
      <c r="D34" s="15" t="n">
        <v>0</v>
      </c>
      <c r="E34" s="19" t="n">
        <v>0.86</v>
      </c>
      <c r="F34" s="19" t="n">
        <v>0.86</v>
      </c>
      <c r="G34" s="19" t="n">
        <v>-0.73</v>
      </c>
      <c r="H34" s="19" t="n">
        <v>-0.73</v>
      </c>
    </row>
    <row r="35">
      <c r="A35" s="15" t="inlineStr">
        <is>
          <t>Away</t>
        </is>
      </c>
      <c r="B35" s="15" t="n">
        <v>3</v>
      </c>
      <c r="C35" s="15" t="n">
        <v>5</v>
      </c>
      <c r="D35" s="15" t="n">
        <v>5</v>
      </c>
      <c r="E35" s="19" t="n">
        <v>-0.73</v>
      </c>
      <c r="F35" s="19" t="n">
        <v>-0.39</v>
      </c>
      <c r="G35" s="19" t="n">
        <v>2.02</v>
      </c>
      <c r="H35" s="19" t="n">
        <v>1.93</v>
      </c>
    </row>
    <row r="36">
      <c r="A36" s="20" t="inlineStr">
        <is>
          <t>Total</t>
        </is>
      </c>
      <c r="B36" s="20" t="n">
        <v>5</v>
      </c>
      <c r="C36" s="20" t="n">
        <v>8</v>
      </c>
      <c r="D36" s="20" t="n">
        <v>5</v>
      </c>
      <c r="E36" s="21" t="n">
        <v>-0.09</v>
      </c>
      <c r="F36" s="21" t="n">
        <v>0.05</v>
      </c>
      <c r="G36" s="21" t="n">
        <v>0.92</v>
      </c>
      <c r="H36" s="21" t="n">
        <v>1.37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6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6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6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2026-07-31</t>
        </is>
      </c>
      <c r="B2" s="6" t="inlineStr">
        <is>
          <t>Dundee United</t>
        </is>
      </c>
      <c r="C2" s="6" t="inlineStr">
        <is>
          <t>Away</t>
        </is>
      </c>
      <c r="D2" s="6" t="n">
        <v>1</v>
      </c>
      <c r="E2" s="6" t="n">
        <v>1</v>
      </c>
      <c r="F2" s="9" t="n">
        <v>2.21</v>
      </c>
      <c r="G2" s="9" t="n">
        <v>1.05</v>
      </c>
      <c r="H2" s="9" t="n">
        <v>1.46</v>
      </c>
      <c r="I2" s="9" t="n">
        <v>1.64</v>
      </c>
      <c r="J2" s="9" t="n">
        <v>-0.75</v>
      </c>
      <c r="K2" s="9" t="n">
        <v>0.59</v>
      </c>
      <c r="L2" s="9" t="n">
        <v>-0.75</v>
      </c>
      <c r="M2" s="9" t="n">
        <v>0.59</v>
      </c>
      <c r="N2" s="9" t="n">
        <v>-0.92</v>
      </c>
      <c r="O2" s="9" t="n">
        <v>0.35</v>
      </c>
      <c r="P2" s="9" t="n">
        <v>-0.92</v>
      </c>
      <c r="Q2" s="9" t="n">
        <v>0.35</v>
      </c>
      <c r="R2" s="9">
        <f>(H2-I2)-(F2-G2)</f>
        <v/>
      </c>
      <c r="S2" s="9">
        <f>(H2+I2)-(F2+G2)</f>
        <v/>
      </c>
      <c r="T2" s="9" t="n">
        <v>1.26</v>
      </c>
      <c r="U2" s="9" t="n">
        <v>2.11</v>
      </c>
      <c r="V2" s="9" t="n">
        <v>-0.84</v>
      </c>
      <c r="W2" s="9" t="n">
        <v>1.26</v>
      </c>
      <c r="X2" s="9" t="n">
        <v>2.11</v>
      </c>
    </row>
    <row r="3">
      <c r="A3" s="8" t="inlineStr">
        <is>
          <t>2026-08-09</t>
        </is>
      </c>
      <c r="B3" s="8" t="inlineStr">
        <is>
          <t>Hibernian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2.13</v>
      </c>
      <c r="G3" s="10" t="n">
        <v>1.02</v>
      </c>
      <c r="H3" s="10" t="n">
        <v>2.22</v>
      </c>
      <c r="I3" s="10" t="n">
        <v>1.7</v>
      </c>
      <c r="J3" s="10" t="n">
        <v>0.09</v>
      </c>
      <c r="K3" s="10" t="n">
        <v>0.68</v>
      </c>
      <c r="L3" s="10" t="n">
        <v>-0.33</v>
      </c>
      <c r="M3" s="10" t="n">
        <v>0.63</v>
      </c>
      <c r="N3" s="10" t="n">
        <v>-0.22</v>
      </c>
      <c r="O3" s="10" t="n">
        <v>0.3</v>
      </c>
      <c r="P3" s="10" t="n">
        <v>-0.57</v>
      </c>
      <c r="Q3" s="10" t="n">
        <v>0.32</v>
      </c>
      <c r="R3" s="10">
        <f>(H3-I3)-(F3-G3)</f>
        <v/>
      </c>
      <c r="S3" s="10">
        <f>(H3+I3)-(F3+G3)</f>
        <v/>
      </c>
      <c r="T3" s="10" t="n">
        <v>1.7</v>
      </c>
      <c r="U3" s="10" t="n">
        <v>2.08</v>
      </c>
      <c r="V3" s="10" t="n">
        <v>-0.38</v>
      </c>
      <c r="W3" s="10" t="n">
        <v>2.96</v>
      </c>
      <c r="X3" s="10" t="n">
        <v>4.19</v>
      </c>
    </row>
    <row r="4">
      <c r="A4" s="6" t="inlineStr">
        <is>
          <t>2026-08-30</t>
        </is>
      </c>
      <c r="B4" s="6" t="inlineStr">
        <is>
          <t>Aberdeen</t>
        </is>
      </c>
      <c r="C4" s="6" t="inlineStr">
        <is>
          <t>Away</t>
        </is>
      </c>
      <c r="D4" s="6" t="n">
        <v>1</v>
      </c>
      <c r="E4" s="6" t="n">
        <v>0</v>
      </c>
      <c r="F4" s="9" t="n">
        <v>1.88</v>
      </c>
      <c r="G4" s="9" t="n">
        <v>1.14</v>
      </c>
      <c r="H4" s="9" t="n">
        <v>2.1</v>
      </c>
      <c r="I4" s="9" t="n">
        <v>0.35</v>
      </c>
      <c r="J4" s="9" t="n">
        <v>0.23</v>
      </c>
      <c r="K4" s="9" t="n">
        <v>-0.79</v>
      </c>
      <c r="L4" s="9" t="n">
        <v>-0.14</v>
      </c>
      <c r="M4" s="9" t="n">
        <v>0.16</v>
      </c>
      <c r="N4" s="9" t="n">
        <v>0.05</v>
      </c>
      <c r="O4" s="9" t="n">
        <v>-0.73</v>
      </c>
      <c r="P4" s="9" t="n">
        <v>-0.36</v>
      </c>
      <c r="Q4" s="9" t="n">
        <v>-0.03</v>
      </c>
      <c r="R4" s="9">
        <f>(H4-I4)-(F4-G4)</f>
        <v/>
      </c>
      <c r="S4" s="9">
        <f>(H4+I4)-(F4+G4)</f>
        <v/>
      </c>
      <c r="T4" s="9" t="n">
        <v>2.52</v>
      </c>
      <c r="U4" s="9" t="n">
        <v>1.86</v>
      </c>
      <c r="V4" s="9" t="n">
        <v>0.66</v>
      </c>
      <c r="W4" s="9" t="n">
        <v>5.49</v>
      </c>
      <c r="X4" s="9" t="n">
        <v>6.05</v>
      </c>
    </row>
    <row r="5">
      <c r="A5" s="8" t="inlineStr">
        <is>
          <t>2026-09-02</t>
        </is>
      </c>
      <c r="B5" s="8" t="inlineStr">
        <is>
          <t>Falkirk</t>
        </is>
      </c>
      <c r="C5" s="8" t="inlineStr">
        <is>
          <t>Away</t>
        </is>
      </c>
      <c r="D5" s="8" t="n">
        <v>2</v>
      </c>
      <c r="E5" s="8" t="n">
        <v>1</v>
      </c>
      <c r="F5" s="10" t="n">
        <v>2.05</v>
      </c>
      <c r="G5" s="10" t="n">
        <v>1.05</v>
      </c>
      <c r="H5" s="10" t="n">
        <v>1.56</v>
      </c>
      <c r="I5" s="10" t="n">
        <v>1</v>
      </c>
      <c r="J5" s="10" t="n">
        <v>-0.49</v>
      </c>
      <c r="K5" s="10" t="n">
        <v>-0.05</v>
      </c>
      <c r="L5" s="10" t="n">
        <v>-0.23</v>
      </c>
      <c r="M5" s="10" t="n">
        <v>0.11</v>
      </c>
      <c r="N5" s="10" t="n">
        <v>-0.86</v>
      </c>
      <c r="O5" s="10" t="n">
        <v>0.41</v>
      </c>
      <c r="P5" s="10" t="n">
        <v>-0.49</v>
      </c>
      <c r="Q5" s="10" t="n">
        <v>0.08</v>
      </c>
      <c r="R5" s="10">
        <f>(H5-I5)-(F5-G5)</f>
        <v/>
      </c>
      <c r="S5" s="10">
        <f>(H5+I5)-(F5+G5)</f>
        <v/>
      </c>
      <c r="T5" s="10" t="n">
        <v>1.76</v>
      </c>
      <c r="U5" s="10" t="n">
        <v>2.02</v>
      </c>
      <c r="V5" s="10" t="n">
        <v>-0.26</v>
      </c>
      <c r="W5" s="10" t="n">
        <v>7.25</v>
      </c>
      <c r="X5" s="10" t="n">
        <v>8.07</v>
      </c>
    </row>
    <row r="6">
      <c r="A6" s="6" t="inlineStr">
        <is>
          <t>2026-09-05</t>
        </is>
      </c>
      <c r="B6" s="6" t="inlineStr">
        <is>
          <t>Motherwell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2.16</v>
      </c>
      <c r="G6" s="9" t="n">
        <v>0.89</v>
      </c>
      <c r="H6" s="9" t="n">
        <v>4.28</v>
      </c>
      <c r="I6" s="9" t="n">
        <v>0.7</v>
      </c>
      <c r="J6" s="9" t="n">
        <v>2.12</v>
      </c>
      <c r="K6" s="9" t="n">
        <v>-0.19</v>
      </c>
      <c r="L6" s="9" t="n">
        <v>0.24</v>
      </c>
      <c r="M6" s="9" t="n">
        <v>0.05</v>
      </c>
      <c r="N6" s="9" t="n">
        <v>2.02</v>
      </c>
      <c r="O6" s="9" t="n">
        <v>-0.76</v>
      </c>
      <c r="P6" s="9" t="n">
        <v>0.02</v>
      </c>
      <c r="Q6" s="9" t="n">
        <v>-0.09</v>
      </c>
      <c r="R6" s="9">
        <f>(H6-I6)-(F6-G6)</f>
        <v/>
      </c>
      <c r="S6" s="9">
        <f>(H6+I6)-(F6+G6)</f>
        <v/>
      </c>
      <c r="T6" s="9" t="n">
        <v>2.82</v>
      </c>
      <c r="U6" s="9" t="n">
        <v>2.19</v>
      </c>
      <c r="V6" s="9" t="n">
        <v>0.64</v>
      </c>
      <c r="W6" s="9" t="n">
        <v>10.07</v>
      </c>
      <c r="X6" s="9" t="n">
        <v>10.26</v>
      </c>
    </row>
    <row r="7">
      <c r="A7" s="8" t="inlineStr">
        <is>
          <t>2026-09-09</t>
        </is>
      </c>
      <c r="B7" s="8" t="inlineStr">
        <is>
          <t>St Mirren</t>
        </is>
      </c>
      <c r="C7" s="8" t="inlineStr">
        <is>
          <t>Home</t>
        </is>
      </c>
      <c r="D7" s="8" t="n">
        <v>1</v>
      </c>
      <c r="E7" s="8" t="n">
        <v>0</v>
      </c>
      <c r="F7" s="10" t="n">
        <v>2.49</v>
      </c>
      <c r="G7" s="10" t="n">
        <v>0.9</v>
      </c>
      <c r="H7" s="10" t="n">
        <v>2.46</v>
      </c>
      <c r="I7" s="10" t="n">
        <v>1.26</v>
      </c>
      <c r="J7" s="10" t="n">
        <v>-0.03</v>
      </c>
      <c r="K7" s="10" t="n">
        <v>0.36</v>
      </c>
      <c r="L7" s="10" t="n">
        <v>0.19</v>
      </c>
      <c r="M7" s="10" t="n">
        <v>0.1</v>
      </c>
      <c r="N7" s="10" t="n">
        <v>-0.04</v>
      </c>
      <c r="O7" s="10" t="n">
        <v>-0.12</v>
      </c>
      <c r="P7" s="10" t="n">
        <v>0.01</v>
      </c>
      <c r="Q7" s="10" t="n">
        <v>-0.09</v>
      </c>
      <c r="R7" s="10">
        <f>(H7-I7)-(F7-G7)</f>
        <v/>
      </c>
      <c r="S7" s="10">
        <f>(H7+I7)-(F7+G7)</f>
        <v/>
      </c>
      <c r="T7" s="10" t="n">
        <v>2.09</v>
      </c>
      <c r="U7" s="10" t="n">
        <v>2.33</v>
      </c>
      <c r="V7" s="10" t="n">
        <v>-0.23</v>
      </c>
      <c r="W7" s="10" t="n">
        <v>12.17</v>
      </c>
      <c r="X7" s="10" t="n">
        <v>12.59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2</v>
      </c>
      <c r="E35" s="19" t="n">
        <v>0.44</v>
      </c>
      <c r="F35" s="19" t="n">
        <v>-0.39</v>
      </c>
      <c r="G35" s="19" t="n">
        <v>1.01</v>
      </c>
      <c r="H35" s="19" t="n">
        <v>0.77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2</v>
      </c>
      <c r="E36" s="19" t="n">
        <v>-0.26</v>
      </c>
      <c r="F36" s="19" t="n">
        <v>-0.44</v>
      </c>
      <c r="G36" s="19" t="n">
        <v>-0.42</v>
      </c>
      <c r="H36" s="19" t="n">
        <v>-0.53</v>
      </c>
    </row>
    <row r="37">
      <c r="A37" s="20" t="inlineStr">
        <is>
          <t>Total</t>
        </is>
      </c>
      <c r="B37" s="20" t="n">
        <v>6</v>
      </c>
      <c r="C37" s="20" t="n">
        <v>7</v>
      </c>
      <c r="D37" s="20" t="n">
        <v>4</v>
      </c>
      <c r="E37" s="21" t="n">
        <v>0.09</v>
      </c>
      <c r="F37" s="21" t="n">
        <v>-0.42</v>
      </c>
      <c r="G37" s="21" t="n">
        <v>0.3</v>
      </c>
      <c r="H37" s="21" t="n">
        <v>0.09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5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2026-08-02</t>
        </is>
      </c>
      <c r="B2" s="6" t="inlineStr">
        <is>
          <t>Kilmarnock</t>
        </is>
      </c>
      <c r="C2" s="6" t="inlineStr">
        <is>
          <t>Home</t>
        </is>
      </c>
      <c r="D2" s="6" t="n">
        <v>4</v>
      </c>
      <c r="E2" s="6" t="n">
        <v>3</v>
      </c>
      <c r="F2" s="9" t="n">
        <v>1.55</v>
      </c>
      <c r="G2" s="9" t="n">
        <v>1.24</v>
      </c>
      <c r="H2" s="9" t="n">
        <v>2.03</v>
      </c>
      <c r="I2" s="9" t="n">
        <v>0.92</v>
      </c>
      <c r="J2" s="9" t="n">
        <v>0.48</v>
      </c>
      <c r="K2" s="9" t="n">
        <v>-0.32</v>
      </c>
      <c r="L2" s="9" t="n">
        <v>0.48</v>
      </c>
      <c r="M2" s="9" t="n">
        <v>-0.32</v>
      </c>
      <c r="N2" s="9" t="n">
        <v>-0.45</v>
      </c>
      <c r="O2" s="9" t="n">
        <v>-0.01</v>
      </c>
      <c r="P2" s="9" t="n">
        <v>-0.45</v>
      </c>
      <c r="Q2" s="9" t="n">
        <v>-0.01</v>
      </c>
      <c r="R2" s="9">
        <f>(H2-I2)-(F2-G2)</f>
        <v/>
      </c>
      <c r="S2" s="9">
        <f>(H2+I2)-(F2+G2)</f>
        <v/>
      </c>
      <c r="T2" s="9" t="n">
        <v>2.1</v>
      </c>
      <c r="U2" s="9" t="n">
        <v>1.59</v>
      </c>
      <c r="V2" s="9" t="n">
        <v>0.51</v>
      </c>
      <c r="W2" s="9" t="n">
        <v>2.1</v>
      </c>
      <c r="X2" s="9" t="n">
        <v>1.59</v>
      </c>
    </row>
    <row r="3">
      <c r="A3" s="8" t="inlineStr">
        <is>
          <t>2026-08-08</t>
        </is>
      </c>
      <c r="B3" s="8" t="inlineStr">
        <is>
          <t>St Mirren</t>
        </is>
      </c>
      <c r="C3" s="8" t="inlineStr">
        <is>
          <t>Away</t>
        </is>
      </c>
      <c r="D3" s="8" t="n">
        <v>0</v>
      </c>
      <c r="E3" s="8" t="n">
        <v>1</v>
      </c>
      <c r="F3" s="10" t="n">
        <v>1.23</v>
      </c>
      <c r="G3" s="10" t="n">
        <v>1.48</v>
      </c>
      <c r="H3" s="10" t="n">
        <v>1.17</v>
      </c>
      <c r="I3" s="10" t="n">
        <v>1.58</v>
      </c>
      <c r="J3" s="10" t="n">
        <v>-0.06</v>
      </c>
      <c r="K3" s="10" t="n">
        <v>0.1</v>
      </c>
      <c r="L3" s="10" t="n">
        <v>0.21</v>
      </c>
      <c r="M3" s="10" t="n">
        <v>-0.11</v>
      </c>
      <c r="N3" s="10" t="n">
        <v>-0.07000000000000001</v>
      </c>
      <c r="O3" s="10" t="n">
        <v>-0.43</v>
      </c>
      <c r="P3" s="10" t="n">
        <v>-0.26</v>
      </c>
      <c r="Q3" s="10" t="n">
        <v>-0.22</v>
      </c>
      <c r="R3" s="10">
        <f>(H3-I3)-(F3-G3)</f>
        <v/>
      </c>
      <c r="S3" s="10">
        <f>(H3+I3)-(F3+G3)</f>
        <v/>
      </c>
      <c r="T3" s="10" t="n">
        <v>1.1</v>
      </c>
      <c r="U3" s="10" t="n">
        <v>1.2</v>
      </c>
      <c r="V3" s="10" t="n">
        <v>-0.11</v>
      </c>
      <c r="W3" s="10" t="n">
        <v>3.2</v>
      </c>
      <c r="X3" s="10" t="n">
        <v>2.79</v>
      </c>
    </row>
    <row r="4">
      <c r="A4" s="6" t="inlineStr">
        <is>
          <t>2026-08-29</t>
        </is>
      </c>
      <c r="B4" s="6" t="inlineStr">
        <is>
          <t>Heart of Midlothian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1.03</v>
      </c>
      <c r="G4" s="9" t="n">
        <v>1.82</v>
      </c>
      <c r="H4" s="9" t="n">
        <v>1.28</v>
      </c>
      <c r="I4" s="9" t="n">
        <v>2.2</v>
      </c>
      <c r="J4" s="9" t="n">
        <v>0.25</v>
      </c>
      <c r="K4" s="9" t="n">
        <v>0.38</v>
      </c>
      <c r="L4" s="9" t="n">
        <v>0.22</v>
      </c>
      <c r="M4" s="9" t="n">
        <v>0.06</v>
      </c>
      <c r="N4" s="9" t="n">
        <v>0.12</v>
      </c>
      <c r="O4" s="9" t="n">
        <v>0.44</v>
      </c>
      <c r="P4" s="9" t="n">
        <v>-0.13</v>
      </c>
      <c r="Q4" s="9" t="n">
        <v>-0</v>
      </c>
      <c r="R4" s="9">
        <f>(H4-I4)-(F4-G4)</f>
        <v/>
      </c>
      <c r="S4" s="9">
        <f>(H4+I4)-(F4+G4)</f>
        <v/>
      </c>
      <c r="T4" s="9" t="n">
        <v>0.85</v>
      </c>
      <c r="U4" s="9" t="n">
        <v>0.87</v>
      </c>
      <c r="V4" s="9" t="n">
        <v>-0.02</v>
      </c>
      <c r="W4" s="9" t="n">
        <v>4.04</v>
      </c>
      <c r="X4" s="9" t="n">
        <v>3.66</v>
      </c>
    </row>
    <row r="5">
      <c r="A5" s="8" t="inlineStr">
        <is>
          <t>2026-09-02</t>
        </is>
      </c>
      <c r="B5" s="8" t="inlineStr">
        <is>
          <t>Dundee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1.37</v>
      </c>
      <c r="G5" s="10" t="n">
        <v>1.37</v>
      </c>
      <c r="H5" s="10" t="n">
        <v>1.07</v>
      </c>
      <c r="I5" s="10" t="n">
        <v>2.04</v>
      </c>
      <c r="J5" s="10" t="n">
        <v>-0.3</v>
      </c>
      <c r="K5" s="10" t="n">
        <v>0.67</v>
      </c>
      <c r="L5" s="10" t="n">
        <v>0.09</v>
      </c>
      <c r="M5" s="10" t="n">
        <v>0.21</v>
      </c>
      <c r="N5" s="10" t="n">
        <v>-0.1</v>
      </c>
      <c r="O5" s="10" t="n">
        <v>0.74</v>
      </c>
      <c r="P5" s="10" t="n">
        <v>-0.13</v>
      </c>
      <c r="Q5" s="10" t="n">
        <v>0.18</v>
      </c>
      <c r="R5" s="10">
        <f>(H5-I5)-(F5-G5)</f>
        <v/>
      </c>
      <c r="S5" s="10">
        <f>(H5+I5)-(F5+G5)</f>
        <v/>
      </c>
      <c r="T5" s="10" t="n">
        <v>0.79</v>
      </c>
      <c r="U5" s="10" t="n">
        <v>1.37</v>
      </c>
      <c r="V5" s="10" t="n">
        <v>-0.58</v>
      </c>
      <c r="W5" s="10" t="n">
        <v>4.83</v>
      </c>
      <c r="X5" s="10" t="n">
        <v>5.03</v>
      </c>
    </row>
    <row r="6">
      <c r="A6" s="6" t="inlineStr">
        <is>
          <t>2026-09-06</t>
        </is>
      </c>
      <c r="B6" s="6" t="inlineStr">
        <is>
          <t>Hibernian</t>
        </is>
      </c>
      <c r="C6" s="6" t="inlineStr">
        <is>
          <t>Home</t>
        </is>
      </c>
      <c r="D6" s="6" t="n">
        <v>2</v>
      </c>
      <c r="E6" s="6" t="n">
        <v>1</v>
      </c>
      <c r="F6" s="9" t="n">
        <v>1.31</v>
      </c>
      <c r="G6" s="9" t="n">
        <v>1.4</v>
      </c>
      <c r="H6" s="9" t="n">
        <v>2.32</v>
      </c>
      <c r="I6" s="9" t="n">
        <v>1.61</v>
      </c>
      <c r="J6" s="9" t="n">
        <v>1.01</v>
      </c>
      <c r="K6" s="9" t="n">
        <v>0.21</v>
      </c>
      <c r="L6" s="9" t="n">
        <v>0.28</v>
      </c>
      <c r="M6" s="9" t="n">
        <v>0.21</v>
      </c>
      <c r="N6" s="9" t="n">
        <v>0.92</v>
      </c>
      <c r="O6" s="9" t="n">
        <v>-0.28</v>
      </c>
      <c r="P6" s="9" t="n">
        <v>0.08</v>
      </c>
      <c r="Q6" s="9" t="n">
        <v>0.09</v>
      </c>
      <c r="R6" s="9">
        <f>(H6-I6)-(F6-G6)</f>
        <v/>
      </c>
      <c r="S6" s="9">
        <f>(H6+I6)-(F6+G6)</f>
        <v/>
      </c>
      <c r="T6" s="9" t="n">
        <v>1.81</v>
      </c>
      <c r="U6" s="9" t="n">
        <v>1.31</v>
      </c>
      <c r="V6" s="9" t="n">
        <v>0.5</v>
      </c>
      <c r="W6" s="9" t="n">
        <v>6.64</v>
      </c>
      <c r="X6" s="9" t="n">
        <v>6.34</v>
      </c>
    </row>
    <row r="7">
      <c r="A7" s="8" t="inlineStr">
        <is>
          <t>2026-09-09</t>
        </is>
      </c>
      <c r="B7" s="8" t="inlineStr">
        <is>
          <t>Celtic</t>
        </is>
      </c>
      <c r="C7" s="8" t="inlineStr">
        <is>
          <t>Home</t>
        </is>
      </c>
      <c r="D7" s="8" t="n">
        <v>0</v>
      </c>
      <c r="E7" s="8" t="n">
        <v>1</v>
      </c>
      <c r="F7" s="10" t="n">
        <v>1.05</v>
      </c>
      <c r="G7" s="10" t="n">
        <v>2.24</v>
      </c>
      <c r="H7" s="10" t="n">
        <v>0.6899999999999999</v>
      </c>
      <c r="I7" s="10" t="n">
        <v>1.8</v>
      </c>
      <c r="J7" s="10" t="n">
        <v>-0.36</v>
      </c>
      <c r="K7" s="10" t="n">
        <v>-0.44</v>
      </c>
      <c r="L7" s="10" t="n">
        <v>0.17</v>
      </c>
      <c r="M7" s="10" t="n">
        <v>0.1</v>
      </c>
      <c r="N7" s="10" t="n">
        <v>-0.41</v>
      </c>
      <c r="O7" s="10" t="n">
        <v>-1.24</v>
      </c>
      <c r="P7" s="10" t="n">
        <v>0</v>
      </c>
      <c r="Q7" s="10" t="n">
        <v>-0.13</v>
      </c>
      <c r="R7" s="10">
        <f>(H7-I7)-(F7-G7)</f>
        <v/>
      </c>
      <c r="S7" s="10">
        <f>(H7+I7)-(F7+G7)</f>
        <v/>
      </c>
      <c r="T7" s="10" t="n">
        <v>0.64</v>
      </c>
      <c r="U7" s="10" t="n">
        <v>0.6899999999999999</v>
      </c>
      <c r="V7" s="10" t="n">
        <v>-0.06</v>
      </c>
      <c r="W7" s="10" t="n">
        <v>7.28</v>
      </c>
      <c r="X7" s="10" t="n">
        <v>7.03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5</v>
      </c>
      <c r="E35" s="19" t="n">
        <v>0.5600000000000001</v>
      </c>
      <c r="F35" s="19" t="n">
        <v>0.8</v>
      </c>
      <c r="G35" s="19" t="n">
        <v>0.19</v>
      </c>
      <c r="H35" s="19" t="n">
        <v>0.16</v>
      </c>
    </row>
    <row r="36">
      <c r="A36" s="15" t="inlineStr">
        <is>
          <t>Away</t>
        </is>
      </c>
      <c r="B36" s="15" t="n">
        <v>3</v>
      </c>
      <c r="C36" s="15" t="n">
        <v>2</v>
      </c>
      <c r="D36" s="15" t="n">
        <v>4</v>
      </c>
      <c r="E36" s="19" t="n">
        <v>-0.42</v>
      </c>
      <c r="F36" s="19" t="n">
        <v>-0.16</v>
      </c>
      <c r="G36" s="19" t="n">
        <v>0.35</v>
      </c>
      <c r="H36" s="19" t="n">
        <v>0.36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9</v>
      </c>
      <c r="E37" s="21" t="n">
        <v>0.07000000000000001</v>
      </c>
      <c r="F37" s="21" t="n">
        <v>-0.03</v>
      </c>
      <c r="G37" s="21" t="n">
        <v>0.27</v>
      </c>
      <c r="H37" s="21" t="n">
        <v>0.26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2026-08-01</t>
        </is>
      </c>
      <c r="B2" s="6" t="inlineStr">
        <is>
          <t>Falkirk</t>
        </is>
      </c>
      <c r="C2" s="6" t="inlineStr">
        <is>
          <t>Away</t>
        </is>
      </c>
      <c r="D2" s="6" t="n">
        <v>2</v>
      </c>
      <c r="E2" s="6" t="n">
        <v>0</v>
      </c>
      <c r="F2" s="9" t="n">
        <v>1.17</v>
      </c>
      <c r="G2" s="9" t="n">
        <v>1.64</v>
      </c>
      <c r="H2" s="9" t="n">
        <v>1.57</v>
      </c>
      <c r="I2" s="9" t="n">
        <v>0.55</v>
      </c>
      <c r="J2" s="9" t="n">
        <v>0.4</v>
      </c>
      <c r="K2" s="9" t="n">
        <v>-1.09</v>
      </c>
      <c r="L2" s="9" t="n">
        <v>0.4</v>
      </c>
      <c r="M2" s="9" t="n">
        <v>-1.09</v>
      </c>
      <c r="N2" s="9" t="n">
        <v>0.25</v>
      </c>
      <c r="O2" s="9" t="n">
        <v>-0.9</v>
      </c>
      <c r="P2" s="9" t="n">
        <v>0.25</v>
      </c>
      <c r="Q2" s="9" t="n">
        <v>-0.9</v>
      </c>
      <c r="R2" s="9">
        <f>(H2-I2)-(F2-G2)</f>
        <v/>
      </c>
      <c r="S2" s="9">
        <f>(H2+I2)-(F2+G2)</f>
        <v/>
      </c>
      <c r="T2" s="9" t="n">
        <v>2.12</v>
      </c>
      <c r="U2" s="9" t="n">
        <v>1.06</v>
      </c>
      <c r="V2" s="9" t="n">
        <v>1.06</v>
      </c>
      <c r="W2" s="9" t="n">
        <v>2.12</v>
      </c>
      <c r="X2" s="9" t="n">
        <v>1.06</v>
      </c>
    </row>
    <row r="3">
      <c r="A3" s="8" t="inlineStr">
        <is>
          <t>2026-08-08</t>
        </is>
      </c>
      <c r="B3" s="8" t="inlineStr">
        <is>
          <t>St Johnstone</t>
        </is>
      </c>
      <c r="C3" s="8" t="inlineStr">
        <is>
          <t>Home</t>
        </is>
      </c>
      <c r="D3" s="8" t="n">
        <v>1</v>
      </c>
      <c r="E3" s="8" t="n">
        <v>0</v>
      </c>
      <c r="F3" s="10" t="n">
        <v>1.48</v>
      </c>
      <c r="G3" s="10" t="n">
        <v>1.23</v>
      </c>
      <c r="H3" s="10" t="n">
        <v>1.58</v>
      </c>
      <c r="I3" s="10" t="n">
        <v>1.17</v>
      </c>
      <c r="J3" s="10" t="n">
        <v>0.1</v>
      </c>
      <c r="K3" s="10" t="n">
        <v>-0.06</v>
      </c>
      <c r="L3" s="10" t="n">
        <v>0.25</v>
      </c>
      <c r="M3" s="10" t="n">
        <v>-0.58</v>
      </c>
      <c r="N3" s="10" t="n">
        <v>0</v>
      </c>
      <c r="O3" s="10" t="n">
        <v>-0.27</v>
      </c>
      <c r="P3" s="10" t="n">
        <v>0.13</v>
      </c>
      <c r="Q3" s="10" t="n">
        <v>-0.58</v>
      </c>
      <c r="R3" s="10">
        <f>(H3-I3)-(F3-G3)</f>
        <v/>
      </c>
      <c r="S3" s="10">
        <f>(H3+I3)-(F3+G3)</f>
        <v/>
      </c>
      <c r="T3" s="10" t="n">
        <v>1.66</v>
      </c>
      <c r="U3" s="10" t="n">
        <v>1.54</v>
      </c>
      <c r="V3" s="10" t="n">
        <v>0.11</v>
      </c>
      <c r="W3" s="10" t="n">
        <v>3.77</v>
      </c>
      <c r="X3" s="10" t="n">
        <v>2.6</v>
      </c>
    </row>
    <row r="4">
      <c r="A4" s="6" t="inlineStr">
        <is>
          <t>2026-08-30</t>
        </is>
      </c>
      <c r="B4" s="6" t="inlineStr">
        <is>
          <t>Motherwell</t>
        </is>
      </c>
      <c r="C4" s="6" t="inlineStr">
        <is>
          <t>Home</t>
        </is>
      </c>
      <c r="D4" s="6" t="n">
        <v>3</v>
      </c>
      <c r="E4" s="6" t="n">
        <v>3</v>
      </c>
      <c r="F4" s="9" t="n">
        <v>1.35</v>
      </c>
      <c r="G4" s="9" t="n">
        <v>1.27</v>
      </c>
      <c r="H4" s="9" t="n">
        <v>2.92</v>
      </c>
      <c r="I4" s="9" t="n">
        <v>2.45</v>
      </c>
      <c r="J4" s="9" t="n">
        <v>1.57</v>
      </c>
      <c r="K4" s="9" t="n">
        <v>1.18</v>
      </c>
      <c r="L4" s="9" t="n">
        <v>0.6899999999999999</v>
      </c>
      <c r="M4" s="9" t="n">
        <v>0.01</v>
      </c>
      <c r="N4" s="9" t="n">
        <v>1.33</v>
      </c>
      <c r="O4" s="9" t="n">
        <v>0.96</v>
      </c>
      <c r="P4" s="9" t="n">
        <v>0.53</v>
      </c>
      <c r="Q4" s="9" t="n">
        <v>-0.07000000000000001</v>
      </c>
      <c r="R4" s="9">
        <f>(H4-I4)-(F4-G4)</f>
        <v/>
      </c>
      <c r="S4" s="9">
        <f>(H4+I4)-(F4+G4)</f>
        <v/>
      </c>
      <c r="T4" s="9" t="n">
        <v>1.65</v>
      </c>
      <c r="U4" s="9" t="n">
        <v>1.42</v>
      </c>
      <c r="V4" s="9" t="n">
        <v>0.23</v>
      </c>
      <c r="W4" s="9" t="n">
        <v>5.42</v>
      </c>
      <c r="X4" s="9" t="n">
        <v>4.03</v>
      </c>
    </row>
    <row r="5">
      <c r="A5" s="8" t="inlineStr">
        <is>
          <t>2026-09-02</t>
        </is>
      </c>
      <c r="B5" s="8" t="inlineStr">
        <is>
          <t>Kilmarnock</t>
        </is>
      </c>
      <c r="C5" s="8" t="inlineStr">
        <is>
          <t>Away</t>
        </is>
      </c>
      <c r="D5" s="8" t="n">
        <v>1</v>
      </c>
      <c r="E5" s="8" t="n">
        <v>0</v>
      </c>
      <c r="F5" s="10" t="n">
        <v>1.44</v>
      </c>
      <c r="G5" s="10" t="n">
        <v>1.33</v>
      </c>
      <c r="H5" s="10" t="n">
        <v>0.85</v>
      </c>
      <c r="I5" s="10" t="n">
        <v>0.41</v>
      </c>
      <c r="J5" s="10" t="n">
        <v>-0.59</v>
      </c>
      <c r="K5" s="10" t="n">
        <v>-0.92</v>
      </c>
      <c r="L5" s="10" t="n">
        <v>0.37</v>
      </c>
      <c r="M5" s="10" t="n">
        <v>-0.22</v>
      </c>
      <c r="N5" s="10" t="n">
        <v>-1.79</v>
      </c>
      <c r="O5" s="10" t="n">
        <v>-0.76</v>
      </c>
      <c r="P5" s="10" t="n">
        <v>-0.05</v>
      </c>
      <c r="Q5" s="10" t="n">
        <v>-0.24</v>
      </c>
      <c r="R5" s="10">
        <f>(H5-I5)-(F5-G5)</f>
        <v/>
      </c>
      <c r="S5" s="10">
        <f>(H5+I5)-(F5+G5)</f>
        <v/>
      </c>
      <c r="T5" s="10" t="n">
        <v>1.71</v>
      </c>
      <c r="U5" s="10" t="n">
        <v>1.45</v>
      </c>
      <c r="V5" s="10" t="n">
        <v>0.27</v>
      </c>
      <c r="W5" s="10" t="n">
        <v>7.13</v>
      </c>
      <c r="X5" s="10" t="n">
        <v>5.47</v>
      </c>
    </row>
    <row r="6">
      <c r="A6" s="6" t="inlineStr">
        <is>
          <t>2026-09-05</t>
        </is>
      </c>
      <c r="B6" s="6" t="inlineStr">
        <is>
          <t>Celtic</t>
        </is>
      </c>
      <c r="C6" s="6" t="inlineStr">
        <is>
          <t>Home</t>
        </is>
      </c>
      <c r="D6" s="6" t="n">
        <v>1</v>
      </c>
      <c r="E6" s="6" t="n">
        <v>2</v>
      </c>
      <c r="F6" s="9" t="n">
        <v>1.03</v>
      </c>
      <c r="G6" s="9" t="n">
        <v>2.25</v>
      </c>
      <c r="H6" s="9" t="n">
        <v>1.95</v>
      </c>
      <c r="I6" s="9" t="n">
        <v>3.19</v>
      </c>
      <c r="J6" s="9" t="n">
        <v>0.92</v>
      </c>
      <c r="K6" s="9" t="n">
        <v>0.9399999999999999</v>
      </c>
      <c r="L6" s="9" t="n">
        <v>0.48</v>
      </c>
      <c r="M6" s="9" t="n">
        <v>0.01</v>
      </c>
      <c r="N6" s="9" t="n">
        <v>1.13</v>
      </c>
      <c r="O6" s="9" t="n">
        <v>0.42</v>
      </c>
      <c r="P6" s="9" t="n">
        <v>0.19</v>
      </c>
      <c r="Q6" s="9" t="n">
        <v>-0.11</v>
      </c>
      <c r="R6" s="9">
        <f>(H6-I6)-(F6-G6)</f>
        <v/>
      </c>
      <c r="S6" s="9">
        <f>(H6+I6)-(F6+G6)</f>
        <v/>
      </c>
      <c r="T6" s="9" t="n">
        <v>0.8100000000000001</v>
      </c>
      <c r="U6" s="9" t="n">
        <v>0.68</v>
      </c>
      <c r="V6" s="9" t="n">
        <v>0.13</v>
      </c>
      <c r="W6" s="9" t="n">
        <v>7.94</v>
      </c>
      <c r="X6" s="9" t="n">
        <v>6.15</v>
      </c>
    </row>
    <row r="7">
      <c r="A7" s="8" t="inlineStr">
        <is>
          <t>2026-09-09</t>
        </is>
      </c>
      <c r="B7" s="8" t="inlineStr">
        <is>
          <t>Rangers</t>
        </is>
      </c>
      <c r="C7" s="8" t="inlineStr">
        <is>
          <t>Away</t>
        </is>
      </c>
      <c r="D7" s="8" t="n">
        <v>0</v>
      </c>
      <c r="E7" s="8" t="n">
        <v>1</v>
      </c>
      <c r="F7" s="10" t="n">
        <v>0.9</v>
      </c>
      <c r="G7" s="10" t="n">
        <v>2.49</v>
      </c>
      <c r="H7" s="10" t="n">
        <v>1.26</v>
      </c>
      <c r="I7" s="10" t="n">
        <v>2.46</v>
      </c>
      <c r="J7" s="10" t="n">
        <v>0.36</v>
      </c>
      <c r="K7" s="10" t="n">
        <v>-0.03</v>
      </c>
      <c r="L7" s="10" t="n">
        <v>0.46</v>
      </c>
      <c r="M7" s="10" t="n">
        <v>0</v>
      </c>
      <c r="N7" s="10" t="n">
        <v>0.31</v>
      </c>
      <c r="O7" s="10" t="n">
        <v>-0.27</v>
      </c>
      <c r="P7" s="10" t="n">
        <v>0.21</v>
      </c>
      <c r="Q7" s="10" t="n">
        <v>-0.14</v>
      </c>
      <c r="R7" s="10">
        <f>(H7-I7)-(F7-G7)</f>
        <v/>
      </c>
      <c r="S7" s="10">
        <f>(H7+I7)-(F7+G7)</f>
        <v/>
      </c>
      <c r="T7" s="10" t="n">
        <v>0.72</v>
      </c>
      <c r="U7" s="10" t="n">
        <v>0.51</v>
      </c>
      <c r="V7" s="10" t="n">
        <v>0.22</v>
      </c>
      <c r="W7" s="10" t="n">
        <v>8.67</v>
      </c>
      <c r="X7" s="10" t="n">
        <v>6.66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5</v>
      </c>
      <c r="D35" s="15" t="n">
        <v>5</v>
      </c>
      <c r="E35" s="19" t="n">
        <v>0.18</v>
      </c>
      <c r="F35" s="19" t="n">
        <v>0.16</v>
      </c>
      <c r="G35" s="19" t="n">
        <v>1.55</v>
      </c>
      <c r="H35" s="19" t="n">
        <v>1.86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1</v>
      </c>
      <c r="E36" s="19" t="n">
        <v>0.74</v>
      </c>
      <c r="F36" s="19" t="n">
        <v>0.39</v>
      </c>
      <c r="G36" s="19" t="n">
        <v>-0.62</v>
      </c>
      <c r="H36" s="19" t="n">
        <v>-0.6899999999999999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6</v>
      </c>
      <c r="E37" s="21" t="n">
        <v>0.46</v>
      </c>
      <c r="F37" s="21" t="n">
        <v>0.36</v>
      </c>
      <c r="G37" s="21" t="n">
        <v>0.47</v>
      </c>
      <c r="H37" s="21" t="n">
        <v>0.19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2026-07-31</t>
        </is>
      </c>
      <c r="B2" t="inlineStr">
        <is>
          <t>Dundee United</t>
        </is>
      </c>
      <c r="C2" t="inlineStr">
        <is>
          <t>Rangers</t>
        </is>
      </c>
      <c r="D2" t="n">
        <v>1</v>
      </c>
      <c r="E2" t="n">
        <v>1</v>
      </c>
    </row>
    <row r="3">
      <c r="A3" t="inlineStr">
        <is>
          <t>2026-08-01</t>
        </is>
      </c>
      <c r="B3" t="inlineStr">
        <is>
          <t>Falkirk</t>
        </is>
      </c>
      <c r="C3" t="inlineStr">
        <is>
          <t>St Mirren</t>
        </is>
      </c>
      <c r="D3" t="n">
        <v>0</v>
      </c>
      <c r="E3" t="n">
        <v>2</v>
      </c>
    </row>
    <row r="4">
      <c r="A4" t="inlineStr">
        <is>
          <t>2026-08-01</t>
        </is>
      </c>
      <c r="B4" t="inlineStr">
        <is>
          <t>Aberdeen</t>
        </is>
      </c>
      <c r="C4" t="inlineStr">
        <is>
          <t>Heart of Midlothian</t>
        </is>
      </c>
      <c r="D4" t="n">
        <v>2</v>
      </c>
      <c r="E4" t="n">
        <v>1</v>
      </c>
    </row>
    <row r="5">
      <c r="A5" t="inlineStr">
        <is>
          <t>2026-08-02</t>
        </is>
      </c>
      <c r="B5" t="inlineStr">
        <is>
          <t>St Johnstone</t>
        </is>
      </c>
      <c r="C5" t="inlineStr">
        <is>
          <t>Kilmarnock</t>
        </is>
      </c>
      <c r="D5" t="n">
        <v>4</v>
      </c>
      <c r="E5" t="n">
        <v>3</v>
      </c>
    </row>
    <row r="6">
      <c r="A6" t="inlineStr">
        <is>
          <t>2026-08-02</t>
        </is>
      </c>
      <c r="B6" t="inlineStr">
        <is>
          <t>Hibernian</t>
        </is>
      </c>
      <c r="C6" t="inlineStr">
        <is>
          <t>Motherwell</t>
        </is>
      </c>
      <c r="D6" t="n">
        <v>1</v>
      </c>
      <c r="E6" t="n">
        <v>2</v>
      </c>
    </row>
    <row r="7">
      <c r="A7" t="inlineStr">
        <is>
          <t>2026-08-03</t>
        </is>
      </c>
      <c r="B7" t="inlineStr">
        <is>
          <t>Celtic</t>
        </is>
      </c>
      <c r="C7" t="inlineStr">
        <is>
          <t>Dundee</t>
        </is>
      </c>
      <c r="D7" t="n">
        <v>1</v>
      </c>
      <c r="E7" t="n">
        <v>0</v>
      </c>
    </row>
    <row r="8">
      <c r="A8" t="inlineStr">
        <is>
          <t>2026-08-08</t>
        </is>
      </c>
      <c r="B8" t="inlineStr">
        <is>
          <t>Dundee</t>
        </is>
      </c>
      <c r="C8" t="inlineStr">
        <is>
          <t>Aberdeen</t>
        </is>
      </c>
      <c r="D8" t="n">
        <v>2</v>
      </c>
      <c r="E8" t="n">
        <v>0</v>
      </c>
    </row>
    <row r="9">
      <c r="A9" t="inlineStr">
        <is>
          <t>2026-08-08</t>
        </is>
      </c>
      <c r="B9" t="inlineStr">
        <is>
          <t>St Mirren</t>
        </is>
      </c>
      <c r="C9" t="inlineStr">
        <is>
          <t>St Johnstone</t>
        </is>
      </c>
      <c r="D9" t="n">
        <v>1</v>
      </c>
      <c r="E9" t="n">
        <v>0</v>
      </c>
    </row>
    <row r="10">
      <c r="A10" t="inlineStr">
        <is>
          <t>2026-08-09</t>
        </is>
      </c>
      <c r="B10" t="inlineStr">
        <is>
          <t>Kilmarnock</t>
        </is>
      </c>
      <c r="C10" t="inlineStr">
        <is>
          <t>Celtic</t>
        </is>
      </c>
      <c r="D10" t="n">
        <v>1</v>
      </c>
      <c r="E10" t="n">
        <v>5</v>
      </c>
    </row>
    <row r="11">
      <c r="A11" t="inlineStr">
        <is>
          <t>2026-08-09</t>
        </is>
      </c>
      <c r="B11" t="inlineStr">
        <is>
          <t>Heart of Midlothian</t>
        </is>
      </c>
      <c r="C11" t="inlineStr">
        <is>
          <t>Dundee United</t>
        </is>
      </c>
      <c r="D11" t="n">
        <v>4</v>
      </c>
      <c r="E11" t="n">
        <v>0</v>
      </c>
    </row>
    <row r="12">
      <c r="A12" t="inlineStr">
        <is>
          <t>2026-08-09</t>
        </is>
      </c>
      <c r="B12" t="inlineStr">
        <is>
          <t>Motherwell</t>
        </is>
      </c>
      <c r="C12" t="inlineStr">
        <is>
          <t>Falkirk</t>
        </is>
      </c>
      <c r="D12" t="n">
        <v>0</v>
      </c>
      <c r="E12" t="n">
        <v>0</v>
      </c>
    </row>
    <row r="13">
      <c r="A13" t="inlineStr">
        <is>
          <t>2026-08-09</t>
        </is>
      </c>
      <c r="B13" t="inlineStr">
        <is>
          <t>Rangers</t>
        </is>
      </c>
      <c r="C13" t="inlineStr">
        <is>
          <t>Hibernian</t>
        </is>
      </c>
      <c r="D13" t="n">
        <v>1</v>
      </c>
      <c r="E13" t="n">
        <v>2</v>
      </c>
    </row>
    <row r="14">
      <c r="A14" t="inlineStr">
        <is>
          <t>2026-08-22</t>
        </is>
      </c>
      <c r="B14" t="inlineStr">
        <is>
          <t>Dundee United</t>
        </is>
      </c>
      <c r="C14" t="inlineStr">
        <is>
          <t>Dundee</t>
        </is>
      </c>
      <c r="D14" t="n">
        <v>0</v>
      </c>
      <c r="E14" t="n">
        <v>2</v>
      </c>
    </row>
    <row r="15">
      <c r="A15" t="inlineStr">
        <is>
          <t>2026-08-29</t>
        </is>
      </c>
      <c r="B15" t="inlineStr">
        <is>
          <t>Celtic</t>
        </is>
      </c>
      <c r="C15" t="inlineStr">
        <is>
          <t>Falkirk</t>
        </is>
      </c>
      <c r="D15" t="n">
        <v>2</v>
      </c>
      <c r="E15" t="n">
        <v>1</v>
      </c>
    </row>
    <row r="16">
      <c r="A16" t="inlineStr">
        <is>
          <t>2026-08-29</t>
        </is>
      </c>
      <c r="B16" t="inlineStr">
        <is>
          <t>Heart of Midlothian</t>
        </is>
      </c>
      <c r="C16" t="inlineStr">
        <is>
          <t>St Johnstone</t>
        </is>
      </c>
      <c r="D16" t="n">
        <v>2</v>
      </c>
      <c r="E16" t="n">
        <v>1</v>
      </c>
    </row>
    <row r="17">
      <c r="A17" t="inlineStr">
        <is>
          <t>2026-08-29</t>
        </is>
      </c>
      <c r="B17" t="inlineStr">
        <is>
          <t>Kilmarnock</t>
        </is>
      </c>
      <c r="C17" t="inlineStr">
        <is>
          <t>Dundee United</t>
        </is>
      </c>
      <c r="D17" t="n">
        <v>0</v>
      </c>
      <c r="E17" t="n">
        <v>4</v>
      </c>
    </row>
    <row r="18">
      <c r="A18" t="inlineStr">
        <is>
          <t>2026-08-30</t>
        </is>
      </c>
      <c r="B18" t="inlineStr">
        <is>
          <t>Aberdeen</t>
        </is>
      </c>
      <c r="C18" t="inlineStr">
        <is>
          <t>Rangers</t>
        </is>
      </c>
      <c r="D18" t="n">
        <v>0</v>
      </c>
      <c r="E18" t="n">
        <v>1</v>
      </c>
    </row>
    <row r="19">
      <c r="A19" t="inlineStr">
        <is>
          <t>2026-08-30</t>
        </is>
      </c>
      <c r="B19" t="inlineStr">
        <is>
          <t>Dundee</t>
        </is>
      </c>
      <c r="C19" t="inlineStr">
        <is>
          <t>Hibernian</t>
        </is>
      </c>
      <c r="D19" t="n">
        <v>1</v>
      </c>
      <c r="E19" t="n">
        <v>2</v>
      </c>
    </row>
    <row r="20">
      <c r="A20" t="inlineStr">
        <is>
          <t>2026-08-30</t>
        </is>
      </c>
      <c r="B20" t="inlineStr">
        <is>
          <t>St Mirren</t>
        </is>
      </c>
      <c r="C20" t="inlineStr">
        <is>
          <t>Motherwell</t>
        </is>
      </c>
      <c r="D20" t="n">
        <v>3</v>
      </c>
      <c r="E20" t="n">
        <v>3</v>
      </c>
    </row>
    <row r="21">
      <c r="A21" t="inlineStr">
        <is>
          <t>2026-09-02</t>
        </is>
      </c>
      <c r="B21" t="inlineStr">
        <is>
          <t>Celtic</t>
        </is>
      </c>
      <c r="C21" t="inlineStr">
        <is>
          <t>Aberdeen</t>
        </is>
      </c>
      <c r="D21" t="n">
        <v>3</v>
      </c>
      <c r="E21" t="n">
        <v>0</v>
      </c>
    </row>
    <row r="22">
      <c r="A22" t="inlineStr">
        <is>
          <t>2026-09-02</t>
        </is>
      </c>
      <c r="B22" t="inlineStr">
        <is>
          <t>Dundee</t>
        </is>
      </c>
      <c r="C22" t="inlineStr">
        <is>
          <t>St Johnstone</t>
        </is>
      </c>
      <c r="D22" t="n">
        <v>1</v>
      </c>
      <c r="E22" t="n">
        <v>1</v>
      </c>
    </row>
    <row r="23">
      <c r="A23" t="inlineStr">
        <is>
          <t>2026-09-02</t>
        </is>
      </c>
      <c r="B23" t="inlineStr">
        <is>
          <t>Kilmarnock</t>
        </is>
      </c>
      <c r="C23" t="inlineStr">
        <is>
          <t>St Mirren</t>
        </is>
      </c>
      <c r="D23" t="n">
        <v>0</v>
      </c>
      <c r="E23" t="n">
        <v>1</v>
      </c>
    </row>
    <row r="24">
      <c r="A24" t="inlineStr">
        <is>
          <t>2026-09-02</t>
        </is>
      </c>
      <c r="B24" t="inlineStr">
        <is>
          <t>Motherwell</t>
        </is>
      </c>
      <c r="C24" t="inlineStr">
        <is>
          <t>Dundee United</t>
        </is>
      </c>
      <c r="D24" t="n">
        <v>3</v>
      </c>
      <c r="E24" t="n">
        <v>0</v>
      </c>
    </row>
    <row r="25">
      <c r="A25" t="inlineStr">
        <is>
          <t>2026-09-02</t>
        </is>
      </c>
      <c r="B25" t="inlineStr">
        <is>
          <t>Falkirk</t>
        </is>
      </c>
      <c r="C25" t="inlineStr">
        <is>
          <t>Rangers</t>
        </is>
      </c>
      <c r="D25" t="n">
        <v>1</v>
      </c>
      <c r="E25" t="n">
        <v>2</v>
      </c>
    </row>
    <row r="26">
      <c r="A26" t="inlineStr">
        <is>
          <t>2026-09-03</t>
        </is>
      </c>
      <c r="B26" t="inlineStr">
        <is>
          <t>Hibernian</t>
        </is>
      </c>
      <c r="C26" t="inlineStr">
        <is>
          <t>Heart of Midlothian</t>
        </is>
      </c>
      <c r="D26" t="n">
        <v>1</v>
      </c>
      <c r="E26" t="n">
        <v>3</v>
      </c>
    </row>
    <row r="27">
      <c r="A27" t="inlineStr">
        <is>
          <t>2026-09-05</t>
        </is>
      </c>
      <c r="B27" t="inlineStr">
        <is>
          <t>Aberdeen</t>
        </is>
      </c>
      <c r="C27" t="inlineStr">
        <is>
          <t>Kilmarnock</t>
        </is>
      </c>
      <c r="D27" t="n">
        <v>0</v>
      </c>
      <c r="E27" t="n">
        <v>0</v>
      </c>
    </row>
    <row r="28">
      <c r="A28" t="inlineStr">
        <is>
          <t>2026-09-05</t>
        </is>
      </c>
      <c r="B28" t="inlineStr">
        <is>
          <t>Dundee United</t>
        </is>
      </c>
      <c r="C28" t="inlineStr">
        <is>
          <t>Falkirk</t>
        </is>
      </c>
      <c r="D28" t="n">
        <v>1</v>
      </c>
      <c r="E28" t="n">
        <v>1</v>
      </c>
    </row>
    <row r="29">
      <c r="A29" t="inlineStr">
        <is>
          <t>2026-09-05</t>
        </is>
      </c>
      <c r="B29" t="inlineStr">
        <is>
          <t>Rangers</t>
        </is>
      </c>
      <c r="C29" t="inlineStr">
        <is>
          <t>Motherwell</t>
        </is>
      </c>
      <c r="D29" t="n">
        <v>1</v>
      </c>
      <c r="E29" t="n">
        <v>0</v>
      </c>
    </row>
    <row r="30">
      <c r="A30" t="inlineStr">
        <is>
          <t>2026-09-05</t>
        </is>
      </c>
      <c r="B30" t="inlineStr">
        <is>
          <t>St Mirren</t>
        </is>
      </c>
      <c r="C30" t="inlineStr">
        <is>
          <t>Celtic</t>
        </is>
      </c>
      <c r="D30" t="n">
        <v>1</v>
      </c>
      <c r="E30" t="n">
        <v>2</v>
      </c>
    </row>
    <row r="31">
      <c r="A31" t="inlineStr">
        <is>
          <t>2026-09-06</t>
        </is>
      </c>
      <c r="B31" t="inlineStr">
        <is>
          <t>Heart of Midlothian</t>
        </is>
      </c>
      <c r="C31" t="inlineStr">
        <is>
          <t>Dundee</t>
        </is>
      </c>
      <c r="D31" t="n">
        <v>2</v>
      </c>
      <c r="E31" t="n">
        <v>1</v>
      </c>
    </row>
    <row r="32">
      <c r="A32" t="inlineStr">
        <is>
          <t>2026-09-06</t>
        </is>
      </c>
      <c r="B32" t="inlineStr">
        <is>
          <t>St Johnstone</t>
        </is>
      </c>
      <c r="C32" t="inlineStr">
        <is>
          <t>Hibernian</t>
        </is>
      </c>
      <c r="D32" t="n">
        <v>2</v>
      </c>
      <c r="E32" t="n">
        <v>1</v>
      </c>
    </row>
    <row r="33">
      <c r="A33" t="inlineStr">
        <is>
          <t>2026-09-09</t>
        </is>
      </c>
      <c r="B33" t="inlineStr">
        <is>
          <t>Rangers</t>
        </is>
      </c>
      <c r="C33" t="inlineStr">
        <is>
          <t>St Mirren</t>
        </is>
      </c>
      <c r="D33" t="n">
        <v>1</v>
      </c>
      <c r="E33" t="n">
        <v>0</v>
      </c>
    </row>
    <row r="34">
      <c r="A34" t="inlineStr">
        <is>
          <t>2026-09-09</t>
        </is>
      </c>
      <c r="B34" t="inlineStr">
        <is>
          <t>St Johnstone</t>
        </is>
      </c>
      <c r="C34" t="inlineStr">
        <is>
          <t>Celtic</t>
        </is>
      </c>
      <c r="D34" t="n">
        <v>0</v>
      </c>
      <c r="E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2026-09-17T22:27:41Z</dcterms:created>
  <dcterms:modified xsi:type="dcterms:W3CDTF">2026-09-17T22:27:42Z</dcterms:modified>
</cp:coreProperties>
</file>