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worksheets/sheet33.xml" ContentType="application/vnd.openxmlformats-officedocument.spreadsheetml.worksheet+xml"/>
  <Override PartName="/xl/drawings/drawing20.xml" ContentType="application/vnd.openxmlformats-officedocument.drawing+xml"/>
  <Override PartName="/xl/worksheets/sheet34.xml" ContentType="application/vnd.openxmlformats-officedocument.spreadsheetml.worksheet+xml"/>
  <Override PartName="/xl/drawings/drawing21.xml" ContentType="application/vnd.openxmlformats-officedocument.drawing+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Arsenal" sheetId="15" state="visible" r:id="rId15"/>
    <sheet name="Aston Villa" sheetId="16" state="visible" r:id="rId16"/>
    <sheet name="Bournemouth" sheetId="17" state="visible" r:id="rId17"/>
    <sheet name="Brentford" sheetId="18" state="visible" r:id="rId18"/>
    <sheet name="Brighton &amp; Hove Albion" sheetId="19" state="visible" r:id="rId19"/>
    <sheet name="Chelsea" sheetId="20" state="visible" r:id="rId20"/>
    <sheet name="Coventry" sheetId="21" state="visible" r:id="rId21"/>
    <sheet name="Crystal Palace" sheetId="22" state="visible" r:id="rId22"/>
    <sheet name="Everton" sheetId="23" state="visible" r:id="rId23"/>
    <sheet name="Fulham" sheetId="24" state="visible" r:id="rId24"/>
    <sheet name="Hull" sheetId="25" state="visible" r:id="rId25"/>
    <sheet name="Ipswich" sheetId="26" state="visible" r:id="rId26"/>
    <sheet name="Leeds United" sheetId="27" state="visible" r:id="rId27"/>
    <sheet name="Liverpool" sheetId="28" state="visible" r:id="rId28"/>
    <sheet name="Manchester City" sheetId="29" state="visible" r:id="rId29"/>
    <sheet name="Manchester United" sheetId="30" state="visible" r:id="rId30"/>
    <sheet name="Newcastle United" sheetId="31" state="visible" r:id="rId31"/>
    <sheet name="Nottingham Forest" sheetId="32" state="visible" r:id="rId32"/>
    <sheet name="Sunderland" sheetId="33" state="visible" r:id="rId33"/>
    <sheet name="Tottenham Hotspur" sheetId="34" state="visible" r:id="rId34"/>
    <sheet name="Results Data" sheetId="35" state="hidden" r:id="rId35"/>
  </sheets>
  <definedNames>
    <definedName name="_xlnm._FilterDatabase" localSheetId="7" hidden="1">'Match Log'!$A$1:$Q$81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D9D9D9"/>
        <bgColor rgb="00D9D9D9"/>
      </patternFill>
    </fill>
    <fill>
      <patternFill patternType="solid">
        <fgColor rgb="00F8696B"/>
        <bgColor rgb="00F8696B"/>
      </patternFill>
    </fill>
    <fill>
      <patternFill patternType="solid">
        <fgColor rgb="0063BE7B"/>
        <bgColor rgb="0063BE7B"/>
      </patternFill>
    </fill>
    <fill>
      <patternFill patternType="solid">
        <fgColor rgb="00FFC000"/>
        <bgColor rgb="00FFC000"/>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xf numFmtId="0" fontId="2" fillId="5" borderId="1" pivotButton="0" quotePrefix="0" xfId="0"/>
    <xf numFmtId="2" fontId="3" fillId="5" borderId="1" applyAlignment="1" pivotButton="0" quotePrefix="0" xfId="0">
      <alignment horizontal="center"/>
    </xf>
    <xf numFmtId="2" fontId="3" fillId="6" borderId="1" applyAlignment="1" pivotButton="0" quotePrefix="0" xfId="0">
      <alignment horizontal="center"/>
    </xf>
    <xf numFmtId="2" fontId="3" fillId="7" borderId="1" applyAlignment="1" pivotButton="0" quotePrefix="0" xfId="0">
      <alignment horizontal="center"/>
    </xf>
    <xf numFmtId="0" fontId="3" fillId="7" borderId="0" pivotButton="0" quotePrefix="0" xfId="0"/>
    <xf numFmtId="0" fontId="3" fillId="8" borderId="0" pivotButton="0" quotePrefix="0" xfId="0"/>
    <xf numFmtId="0" fontId="3" fillId="6" borderId="0" pivotButton="0" quotePrefix="0" xfId="0"/>
    <xf numFmtId="2" fontId="3" fillId="8"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'Overview'!$A$2:$A$21</f>
            </numRef>
          </cat>
          <val>
            <numRef>
              <f>'Overview'!$E$2:$E$21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'Overview'!$A$2:$A$21</f>
            </numRef>
          </cat>
          <val>
            <numRef>
              <f>'Overview'!$M$2:$M$21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Table'!$B$2:$B$21</f>
            </numRef>
          </cat>
          <val>
            <numRef>
              <f>'xPts Table'!$D$2:$D$21</f>
            </numRef>
          </val>
        </ser>
        <ser>
          <idx val="1"/>
          <order val="1"/>
          <tx>
            <strRef>
              <f>'xPts Table'!E1</f>
            </strRef>
          </tx>
          <spPr>
            <a:ln>
              <a:prstDash val="solid"/>
            </a:ln>
          </spPr>
          <cat>
            <numRef>
              <f>'xPts Table'!$B$2:$B$21</f>
            </numRef>
          </cat>
          <val>
            <numRef>
              <f>'xPts Table'!$E$2:$E$21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Arsenal: xG for - pre-game expected (bars) vs actual (line)</a:t>
            </a:r>
          </a:p>
        </rich>
      </tx>
    </title>
    <plotArea>
      <barChart>
        <barDir val="col"/>
        <grouping val="clustered"/>
        <ser>
          <idx val="0"/>
          <order val="0"/>
          <tx>
            <strRef>
              <f>'Arsenal'!AA10</f>
            </strRef>
          </tx>
          <spPr>
            <a:solidFill>
              <a:srgbClr val="5B9BD5"/>
            </a:solidFill>
            <a:ln>
              <a:prstDash val="solid"/>
            </a:ln>
          </spPr>
          <cat>
            <numRef>
              <f>'Arsenal'!$Z$11:$Z$18</f>
            </numRef>
          </cat>
          <val>
            <numRef>
              <f>'Arsenal'!$AA$11:$AA$18</f>
            </numRef>
          </val>
        </ser>
        <gapWidth val="60"/>
        <axId val="10"/>
        <axId val="100"/>
      </barChart>
      <lineChart>
        <grouping val="standard"/>
        <ser>
          <idx val="1"/>
          <order val="1"/>
          <tx>
            <strRef>
              <f>'Arsenal'!AB10</f>
            </strRef>
          </tx>
          <spPr>
            <a:ln w="28000">
              <a:solidFill>
                <a:srgbClr val="000000"/>
              </a:solidFill>
              <a:prstDash val="solid"/>
            </a:ln>
          </spPr>
          <marker>
            <symbol val="circle"/>
            <size val="7"/>
            <spPr>
              <a:solidFill>
                <a:srgbClr val="000000"/>
              </a:solidFill>
              <a:ln>
                <a:solidFill>
                  <a:srgbClr val="000000"/>
                </a:solidFill>
                <a:prstDash val="solid"/>
              </a:ln>
            </spPr>
          </marker>
          <cat>
            <numRef>
              <f>'Arsenal'!$Z$11:$Z$18</f>
            </numRef>
          </cat>
          <val>
            <numRef>
              <f>'Arsenal'!$AB$11:$AB$18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Arsenal: xG against - pre-game expected (bars) vs actual (line)</a:t>
            </a:r>
          </a:p>
        </rich>
      </tx>
    </title>
    <plotArea>
      <barChart>
        <barDir val="col"/>
        <grouping val="clustered"/>
        <ser>
          <idx val="0"/>
          <order val="0"/>
          <tx>
            <strRef>
              <f>'Arsenal'!AC10</f>
            </strRef>
          </tx>
          <spPr>
            <a:solidFill>
              <a:srgbClr val="ED7D31"/>
            </a:solidFill>
            <a:ln>
              <a:prstDash val="solid"/>
            </a:ln>
          </spPr>
          <cat>
            <numRef>
              <f>'Arsenal'!$Z$11:$Z$18</f>
            </numRef>
          </cat>
          <val>
            <numRef>
              <f>'Arsenal'!$AC$11:$AC$18</f>
            </numRef>
          </val>
        </ser>
        <gapWidth val="60"/>
        <axId val="10"/>
        <axId val="100"/>
      </barChart>
      <lineChart>
        <grouping val="standard"/>
        <ser>
          <idx val="1"/>
          <order val="1"/>
          <tx>
            <strRef>
              <f>'Arsenal'!AD10</f>
            </strRef>
          </tx>
          <spPr>
            <a:ln w="28000">
              <a:solidFill>
                <a:srgbClr val="C00000"/>
              </a:solidFill>
              <a:prstDash val="solid"/>
            </a:ln>
          </spPr>
          <marker>
            <symbol val="circle"/>
            <size val="7"/>
            <spPr>
              <a:solidFill>
                <a:srgbClr val="C00000"/>
              </a:solidFill>
              <a:ln>
                <a:solidFill>
                  <a:srgbClr val="C00000"/>
                </a:solidFill>
                <a:prstDash val="solid"/>
              </a:ln>
            </spPr>
          </marker>
          <cat>
            <numRef>
              <f>'Arsenal'!$Z$11:$Z$18</f>
            </numRef>
          </cat>
          <val>
            <numRef>
              <f>'Arsenal'!$AD$11:$AD$18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Aston Villa: xG for - pre-game expected (bars) vs actual (line)</a:t>
            </a:r>
          </a:p>
        </rich>
      </tx>
    </title>
    <plotArea>
      <barChart>
        <barDir val="col"/>
        <grouping val="clustered"/>
        <ser>
          <idx val="0"/>
          <order val="0"/>
          <tx>
            <strRef>
              <f>'Aston Villa'!AA10</f>
            </strRef>
          </tx>
          <spPr>
            <a:solidFill>
              <a:srgbClr val="5B9BD5"/>
            </a:solidFill>
            <a:ln>
              <a:prstDash val="solid"/>
            </a:ln>
          </spPr>
          <cat>
            <numRef>
              <f>'Aston Villa'!$Z$11:$Z$18</f>
            </numRef>
          </cat>
          <val>
            <numRef>
              <f>'Aston Villa'!$AA$11:$AA$18</f>
            </numRef>
          </val>
        </ser>
        <gapWidth val="60"/>
        <axId val="10"/>
        <axId val="100"/>
      </barChart>
      <lineChart>
        <grouping val="standard"/>
        <ser>
          <idx val="1"/>
          <order val="1"/>
          <tx>
            <strRef>
              <f>'Aston Villa'!AB10</f>
            </strRef>
          </tx>
          <spPr>
            <a:ln w="28000">
              <a:solidFill>
                <a:srgbClr val="000000"/>
              </a:solidFill>
              <a:prstDash val="solid"/>
            </a:ln>
          </spPr>
          <marker>
            <symbol val="circle"/>
            <size val="7"/>
            <spPr>
              <a:solidFill>
                <a:srgbClr val="000000"/>
              </a:solidFill>
              <a:ln>
                <a:solidFill>
                  <a:srgbClr val="000000"/>
                </a:solidFill>
                <a:prstDash val="solid"/>
              </a:ln>
            </spPr>
          </marker>
          <cat>
            <numRef>
              <f>'Aston Villa'!$Z$11:$Z$18</f>
            </numRef>
          </cat>
          <val>
            <numRef>
              <f>'Aston Villa'!$AB$11:$AB$18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Aston Villa: xG against - pre-game expected (bars) vs actual (line)</a:t>
            </a:r>
          </a:p>
        </rich>
      </tx>
    </title>
    <plotArea>
      <barChart>
        <barDir val="col"/>
        <grouping val="clustered"/>
        <ser>
          <idx val="0"/>
          <order val="0"/>
          <tx>
            <strRef>
              <f>'Aston Villa'!AC10</f>
            </strRef>
          </tx>
          <spPr>
            <a:solidFill>
              <a:srgbClr val="ED7D31"/>
            </a:solidFill>
            <a:ln>
              <a:prstDash val="solid"/>
            </a:ln>
          </spPr>
          <cat>
            <numRef>
              <f>'Aston Villa'!$Z$11:$Z$18</f>
            </numRef>
          </cat>
          <val>
            <numRef>
              <f>'Aston Villa'!$AC$11:$AC$18</f>
            </numRef>
          </val>
        </ser>
        <gapWidth val="60"/>
        <axId val="10"/>
        <axId val="100"/>
      </barChart>
      <lineChart>
        <grouping val="standard"/>
        <ser>
          <idx val="1"/>
          <order val="1"/>
          <tx>
            <strRef>
              <f>'Aston Villa'!AD10</f>
            </strRef>
          </tx>
          <spPr>
            <a:ln w="28000">
              <a:solidFill>
                <a:srgbClr val="C00000"/>
              </a:solidFill>
              <a:prstDash val="solid"/>
            </a:ln>
          </spPr>
          <marker>
            <symbol val="circle"/>
            <size val="7"/>
            <spPr>
              <a:solidFill>
                <a:srgbClr val="C00000"/>
              </a:solidFill>
              <a:ln>
                <a:solidFill>
                  <a:srgbClr val="C00000"/>
                </a:solidFill>
                <a:prstDash val="solid"/>
              </a:ln>
            </spPr>
          </marker>
          <cat>
            <numRef>
              <f>'Aston Villa'!$Z$11:$Z$18</f>
            </numRef>
          </cat>
          <val>
            <numRef>
              <f>'Aston Villa'!$AD$11:$AD$18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Bournemouth: xG for - pre-game expected (bars) vs actual (line)</a:t>
            </a:r>
          </a:p>
        </rich>
      </tx>
    </title>
    <plotArea>
      <barChart>
        <barDir val="col"/>
        <grouping val="clustered"/>
        <ser>
          <idx val="0"/>
          <order val="0"/>
          <tx>
            <strRef>
              <f>'Bournemouth'!AA10</f>
            </strRef>
          </tx>
          <spPr>
            <a:solidFill>
              <a:srgbClr val="5B9BD5"/>
            </a:solidFill>
            <a:ln>
              <a:prstDash val="solid"/>
            </a:ln>
          </spPr>
          <cat>
            <numRef>
              <f>'Bournemouth'!$Z$11:$Z$18</f>
            </numRef>
          </cat>
          <val>
            <numRef>
              <f>'Bournemouth'!$AA$11:$AA$18</f>
            </numRef>
          </val>
        </ser>
        <gapWidth val="60"/>
        <axId val="10"/>
        <axId val="100"/>
      </barChart>
      <lineChart>
        <grouping val="standard"/>
        <ser>
          <idx val="1"/>
          <order val="1"/>
          <tx>
            <strRef>
              <f>'Bournemouth'!AB10</f>
            </strRef>
          </tx>
          <spPr>
            <a:ln w="28000">
              <a:solidFill>
                <a:srgbClr val="000000"/>
              </a:solidFill>
              <a:prstDash val="solid"/>
            </a:ln>
          </spPr>
          <marker>
            <symbol val="circle"/>
            <size val="7"/>
            <spPr>
              <a:solidFill>
                <a:srgbClr val="000000"/>
              </a:solidFill>
              <a:ln>
                <a:solidFill>
                  <a:srgbClr val="000000"/>
                </a:solidFill>
                <a:prstDash val="solid"/>
              </a:ln>
            </spPr>
          </marker>
          <cat>
            <numRef>
              <f>'Bournemouth'!$Z$11:$Z$18</f>
            </numRef>
          </cat>
          <val>
            <numRef>
              <f>'Bournemouth'!$AB$11:$AB$18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Bournemouth: xG against - pre-game expected (bars) vs actual (line)</a:t>
            </a:r>
          </a:p>
        </rich>
      </tx>
    </title>
    <plotArea>
      <barChart>
        <barDir val="col"/>
        <grouping val="clustered"/>
        <ser>
          <idx val="0"/>
          <order val="0"/>
          <tx>
            <strRef>
              <f>'Bournemouth'!AC10</f>
            </strRef>
          </tx>
          <spPr>
            <a:solidFill>
              <a:srgbClr val="ED7D31"/>
            </a:solidFill>
            <a:ln>
              <a:prstDash val="solid"/>
            </a:ln>
          </spPr>
          <cat>
            <numRef>
              <f>'Bournemouth'!$Z$11:$Z$18</f>
            </numRef>
          </cat>
          <val>
            <numRef>
              <f>'Bournemouth'!$AC$11:$AC$18</f>
            </numRef>
          </val>
        </ser>
        <gapWidth val="60"/>
        <axId val="10"/>
        <axId val="100"/>
      </barChart>
      <lineChart>
        <grouping val="standard"/>
        <ser>
          <idx val="1"/>
          <order val="1"/>
          <tx>
            <strRef>
              <f>'Bournemouth'!AD10</f>
            </strRef>
          </tx>
          <spPr>
            <a:ln w="28000">
              <a:solidFill>
                <a:srgbClr val="C00000"/>
              </a:solidFill>
              <a:prstDash val="solid"/>
            </a:ln>
          </spPr>
          <marker>
            <symbol val="circle"/>
            <size val="7"/>
            <spPr>
              <a:solidFill>
                <a:srgbClr val="C00000"/>
              </a:solidFill>
              <a:ln>
                <a:solidFill>
                  <a:srgbClr val="C00000"/>
                </a:solidFill>
                <a:prstDash val="solid"/>
              </a:ln>
            </spPr>
          </marker>
          <cat>
            <numRef>
              <f>'Bournemouth'!$Z$11:$Z$18</f>
            </numRef>
          </cat>
          <val>
            <numRef>
              <f>'Bournemouth'!$AD$11:$AD$18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Brentford: xG for - pre-game expected (bars) vs actual (line)</a:t>
            </a:r>
          </a:p>
        </rich>
      </tx>
    </title>
    <plotArea>
      <barChart>
        <barDir val="col"/>
        <grouping val="clustered"/>
        <ser>
          <idx val="0"/>
          <order val="0"/>
          <tx>
            <strRef>
              <f>'Brentford'!AA10</f>
            </strRef>
          </tx>
          <spPr>
            <a:solidFill>
              <a:srgbClr val="5B9BD5"/>
            </a:solidFill>
            <a:ln>
              <a:prstDash val="solid"/>
            </a:ln>
          </spPr>
          <cat>
            <numRef>
              <f>'Brentford'!$Z$11:$Z$18</f>
            </numRef>
          </cat>
          <val>
            <numRef>
              <f>'Brentford'!$AA$11:$AA$18</f>
            </numRef>
          </val>
        </ser>
        <gapWidth val="60"/>
        <axId val="10"/>
        <axId val="100"/>
      </barChart>
      <lineChart>
        <grouping val="standard"/>
        <ser>
          <idx val="1"/>
          <order val="1"/>
          <tx>
            <strRef>
              <f>'Brentford'!AB10</f>
            </strRef>
          </tx>
          <spPr>
            <a:ln w="28000">
              <a:solidFill>
                <a:srgbClr val="000000"/>
              </a:solidFill>
              <a:prstDash val="solid"/>
            </a:ln>
          </spPr>
          <marker>
            <symbol val="circle"/>
            <size val="7"/>
            <spPr>
              <a:solidFill>
                <a:srgbClr val="000000"/>
              </a:solidFill>
              <a:ln>
                <a:solidFill>
                  <a:srgbClr val="000000"/>
                </a:solidFill>
                <a:prstDash val="solid"/>
              </a:ln>
            </spPr>
          </marker>
          <cat>
            <numRef>
              <f>'Brentford'!$Z$11:$Z$18</f>
            </numRef>
          </cat>
          <val>
            <numRef>
              <f>'Brentford'!$AB$11:$AB$18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Brentford: xG against - pre-game expected (bars) vs actual (line)</a:t>
            </a:r>
          </a:p>
        </rich>
      </tx>
    </title>
    <plotArea>
      <barChart>
        <barDir val="col"/>
        <grouping val="clustered"/>
        <ser>
          <idx val="0"/>
          <order val="0"/>
          <tx>
            <strRef>
              <f>'Brentford'!AC10</f>
            </strRef>
          </tx>
          <spPr>
            <a:solidFill>
              <a:srgbClr val="ED7D31"/>
            </a:solidFill>
            <a:ln>
              <a:prstDash val="solid"/>
            </a:ln>
          </spPr>
          <cat>
            <numRef>
              <f>'Brentford'!$Z$11:$Z$18</f>
            </numRef>
          </cat>
          <val>
            <numRef>
              <f>'Brentford'!$AC$11:$AC$18</f>
            </numRef>
          </val>
        </ser>
        <gapWidth val="60"/>
        <axId val="10"/>
        <axId val="100"/>
      </barChart>
      <lineChart>
        <grouping val="standard"/>
        <ser>
          <idx val="1"/>
          <order val="1"/>
          <tx>
            <strRef>
              <f>'Brentford'!AD10</f>
            </strRef>
          </tx>
          <spPr>
            <a:ln w="28000">
              <a:solidFill>
                <a:srgbClr val="C00000"/>
              </a:solidFill>
              <a:prstDash val="solid"/>
            </a:ln>
          </spPr>
          <marker>
            <symbol val="circle"/>
            <size val="7"/>
            <spPr>
              <a:solidFill>
                <a:srgbClr val="C00000"/>
              </a:solidFill>
              <a:ln>
                <a:solidFill>
                  <a:srgbClr val="C00000"/>
                </a:solidFill>
                <a:prstDash val="solid"/>
              </a:ln>
            </spPr>
          </marker>
          <cat>
            <numRef>
              <f>'Brentford'!$Z$11:$Z$18</f>
            </numRef>
          </cat>
          <val>
            <numRef>
              <f>'Brentford'!$AD$11:$AD$18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Brighton &amp; Hove Albion: xG for - pre-game expected (bars) vs actual (line)</a:t>
            </a:r>
          </a:p>
        </rich>
      </tx>
    </title>
    <plotArea>
      <barChart>
        <barDir val="col"/>
        <grouping val="clustered"/>
        <ser>
          <idx val="0"/>
          <order val="0"/>
          <tx>
            <strRef>
              <f>'Brighton &amp; Hove Albion'!AA10</f>
            </strRef>
          </tx>
          <spPr>
            <a:solidFill>
              <a:srgbClr val="5B9BD5"/>
            </a:solidFill>
            <a:ln>
              <a:prstDash val="solid"/>
            </a:ln>
          </spPr>
          <cat>
            <numRef>
              <f>'Brighton &amp; Hove Albion'!$Z$11:$Z$18</f>
            </numRef>
          </cat>
          <val>
            <numRef>
              <f>'Brighton &amp; Hove Albion'!$AA$11:$AA$18</f>
            </numRef>
          </val>
        </ser>
        <gapWidth val="60"/>
        <axId val="10"/>
        <axId val="100"/>
      </barChart>
      <lineChart>
        <grouping val="standard"/>
        <ser>
          <idx val="1"/>
          <order val="1"/>
          <tx>
            <strRef>
              <f>'Brighton &amp; Hove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'Brighton &amp; Hove Albion'!$Z$11:$Z$18</f>
            </numRef>
          </cat>
          <val>
            <numRef>
              <f>'Brighton &amp; Hove Albion'!$AB$11:$AB$18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Brighton &amp; Hove Albion: xG against - pre-game expected (bars) vs actual (line)</a:t>
            </a:r>
          </a:p>
        </rich>
      </tx>
    </title>
    <plotArea>
      <barChart>
        <barDir val="col"/>
        <grouping val="clustered"/>
        <ser>
          <idx val="0"/>
          <order val="0"/>
          <tx>
            <strRef>
              <f>'Brighton &amp; Hove Albion'!AC10</f>
            </strRef>
          </tx>
          <spPr>
            <a:solidFill>
              <a:srgbClr val="ED7D31"/>
            </a:solidFill>
            <a:ln>
              <a:prstDash val="solid"/>
            </a:ln>
          </spPr>
          <cat>
            <numRef>
              <f>'Brighton &amp; Hove Albion'!$Z$11:$Z$18</f>
            </numRef>
          </cat>
          <val>
            <numRef>
              <f>'Brighton &amp; Hove Albion'!$AC$11:$AC$18</f>
            </numRef>
          </val>
        </ser>
        <gapWidth val="60"/>
        <axId val="10"/>
        <axId val="100"/>
      </barChart>
      <lineChart>
        <grouping val="standard"/>
        <ser>
          <idx val="1"/>
          <order val="1"/>
          <tx>
            <strRef>
              <f>'Brighton &amp; Hove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'Brighton &amp; Hove Albion'!$Z$11:$Z$18</f>
            </numRef>
          </cat>
          <val>
            <numRef>
              <f>'Brighton &amp; Hove Albion'!$AD$11:$AD$18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Chelsea: xG for - pre-game expected (bars) vs actual (line)</a:t>
            </a:r>
          </a:p>
        </rich>
      </tx>
    </title>
    <plotArea>
      <barChart>
        <barDir val="col"/>
        <grouping val="clustered"/>
        <ser>
          <idx val="0"/>
          <order val="0"/>
          <tx>
            <strRef>
              <f>'Chelsea'!AA10</f>
            </strRef>
          </tx>
          <spPr>
            <a:solidFill>
              <a:srgbClr val="5B9BD5"/>
            </a:solidFill>
            <a:ln>
              <a:prstDash val="solid"/>
            </a:ln>
          </spPr>
          <cat>
            <numRef>
              <f>'Chelsea'!$Z$11:$Z$18</f>
            </numRef>
          </cat>
          <val>
            <numRef>
              <f>'Chelsea'!$AA$11:$AA$18</f>
            </numRef>
          </val>
        </ser>
        <gapWidth val="60"/>
        <axId val="10"/>
        <axId val="100"/>
      </barChart>
      <lineChart>
        <grouping val="standard"/>
        <ser>
          <idx val="1"/>
          <order val="1"/>
          <tx>
            <strRef>
              <f>'Chelsea'!AB10</f>
            </strRef>
          </tx>
          <spPr>
            <a:ln w="28000">
              <a:solidFill>
                <a:srgbClr val="000000"/>
              </a:solidFill>
              <a:prstDash val="solid"/>
            </a:ln>
          </spPr>
          <marker>
            <symbol val="circle"/>
            <size val="7"/>
            <spPr>
              <a:solidFill>
                <a:srgbClr val="000000"/>
              </a:solidFill>
              <a:ln>
                <a:solidFill>
                  <a:srgbClr val="000000"/>
                </a:solidFill>
                <a:prstDash val="solid"/>
              </a:ln>
            </spPr>
          </marker>
          <cat>
            <numRef>
              <f>'Chelsea'!$Z$11:$Z$18</f>
            </numRef>
          </cat>
          <val>
            <numRef>
              <f>'Chelsea'!$AB$11:$AB$18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Chelsea: xG against - pre-game expected (bars) vs actual (line)</a:t>
            </a:r>
          </a:p>
        </rich>
      </tx>
    </title>
    <plotArea>
      <barChart>
        <barDir val="col"/>
        <grouping val="clustered"/>
        <ser>
          <idx val="0"/>
          <order val="0"/>
          <tx>
            <strRef>
              <f>'Chelsea'!AC10</f>
            </strRef>
          </tx>
          <spPr>
            <a:solidFill>
              <a:srgbClr val="ED7D31"/>
            </a:solidFill>
            <a:ln>
              <a:prstDash val="solid"/>
            </a:ln>
          </spPr>
          <cat>
            <numRef>
              <f>'Chelsea'!$Z$11:$Z$18</f>
            </numRef>
          </cat>
          <val>
            <numRef>
              <f>'Chelsea'!$AC$11:$AC$18</f>
            </numRef>
          </val>
        </ser>
        <gapWidth val="60"/>
        <axId val="10"/>
        <axId val="100"/>
      </barChart>
      <lineChart>
        <grouping val="standard"/>
        <ser>
          <idx val="1"/>
          <order val="1"/>
          <tx>
            <strRef>
              <f>'Chelsea'!AD10</f>
            </strRef>
          </tx>
          <spPr>
            <a:ln w="28000">
              <a:solidFill>
                <a:srgbClr val="C00000"/>
              </a:solidFill>
              <a:prstDash val="solid"/>
            </a:ln>
          </spPr>
          <marker>
            <symbol val="circle"/>
            <size val="7"/>
            <spPr>
              <a:solidFill>
                <a:srgbClr val="C00000"/>
              </a:solidFill>
              <a:ln>
                <a:solidFill>
                  <a:srgbClr val="C00000"/>
                </a:solidFill>
                <a:prstDash val="solid"/>
              </a:ln>
            </spPr>
          </marker>
          <cat>
            <numRef>
              <f>'Chelsea'!$Z$11:$Z$18</f>
            </numRef>
          </cat>
          <val>
            <numRef>
              <f>'Chelsea'!$AD$11:$AD$18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Coventry: xG for - pre-game expected (bars) vs actual (line)</a:t>
            </a:r>
          </a:p>
        </rich>
      </tx>
    </title>
    <plotArea>
      <barChart>
        <barDir val="col"/>
        <grouping val="clustered"/>
        <ser>
          <idx val="0"/>
          <order val="0"/>
          <tx>
            <strRef>
              <f>'Coventry'!AA10</f>
            </strRef>
          </tx>
          <spPr>
            <a:solidFill>
              <a:srgbClr val="5B9BD5"/>
            </a:solidFill>
            <a:ln>
              <a:prstDash val="solid"/>
            </a:ln>
          </spPr>
          <cat>
            <numRef>
              <f>'Coventry'!$Z$11:$Z$18</f>
            </numRef>
          </cat>
          <val>
            <numRef>
              <f>'Coventry'!$AA$11:$AA$18</f>
            </numRef>
          </val>
        </ser>
        <gapWidth val="60"/>
        <axId val="10"/>
        <axId val="100"/>
      </barChart>
      <lineChart>
        <grouping val="standard"/>
        <ser>
          <idx val="1"/>
          <order val="1"/>
          <tx>
            <strRef>
              <f>'Coventry'!AB10</f>
            </strRef>
          </tx>
          <spPr>
            <a:ln w="28000">
              <a:solidFill>
                <a:srgbClr val="000000"/>
              </a:solidFill>
              <a:prstDash val="solid"/>
            </a:ln>
          </spPr>
          <marker>
            <symbol val="circle"/>
            <size val="7"/>
            <spPr>
              <a:solidFill>
                <a:srgbClr val="000000"/>
              </a:solidFill>
              <a:ln>
                <a:solidFill>
                  <a:srgbClr val="000000"/>
                </a:solidFill>
                <a:prstDash val="solid"/>
              </a:ln>
            </spPr>
          </marker>
          <cat>
            <numRef>
              <f>'Coventry'!$Z$11:$Z$18</f>
            </numRef>
          </cat>
          <val>
            <numRef>
              <f>'Coventry'!$AB$11:$AB$18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Coventry: xG against - pre-game expected (bars) vs actual (line)</a:t>
            </a:r>
          </a:p>
        </rich>
      </tx>
    </title>
    <plotArea>
      <barChart>
        <barDir val="col"/>
        <grouping val="clustered"/>
        <ser>
          <idx val="0"/>
          <order val="0"/>
          <tx>
            <strRef>
              <f>'Coventry'!AC10</f>
            </strRef>
          </tx>
          <spPr>
            <a:solidFill>
              <a:srgbClr val="ED7D31"/>
            </a:solidFill>
            <a:ln>
              <a:prstDash val="solid"/>
            </a:ln>
          </spPr>
          <cat>
            <numRef>
              <f>'Coventry'!$Z$11:$Z$18</f>
            </numRef>
          </cat>
          <val>
            <numRef>
              <f>'Coventry'!$AC$11:$AC$18</f>
            </numRef>
          </val>
        </ser>
        <gapWidth val="60"/>
        <axId val="10"/>
        <axId val="100"/>
      </barChart>
      <lineChart>
        <grouping val="standard"/>
        <ser>
          <idx val="1"/>
          <order val="1"/>
          <tx>
            <strRef>
              <f>'Coventry'!AD10</f>
            </strRef>
          </tx>
          <spPr>
            <a:ln w="28000">
              <a:solidFill>
                <a:srgbClr val="C00000"/>
              </a:solidFill>
              <a:prstDash val="solid"/>
            </a:ln>
          </spPr>
          <marker>
            <symbol val="circle"/>
            <size val="7"/>
            <spPr>
              <a:solidFill>
                <a:srgbClr val="C00000"/>
              </a:solidFill>
              <a:ln>
                <a:solidFill>
                  <a:srgbClr val="C00000"/>
                </a:solidFill>
                <a:prstDash val="solid"/>
              </a:ln>
            </spPr>
          </marker>
          <cat>
            <numRef>
              <f>'Coventry'!$Z$11:$Z$18</f>
            </numRef>
          </cat>
          <val>
            <numRef>
              <f>'Coventry'!$AD$11:$AD$18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Crystal Palace: xG for - pre-game expected (bars) vs actual (line)</a:t>
            </a:r>
          </a:p>
        </rich>
      </tx>
    </title>
    <plotArea>
      <barChart>
        <barDir val="col"/>
        <grouping val="clustered"/>
        <ser>
          <idx val="0"/>
          <order val="0"/>
          <tx>
            <strRef>
              <f>'Crystal Palace'!AA10</f>
            </strRef>
          </tx>
          <spPr>
            <a:solidFill>
              <a:srgbClr val="5B9BD5"/>
            </a:solidFill>
            <a:ln>
              <a:prstDash val="solid"/>
            </a:ln>
          </spPr>
          <cat>
            <numRef>
              <f>'Crystal Palace'!$Z$11:$Z$18</f>
            </numRef>
          </cat>
          <val>
            <numRef>
              <f>'Crystal Palace'!$AA$11:$AA$18</f>
            </numRef>
          </val>
        </ser>
        <gapWidth val="60"/>
        <axId val="10"/>
        <axId val="100"/>
      </barChart>
      <lineChart>
        <grouping val="standard"/>
        <ser>
          <idx val="1"/>
          <order val="1"/>
          <tx>
            <strRef>
              <f>'Crystal Palace'!AB10</f>
            </strRef>
          </tx>
          <spPr>
            <a:ln w="28000">
              <a:solidFill>
                <a:srgbClr val="000000"/>
              </a:solidFill>
              <a:prstDash val="solid"/>
            </a:ln>
          </spPr>
          <marker>
            <symbol val="circle"/>
            <size val="7"/>
            <spPr>
              <a:solidFill>
                <a:srgbClr val="000000"/>
              </a:solidFill>
              <a:ln>
                <a:solidFill>
                  <a:srgbClr val="000000"/>
                </a:solidFill>
                <a:prstDash val="solid"/>
              </a:ln>
            </spPr>
          </marker>
          <cat>
            <numRef>
              <f>'Crystal Palace'!$Z$11:$Z$18</f>
            </numRef>
          </cat>
          <val>
            <numRef>
              <f>'Crystal Palace'!$AB$11:$AB$18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Crystal Palace: xG against - pre-game expected (bars) vs actual (line)</a:t>
            </a:r>
          </a:p>
        </rich>
      </tx>
    </title>
    <plotArea>
      <barChart>
        <barDir val="col"/>
        <grouping val="clustered"/>
        <ser>
          <idx val="0"/>
          <order val="0"/>
          <tx>
            <strRef>
              <f>'Crystal Palace'!AC10</f>
            </strRef>
          </tx>
          <spPr>
            <a:solidFill>
              <a:srgbClr val="ED7D31"/>
            </a:solidFill>
            <a:ln>
              <a:prstDash val="solid"/>
            </a:ln>
          </spPr>
          <cat>
            <numRef>
              <f>'Crystal Palace'!$Z$11:$Z$18</f>
            </numRef>
          </cat>
          <val>
            <numRef>
              <f>'Crystal Palace'!$AC$11:$AC$18</f>
            </numRef>
          </val>
        </ser>
        <gapWidth val="60"/>
        <axId val="10"/>
        <axId val="100"/>
      </barChart>
      <lineChart>
        <grouping val="standard"/>
        <ser>
          <idx val="1"/>
          <order val="1"/>
          <tx>
            <strRef>
              <f>'Crystal Palace'!AD10</f>
            </strRef>
          </tx>
          <spPr>
            <a:ln w="28000">
              <a:solidFill>
                <a:srgbClr val="C00000"/>
              </a:solidFill>
              <a:prstDash val="solid"/>
            </a:ln>
          </spPr>
          <marker>
            <symbol val="circle"/>
            <size val="7"/>
            <spPr>
              <a:solidFill>
                <a:srgbClr val="C00000"/>
              </a:solidFill>
              <a:ln>
                <a:solidFill>
                  <a:srgbClr val="C00000"/>
                </a:solidFill>
                <a:prstDash val="solid"/>
              </a:ln>
            </spPr>
          </marker>
          <cat>
            <numRef>
              <f>'Crystal Palace'!$Z$11:$Z$18</f>
            </numRef>
          </cat>
          <val>
            <numRef>
              <f>'Crystal Palace'!$AD$11:$AD$18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Everton: xG for - pre-game expected (bars) vs actual (line)</a:t>
            </a:r>
          </a:p>
        </rich>
      </tx>
    </title>
    <plotArea>
      <barChart>
        <barDir val="col"/>
        <grouping val="clustered"/>
        <ser>
          <idx val="0"/>
          <order val="0"/>
          <tx>
            <strRef>
              <f>'Everton'!AA10</f>
            </strRef>
          </tx>
          <spPr>
            <a:solidFill>
              <a:srgbClr val="5B9BD5"/>
            </a:solidFill>
            <a:ln>
              <a:prstDash val="solid"/>
            </a:ln>
          </spPr>
          <cat>
            <numRef>
              <f>'Everton'!$Z$11:$Z$18</f>
            </numRef>
          </cat>
          <val>
            <numRef>
              <f>'Everton'!$AA$11:$AA$18</f>
            </numRef>
          </val>
        </ser>
        <gapWidth val="60"/>
        <axId val="10"/>
        <axId val="100"/>
      </barChart>
      <lineChart>
        <grouping val="standard"/>
        <ser>
          <idx val="1"/>
          <order val="1"/>
          <tx>
            <strRef>
              <f>'Everton'!AB10</f>
            </strRef>
          </tx>
          <spPr>
            <a:ln w="28000">
              <a:solidFill>
                <a:srgbClr val="000000"/>
              </a:solidFill>
              <a:prstDash val="solid"/>
            </a:ln>
          </spPr>
          <marker>
            <symbol val="circle"/>
            <size val="7"/>
            <spPr>
              <a:solidFill>
                <a:srgbClr val="000000"/>
              </a:solidFill>
              <a:ln>
                <a:solidFill>
                  <a:srgbClr val="000000"/>
                </a:solidFill>
                <a:prstDash val="solid"/>
              </a:ln>
            </spPr>
          </marker>
          <cat>
            <numRef>
              <f>'Everton'!$Z$11:$Z$18</f>
            </numRef>
          </cat>
          <val>
            <numRef>
              <f>'Everton'!$AB$11:$AB$18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Everton: xG against - pre-game expected (bars) vs actual (line)</a:t>
            </a:r>
          </a:p>
        </rich>
      </tx>
    </title>
    <plotArea>
      <barChart>
        <barDir val="col"/>
        <grouping val="clustered"/>
        <ser>
          <idx val="0"/>
          <order val="0"/>
          <tx>
            <strRef>
              <f>'Everton'!AC10</f>
            </strRef>
          </tx>
          <spPr>
            <a:solidFill>
              <a:srgbClr val="ED7D31"/>
            </a:solidFill>
            <a:ln>
              <a:prstDash val="solid"/>
            </a:ln>
          </spPr>
          <cat>
            <numRef>
              <f>'Everton'!$Z$11:$Z$18</f>
            </numRef>
          </cat>
          <val>
            <numRef>
              <f>'Everton'!$AC$11:$AC$18</f>
            </numRef>
          </val>
        </ser>
        <gapWidth val="60"/>
        <axId val="10"/>
        <axId val="100"/>
      </barChart>
      <lineChart>
        <grouping val="standard"/>
        <ser>
          <idx val="1"/>
          <order val="1"/>
          <tx>
            <strRef>
              <f>'Everton'!AD10</f>
            </strRef>
          </tx>
          <spPr>
            <a:ln w="28000">
              <a:solidFill>
                <a:srgbClr val="C00000"/>
              </a:solidFill>
              <a:prstDash val="solid"/>
            </a:ln>
          </spPr>
          <marker>
            <symbol val="circle"/>
            <size val="7"/>
            <spPr>
              <a:solidFill>
                <a:srgbClr val="C00000"/>
              </a:solidFill>
              <a:ln>
                <a:solidFill>
                  <a:srgbClr val="C00000"/>
                </a:solidFill>
                <a:prstDash val="solid"/>
              </a:ln>
            </spPr>
          </marker>
          <cat>
            <numRef>
              <f>'Everton'!$Z$11:$Z$18</f>
            </numRef>
          </cat>
          <val>
            <numRef>
              <f>'Everton'!$AD$11:$AD$18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Fulham: xG for - pre-game expected (bars) vs actual (line)</a:t>
            </a:r>
          </a:p>
        </rich>
      </tx>
    </title>
    <plotArea>
      <barChart>
        <barDir val="col"/>
        <grouping val="clustered"/>
        <ser>
          <idx val="0"/>
          <order val="0"/>
          <tx>
            <strRef>
              <f>'Fulham'!AA10</f>
            </strRef>
          </tx>
          <spPr>
            <a:solidFill>
              <a:srgbClr val="5B9BD5"/>
            </a:solidFill>
            <a:ln>
              <a:prstDash val="solid"/>
            </a:ln>
          </spPr>
          <cat>
            <numRef>
              <f>'Fulham'!$Z$11:$Z$18</f>
            </numRef>
          </cat>
          <val>
            <numRef>
              <f>'Fulham'!$AA$11:$AA$18</f>
            </numRef>
          </val>
        </ser>
        <gapWidth val="60"/>
        <axId val="10"/>
        <axId val="100"/>
      </barChart>
      <lineChart>
        <grouping val="standard"/>
        <ser>
          <idx val="1"/>
          <order val="1"/>
          <tx>
            <strRef>
              <f>'Fulham'!AB10</f>
            </strRef>
          </tx>
          <spPr>
            <a:ln w="28000">
              <a:solidFill>
                <a:srgbClr val="000000"/>
              </a:solidFill>
              <a:prstDash val="solid"/>
            </a:ln>
          </spPr>
          <marker>
            <symbol val="circle"/>
            <size val="7"/>
            <spPr>
              <a:solidFill>
                <a:srgbClr val="000000"/>
              </a:solidFill>
              <a:ln>
                <a:solidFill>
                  <a:srgbClr val="000000"/>
                </a:solidFill>
                <a:prstDash val="solid"/>
              </a:ln>
            </spPr>
          </marker>
          <cat>
            <numRef>
              <f>'Fulham'!$Z$11:$Z$18</f>
            </numRef>
          </cat>
          <val>
            <numRef>
              <f>'Fulham'!$AB$11:$AB$18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Fulham: xG against - pre-game expected (bars) vs actual (line)</a:t>
            </a:r>
          </a:p>
        </rich>
      </tx>
    </title>
    <plotArea>
      <barChart>
        <barDir val="col"/>
        <grouping val="clustered"/>
        <ser>
          <idx val="0"/>
          <order val="0"/>
          <tx>
            <strRef>
              <f>'Fulham'!AC10</f>
            </strRef>
          </tx>
          <spPr>
            <a:solidFill>
              <a:srgbClr val="ED7D31"/>
            </a:solidFill>
            <a:ln>
              <a:prstDash val="solid"/>
            </a:ln>
          </spPr>
          <cat>
            <numRef>
              <f>'Fulham'!$Z$11:$Z$18</f>
            </numRef>
          </cat>
          <val>
            <numRef>
              <f>'Fulham'!$AC$11:$AC$18</f>
            </numRef>
          </val>
        </ser>
        <gapWidth val="60"/>
        <axId val="10"/>
        <axId val="100"/>
      </barChart>
      <lineChart>
        <grouping val="standard"/>
        <ser>
          <idx val="1"/>
          <order val="1"/>
          <tx>
            <strRef>
              <f>'Fulham'!AD10</f>
            </strRef>
          </tx>
          <spPr>
            <a:ln w="28000">
              <a:solidFill>
                <a:srgbClr val="C00000"/>
              </a:solidFill>
              <a:prstDash val="solid"/>
            </a:ln>
          </spPr>
          <marker>
            <symbol val="circle"/>
            <size val="7"/>
            <spPr>
              <a:solidFill>
                <a:srgbClr val="C00000"/>
              </a:solidFill>
              <a:ln>
                <a:solidFill>
                  <a:srgbClr val="C00000"/>
                </a:solidFill>
                <a:prstDash val="solid"/>
              </a:ln>
            </spPr>
          </marker>
          <cat>
            <numRef>
              <f>'Fulham'!$Z$11:$Z$18</f>
            </numRef>
          </cat>
          <val>
            <numRef>
              <f>'Fulham'!$AD$11:$AD$18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Hull: xG for - pre-game expected (bars) vs actual (line)</a:t>
            </a:r>
          </a:p>
        </rich>
      </tx>
    </title>
    <plotArea>
      <barChart>
        <barDir val="col"/>
        <grouping val="clustered"/>
        <ser>
          <idx val="0"/>
          <order val="0"/>
          <tx>
            <strRef>
              <f>'Hull'!AA10</f>
            </strRef>
          </tx>
          <spPr>
            <a:solidFill>
              <a:srgbClr val="5B9BD5"/>
            </a:solidFill>
            <a:ln>
              <a:prstDash val="solid"/>
            </a:ln>
          </spPr>
          <cat>
            <numRef>
              <f>'Hull'!$Z$11:$Z$18</f>
            </numRef>
          </cat>
          <val>
            <numRef>
              <f>'Hull'!$AA$11:$AA$18</f>
            </numRef>
          </val>
        </ser>
        <gapWidth val="60"/>
        <axId val="10"/>
        <axId val="100"/>
      </barChart>
      <lineChart>
        <grouping val="standard"/>
        <ser>
          <idx val="1"/>
          <order val="1"/>
          <tx>
            <strRef>
              <f>'Hull'!AB10</f>
            </strRef>
          </tx>
          <spPr>
            <a:ln w="28000">
              <a:solidFill>
                <a:srgbClr val="000000"/>
              </a:solidFill>
              <a:prstDash val="solid"/>
            </a:ln>
          </spPr>
          <marker>
            <symbol val="circle"/>
            <size val="7"/>
            <spPr>
              <a:solidFill>
                <a:srgbClr val="000000"/>
              </a:solidFill>
              <a:ln>
                <a:solidFill>
                  <a:srgbClr val="000000"/>
                </a:solidFill>
                <a:prstDash val="solid"/>
              </a:ln>
            </spPr>
          </marker>
          <cat>
            <numRef>
              <f>'Hull'!$Z$11:$Z$18</f>
            </numRef>
          </cat>
          <val>
            <numRef>
              <f>'Hull'!$AB$11:$AB$18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Hull: xG against - pre-game expected (bars) vs actual (line)</a:t>
            </a:r>
          </a:p>
        </rich>
      </tx>
    </title>
    <plotArea>
      <barChart>
        <barDir val="col"/>
        <grouping val="clustered"/>
        <ser>
          <idx val="0"/>
          <order val="0"/>
          <tx>
            <strRef>
              <f>'Hull'!AC10</f>
            </strRef>
          </tx>
          <spPr>
            <a:solidFill>
              <a:srgbClr val="ED7D31"/>
            </a:solidFill>
            <a:ln>
              <a:prstDash val="solid"/>
            </a:ln>
          </spPr>
          <cat>
            <numRef>
              <f>'Hull'!$Z$11:$Z$18</f>
            </numRef>
          </cat>
          <val>
            <numRef>
              <f>'Hull'!$AC$11:$AC$18</f>
            </numRef>
          </val>
        </ser>
        <gapWidth val="60"/>
        <axId val="10"/>
        <axId val="100"/>
      </barChart>
      <lineChart>
        <grouping val="standard"/>
        <ser>
          <idx val="1"/>
          <order val="1"/>
          <tx>
            <strRef>
              <f>'Hull'!AD10</f>
            </strRef>
          </tx>
          <spPr>
            <a:ln w="28000">
              <a:solidFill>
                <a:srgbClr val="C00000"/>
              </a:solidFill>
              <a:prstDash val="solid"/>
            </a:ln>
          </spPr>
          <marker>
            <symbol val="circle"/>
            <size val="7"/>
            <spPr>
              <a:solidFill>
                <a:srgbClr val="C00000"/>
              </a:solidFill>
              <a:ln>
                <a:solidFill>
                  <a:srgbClr val="C00000"/>
                </a:solidFill>
                <a:prstDash val="solid"/>
              </a:ln>
            </spPr>
          </marker>
          <cat>
            <numRef>
              <f>'Hull'!$Z$11:$Z$18</f>
            </numRef>
          </cat>
          <val>
            <numRef>
              <f>'Hull'!$AD$11:$AD$18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Ipswich: xG for - pre-game expected (bars) vs actual (line)</a:t>
            </a:r>
          </a:p>
        </rich>
      </tx>
    </title>
    <plotArea>
      <barChart>
        <barDir val="col"/>
        <grouping val="clustered"/>
        <ser>
          <idx val="0"/>
          <order val="0"/>
          <tx>
            <strRef>
              <f>'Ipswich'!AA10</f>
            </strRef>
          </tx>
          <spPr>
            <a:solidFill>
              <a:srgbClr val="5B9BD5"/>
            </a:solidFill>
            <a:ln>
              <a:prstDash val="solid"/>
            </a:ln>
          </spPr>
          <cat>
            <numRef>
              <f>'Ipswich'!$Z$11:$Z$18</f>
            </numRef>
          </cat>
          <val>
            <numRef>
              <f>'Ipswich'!$AA$11:$AA$18</f>
            </numRef>
          </val>
        </ser>
        <gapWidth val="60"/>
        <axId val="10"/>
        <axId val="100"/>
      </barChart>
      <lineChart>
        <grouping val="standard"/>
        <ser>
          <idx val="1"/>
          <order val="1"/>
          <tx>
            <strRef>
              <f>'Ipswich'!AB10</f>
            </strRef>
          </tx>
          <spPr>
            <a:ln w="28000">
              <a:solidFill>
                <a:srgbClr val="000000"/>
              </a:solidFill>
              <a:prstDash val="solid"/>
            </a:ln>
          </spPr>
          <marker>
            <symbol val="circle"/>
            <size val="7"/>
            <spPr>
              <a:solidFill>
                <a:srgbClr val="000000"/>
              </a:solidFill>
              <a:ln>
                <a:solidFill>
                  <a:srgbClr val="000000"/>
                </a:solidFill>
                <a:prstDash val="solid"/>
              </a:ln>
            </spPr>
          </marker>
          <cat>
            <numRef>
              <f>'Ipswich'!$Z$11:$Z$18</f>
            </numRef>
          </cat>
          <val>
            <numRef>
              <f>'Ipswich'!$AB$11:$AB$18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Ipswich: xG against - pre-game expected (bars) vs actual (line)</a:t>
            </a:r>
          </a:p>
        </rich>
      </tx>
    </title>
    <plotArea>
      <barChart>
        <barDir val="col"/>
        <grouping val="clustered"/>
        <ser>
          <idx val="0"/>
          <order val="0"/>
          <tx>
            <strRef>
              <f>'Ipswich'!AC10</f>
            </strRef>
          </tx>
          <spPr>
            <a:solidFill>
              <a:srgbClr val="ED7D31"/>
            </a:solidFill>
            <a:ln>
              <a:prstDash val="solid"/>
            </a:ln>
          </spPr>
          <cat>
            <numRef>
              <f>'Ipswich'!$Z$11:$Z$18</f>
            </numRef>
          </cat>
          <val>
            <numRef>
              <f>'Ipswich'!$AC$11:$AC$18</f>
            </numRef>
          </val>
        </ser>
        <gapWidth val="60"/>
        <axId val="10"/>
        <axId val="100"/>
      </barChart>
      <lineChart>
        <grouping val="standard"/>
        <ser>
          <idx val="1"/>
          <order val="1"/>
          <tx>
            <strRef>
              <f>'Ipswich'!AD10</f>
            </strRef>
          </tx>
          <spPr>
            <a:ln w="28000">
              <a:solidFill>
                <a:srgbClr val="C00000"/>
              </a:solidFill>
              <a:prstDash val="solid"/>
            </a:ln>
          </spPr>
          <marker>
            <symbol val="circle"/>
            <size val="7"/>
            <spPr>
              <a:solidFill>
                <a:srgbClr val="C00000"/>
              </a:solidFill>
              <a:ln>
                <a:solidFill>
                  <a:srgbClr val="C00000"/>
                </a:solidFill>
                <a:prstDash val="solid"/>
              </a:ln>
            </spPr>
          </marker>
          <cat>
            <numRef>
              <f>'Ipswich'!$Z$11:$Z$18</f>
            </numRef>
          </cat>
          <val>
            <numRef>
              <f>'Ipswich'!$AD$11:$AD$18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Leeds United: xG for - pre-game expected (bars) vs actual (line)</a:t>
            </a:r>
          </a:p>
        </rich>
      </tx>
    </title>
    <plotArea>
      <barChart>
        <barDir val="col"/>
        <grouping val="clustered"/>
        <ser>
          <idx val="0"/>
          <order val="0"/>
          <tx>
            <strRef>
              <f>'Leeds United'!AA10</f>
            </strRef>
          </tx>
          <spPr>
            <a:solidFill>
              <a:srgbClr val="5B9BD5"/>
            </a:solidFill>
            <a:ln>
              <a:prstDash val="solid"/>
            </a:ln>
          </spPr>
          <cat>
            <numRef>
              <f>'Leeds United'!$Z$11:$Z$18</f>
            </numRef>
          </cat>
          <val>
            <numRef>
              <f>'Leeds United'!$AA$11:$AA$18</f>
            </numRef>
          </val>
        </ser>
        <gapWidth val="60"/>
        <axId val="10"/>
        <axId val="100"/>
      </barChart>
      <lineChart>
        <grouping val="standard"/>
        <ser>
          <idx val="1"/>
          <order val="1"/>
          <tx>
            <strRef>
              <f>'Leeds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'Leeds United'!$Z$11:$Z$18</f>
            </numRef>
          </cat>
          <val>
            <numRef>
              <f>'Leeds United'!$AB$11:$AB$18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Leeds United: xG against - pre-game expected (bars) vs actual (line)</a:t>
            </a:r>
          </a:p>
        </rich>
      </tx>
    </title>
    <plotArea>
      <barChart>
        <barDir val="col"/>
        <grouping val="clustered"/>
        <ser>
          <idx val="0"/>
          <order val="0"/>
          <tx>
            <strRef>
              <f>'Leeds United'!AC10</f>
            </strRef>
          </tx>
          <spPr>
            <a:solidFill>
              <a:srgbClr val="ED7D31"/>
            </a:solidFill>
            <a:ln>
              <a:prstDash val="solid"/>
            </a:ln>
          </spPr>
          <cat>
            <numRef>
              <f>'Leeds United'!$Z$11:$Z$18</f>
            </numRef>
          </cat>
          <val>
            <numRef>
              <f>'Leeds United'!$AC$11:$AC$18</f>
            </numRef>
          </val>
        </ser>
        <gapWidth val="60"/>
        <axId val="10"/>
        <axId val="100"/>
      </barChart>
      <lineChart>
        <grouping val="standard"/>
        <ser>
          <idx val="1"/>
          <order val="1"/>
          <tx>
            <strRef>
              <f>'Leeds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'Leeds United'!$Z$11:$Z$18</f>
            </numRef>
          </cat>
          <val>
            <numRef>
              <f>'Leeds United'!$AD$11:$AD$18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Liverpool: xG for - pre-game expected (bars) vs actual (line)</a:t>
            </a:r>
          </a:p>
        </rich>
      </tx>
    </title>
    <plotArea>
      <barChart>
        <barDir val="col"/>
        <grouping val="clustered"/>
        <ser>
          <idx val="0"/>
          <order val="0"/>
          <tx>
            <strRef>
              <f>'Liverpool'!AA10</f>
            </strRef>
          </tx>
          <spPr>
            <a:solidFill>
              <a:srgbClr val="5B9BD5"/>
            </a:solidFill>
            <a:ln>
              <a:prstDash val="solid"/>
            </a:ln>
          </spPr>
          <cat>
            <numRef>
              <f>'Liverpool'!$Z$11:$Z$18</f>
            </numRef>
          </cat>
          <val>
            <numRef>
              <f>'Liverpool'!$AA$11:$AA$18</f>
            </numRef>
          </val>
        </ser>
        <gapWidth val="60"/>
        <axId val="10"/>
        <axId val="100"/>
      </barChart>
      <lineChart>
        <grouping val="standard"/>
        <ser>
          <idx val="1"/>
          <order val="1"/>
          <tx>
            <strRef>
              <f>'Liverpool'!AB10</f>
            </strRef>
          </tx>
          <spPr>
            <a:ln w="28000">
              <a:solidFill>
                <a:srgbClr val="000000"/>
              </a:solidFill>
              <a:prstDash val="solid"/>
            </a:ln>
          </spPr>
          <marker>
            <symbol val="circle"/>
            <size val="7"/>
            <spPr>
              <a:solidFill>
                <a:srgbClr val="000000"/>
              </a:solidFill>
              <a:ln>
                <a:solidFill>
                  <a:srgbClr val="000000"/>
                </a:solidFill>
                <a:prstDash val="solid"/>
              </a:ln>
            </spPr>
          </marker>
          <cat>
            <numRef>
              <f>'Liverpool'!$Z$11:$Z$18</f>
            </numRef>
          </cat>
          <val>
            <numRef>
              <f>'Liverpool'!$AB$11:$AB$18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Liverpool: xG against - pre-game expected (bars) vs actual (line)</a:t>
            </a:r>
          </a:p>
        </rich>
      </tx>
    </title>
    <plotArea>
      <barChart>
        <barDir val="col"/>
        <grouping val="clustered"/>
        <ser>
          <idx val="0"/>
          <order val="0"/>
          <tx>
            <strRef>
              <f>'Liverpool'!AC10</f>
            </strRef>
          </tx>
          <spPr>
            <a:solidFill>
              <a:srgbClr val="ED7D31"/>
            </a:solidFill>
            <a:ln>
              <a:prstDash val="solid"/>
            </a:ln>
          </spPr>
          <cat>
            <numRef>
              <f>'Liverpool'!$Z$11:$Z$18</f>
            </numRef>
          </cat>
          <val>
            <numRef>
              <f>'Liverpool'!$AC$11:$AC$18</f>
            </numRef>
          </val>
        </ser>
        <gapWidth val="60"/>
        <axId val="10"/>
        <axId val="100"/>
      </barChart>
      <lineChart>
        <grouping val="standard"/>
        <ser>
          <idx val="1"/>
          <order val="1"/>
          <tx>
            <strRef>
              <f>'Liverpool'!AD10</f>
            </strRef>
          </tx>
          <spPr>
            <a:ln w="28000">
              <a:solidFill>
                <a:srgbClr val="C00000"/>
              </a:solidFill>
              <a:prstDash val="solid"/>
            </a:ln>
          </spPr>
          <marker>
            <symbol val="circle"/>
            <size val="7"/>
            <spPr>
              <a:solidFill>
                <a:srgbClr val="C00000"/>
              </a:solidFill>
              <a:ln>
                <a:solidFill>
                  <a:srgbClr val="C00000"/>
                </a:solidFill>
                <a:prstDash val="solid"/>
              </a:ln>
            </spPr>
          </marker>
          <cat>
            <numRef>
              <f>'Liverpool'!$Z$11:$Z$18</f>
            </numRef>
          </cat>
          <val>
            <numRef>
              <f>'Liverpool'!$AD$11:$AD$18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Manchester City: xG for - pre-game expected (bars) vs actual (line)</a:t>
            </a:r>
          </a:p>
        </rich>
      </tx>
    </title>
    <plotArea>
      <barChart>
        <barDir val="col"/>
        <grouping val="clustered"/>
        <ser>
          <idx val="0"/>
          <order val="0"/>
          <tx>
            <strRef>
              <f>'Manchester City'!AA10</f>
            </strRef>
          </tx>
          <spPr>
            <a:solidFill>
              <a:srgbClr val="5B9BD5"/>
            </a:solidFill>
            <a:ln>
              <a:prstDash val="solid"/>
            </a:ln>
          </spPr>
          <cat>
            <numRef>
              <f>'Manchester City'!$Z$11:$Z$18</f>
            </numRef>
          </cat>
          <val>
            <numRef>
              <f>'Manchester City'!$AA$11:$AA$18</f>
            </numRef>
          </val>
        </ser>
        <gapWidth val="60"/>
        <axId val="10"/>
        <axId val="100"/>
      </barChart>
      <lineChart>
        <grouping val="standard"/>
        <ser>
          <idx val="1"/>
          <order val="1"/>
          <tx>
            <strRef>
              <f>'Manchester City'!AB10</f>
            </strRef>
          </tx>
          <spPr>
            <a:ln w="28000">
              <a:solidFill>
                <a:srgbClr val="000000"/>
              </a:solidFill>
              <a:prstDash val="solid"/>
            </a:ln>
          </spPr>
          <marker>
            <symbol val="circle"/>
            <size val="7"/>
            <spPr>
              <a:solidFill>
                <a:srgbClr val="000000"/>
              </a:solidFill>
              <a:ln>
                <a:solidFill>
                  <a:srgbClr val="000000"/>
                </a:solidFill>
                <a:prstDash val="solid"/>
              </a:ln>
            </spPr>
          </marker>
          <cat>
            <numRef>
              <f>'Manchester City'!$Z$11:$Z$18</f>
            </numRef>
          </cat>
          <val>
            <numRef>
              <f>'Manchester City'!$AB$11:$AB$18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Manchester City: xG against - pre-game expected (bars) vs actual (line)</a:t>
            </a:r>
          </a:p>
        </rich>
      </tx>
    </title>
    <plotArea>
      <barChart>
        <barDir val="col"/>
        <grouping val="clustered"/>
        <ser>
          <idx val="0"/>
          <order val="0"/>
          <tx>
            <strRef>
              <f>'Manchester City'!AC10</f>
            </strRef>
          </tx>
          <spPr>
            <a:solidFill>
              <a:srgbClr val="ED7D31"/>
            </a:solidFill>
            <a:ln>
              <a:prstDash val="solid"/>
            </a:ln>
          </spPr>
          <cat>
            <numRef>
              <f>'Manchester City'!$Z$11:$Z$18</f>
            </numRef>
          </cat>
          <val>
            <numRef>
              <f>'Manchester City'!$AC$11:$AC$18</f>
            </numRef>
          </val>
        </ser>
        <gapWidth val="60"/>
        <axId val="10"/>
        <axId val="100"/>
      </barChart>
      <lineChart>
        <grouping val="standard"/>
        <ser>
          <idx val="1"/>
          <order val="1"/>
          <tx>
            <strRef>
              <f>'Manchester City'!AD10</f>
            </strRef>
          </tx>
          <spPr>
            <a:ln w="28000">
              <a:solidFill>
                <a:srgbClr val="C00000"/>
              </a:solidFill>
              <a:prstDash val="solid"/>
            </a:ln>
          </spPr>
          <marker>
            <symbol val="circle"/>
            <size val="7"/>
            <spPr>
              <a:solidFill>
                <a:srgbClr val="C00000"/>
              </a:solidFill>
              <a:ln>
                <a:solidFill>
                  <a:srgbClr val="C00000"/>
                </a:solidFill>
                <a:prstDash val="solid"/>
              </a:ln>
            </spPr>
          </marker>
          <cat>
            <numRef>
              <f>'Manchester City'!$Z$11:$Z$18</f>
            </numRef>
          </cat>
          <val>
            <numRef>
              <f>'Manchester City'!$AD$11:$AD$18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Manchester United: xG for - pre-game expected (bars) vs actual (line)</a:t>
            </a:r>
          </a:p>
        </rich>
      </tx>
    </title>
    <plotArea>
      <barChart>
        <barDir val="col"/>
        <grouping val="clustered"/>
        <ser>
          <idx val="0"/>
          <order val="0"/>
          <tx>
            <strRef>
              <f>'Manchester United'!AA10</f>
            </strRef>
          </tx>
          <spPr>
            <a:solidFill>
              <a:srgbClr val="5B9BD5"/>
            </a:solidFill>
            <a:ln>
              <a:prstDash val="solid"/>
            </a:ln>
          </spPr>
          <cat>
            <numRef>
              <f>'Manchester United'!$Z$11:$Z$18</f>
            </numRef>
          </cat>
          <val>
            <numRef>
              <f>'Manchester United'!$AA$11:$AA$18</f>
            </numRef>
          </val>
        </ser>
        <gapWidth val="60"/>
        <axId val="10"/>
        <axId val="100"/>
      </barChart>
      <lineChart>
        <grouping val="standard"/>
        <ser>
          <idx val="1"/>
          <order val="1"/>
          <tx>
            <strRef>
              <f>'Manchester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'Manchester United'!$Z$11:$Z$18</f>
            </numRef>
          </cat>
          <val>
            <numRef>
              <f>'Manchester United'!$AB$11:$AB$18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Manchester United: xG against - pre-game expected (bars) vs actual (line)</a:t>
            </a:r>
          </a:p>
        </rich>
      </tx>
    </title>
    <plotArea>
      <barChart>
        <barDir val="col"/>
        <grouping val="clustered"/>
        <ser>
          <idx val="0"/>
          <order val="0"/>
          <tx>
            <strRef>
              <f>'Manchester United'!AC10</f>
            </strRef>
          </tx>
          <spPr>
            <a:solidFill>
              <a:srgbClr val="ED7D31"/>
            </a:solidFill>
            <a:ln>
              <a:prstDash val="solid"/>
            </a:ln>
          </spPr>
          <cat>
            <numRef>
              <f>'Manchester United'!$Z$11:$Z$18</f>
            </numRef>
          </cat>
          <val>
            <numRef>
              <f>'Manchester United'!$AC$11:$AC$18</f>
            </numRef>
          </val>
        </ser>
        <gapWidth val="60"/>
        <axId val="10"/>
        <axId val="100"/>
      </barChart>
      <lineChart>
        <grouping val="standard"/>
        <ser>
          <idx val="1"/>
          <order val="1"/>
          <tx>
            <strRef>
              <f>'Manchester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'Manchester United'!$Z$11:$Z$18</f>
            </numRef>
          </cat>
          <val>
            <numRef>
              <f>'Manchester United'!$AD$11:$AD$18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Newcastle United: xG for - pre-game expected (bars) vs actual (line)</a:t>
            </a:r>
          </a:p>
        </rich>
      </tx>
    </title>
    <plotArea>
      <barChart>
        <barDir val="col"/>
        <grouping val="clustered"/>
        <ser>
          <idx val="0"/>
          <order val="0"/>
          <tx>
            <strRef>
              <f>'Newcastle United'!AA10</f>
            </strRef>
          </tx>
          <spPr>
            <a:solidFill>
              <a:srgbClr val="5B9BD5"/>
            </a:solidFill>
            <a:ln>
              <a:prstDash val="solid"/>
            </a:ln>
          </spPr>
          <cat>
            <numRef>
              <f>'Newcastle United'!$Z$11:$Z$18</f>
            </numRef>
          </cat>
          <val>
            <numRef>
              <f>'Newcastle United'!$AA$11:$AA$18</f>
            </numRef>
          </val>
        </ser>
        <gapWidth val="60"/>
        <axId val="10"/>
        <axId val="100"/>
      </barChart>
      <lineChart>
        <grouping val="standard"/>
        <ser>
          <idx val="1"/>
          <order val="1"/>
          <tx>
            <strRef>
              <f>'Newcastle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'Newcastle United'!$Z$11:$Z$18</f>
            </numRef>
          </cat>
          <val>
            <numRef>
              <f>'Newcastle United'!$AB$11:$AB$18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Newcastle United: xG against - pre-game expected (bars) vs actual (line)</a:t>
            </a:r>
          </a:p>
        </rich>
      </tx>
    </title>
    <plotArea>
      <barChart>
        <barDir val="col"/>
        <grouping val="clustered"/>
        <ser>
          <idx val="0"/>
          <order val="0"/>
          <tx>
            <strRef>
              <f>'Newcastle United'!AC10</f>
            </strRef>
          </tx>
          <spPr>
            <a:solidFill>
              <a:srgbClr val="ED7D31"/>
            </a:solidFill>
            <a:ln>
              <a:prstDash val="solid"/>
            </a:ln>
          </spPr>
          <cat>
            <numRef>
              <f>'Newcastle United'!$Z$11:$Z$18</f>
            </numRef>
          </cat>
          <val>
            <numRef>
              <f>'Newcastle United'!$AC$11:$AC$18</f>
            </numRef>
          </val>
        </ser>
        <gapWidth val="60"/>
        <axId val="10"/>
        <axId val="100"/>
      </barChart>
      <lineChart>
        <grouping val="standard"/>
        <ser>
          <idx val="1"/>
          <order val="1"/>
          <tx>
            <strRef>
              <f>'Newcastle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'Newcastle United'!$Z$11:$Z$18</f>
            </numRef>
          </cat>
          <val>
            <numRef>
              <f>'Newcastle United'!$AD$11:$AD$18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Nottingham Forest: xG for - pre-game expected (bars) vs actual (line)</a:t>
            </a:r>
          </a:p>
        </rich>
      </tx>
    </title>
    <plotArea>
      <barChart>
        <barDir val="col"/>
        <grouping val="clustered"/>
        <ser>
          <idx val="0"/>
          <order val="0"/>
          <tx>
            <strRef>
              <f>'Nottingham Forest'!AA10</f>
            </strRef>
          </tx>
          <spPr>
            <a:solidFill>
              <a:srgbClr val="5B9BD5"/>
            </a:solidFill>
            <a:ln>
              <a:prstDash val="solid"/>
            </a:ln>
          </spPr>
          <cat>
            <numRef>
              <f>'Nottingham Forest'!$Z$11:$Z$18</f>
            </numRef>
          </cat>
          <val>
            <numRef>
              <f>'Nottingham Forest'!$AA$11:$AA$18</f>
            </numRef>
          </val>
        </ser>
        <gapWidth val="60"/>
        <axId val="10"/>
        <axId val="100"/>
      </barChart>
      <lineChart>
        <grouping val="standard"/>
        <ser>
          <idx val="1"/>
          <order val="1"/>
          <tx>
            <strRef>
              <f>'Nottingham Forest'!AB10</f>
            </strRef>
          </tx>
          <spPr>
            <a:ln w="28000">
              <a:solidFill>
                <a:srgbClr val="000000"/>
              </a:solidFill>
              <a:prstDash val="solid"/>
            </a:ln>
          </spPr>
          <marker>
            <symbol val="circle"/>
            <size val="7"/>
            <spPr>
              <a:solidFill>
                <a:srgbClr val="000000"/>
              </a:solidFill>
              <a:ln>
                <a:solidFill>
                  <a:srgbClr val="000000"/>
                </a:solidFill>
                <a:prstDash val="solid"/>
              </a:ln>
            </spPr>
          </marker>
          <cat>
            <numRef>
              <f>'Nottingham Forest'!$Z$11:$Z$18</f>
            </numRef>
          </cat>
          <val>
            <numRef>
              <f>'Nottingham Forest'!$AB$11:$AB$18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Nottingham Forest: xG against - pre-game expected (bars) vs actual (line)</a:t>
            </a:r>
          </a:p>
        </rich>
      </tx>
    </title>
    <plotArea>
      <barChart>
        <barDir val="col"/>
        <grouping val="clustered"/>
        <ser>
          <idx val="0"/>
          <order val="0"/>
          <tx>
            <strRef>
              <f>'Nottingham Forest'!AC10</f>
            </strRef>
          </tx>
          <spPr>
            <a:solidFill>
              <a:srgbClr val="ED7D31"/>
            </a:solidFill>
            <a:ln>
              <a:prstDash val="solid"/>
            </a:ln>
          </spPr>
          <cat>
            <numRef>
              <f>'Nottingham Forest'!$Z$11:$Z$18</f>
            </numRef>
          </cat>
          <val>
            <numRef>
              <f>'Nottingham Forest'!$AC$11:$AC$18</f>
            </numRef>
          </val>
        </ser>
        <gapWidth val="60"/>
        <axId val="10"/>
        <axId val="100"/>
      </barChart>
      <lineChart>
        <grouping val="standard"/>
        <ser>
          <idx val="1"/>
          <order val="1"/>
          <tx>
            <strRef>
              <f>'Nottingham Forest'!AD10</f>
            </strRef>
          </tx>
          <spPr>
            <a:ln w="28000">
              <a:solidFill>
                <a:srgbClr val="C00000"/>
              </a:solidFill>
              <a:prstDash val="solid"/>
            </a:ln>
          </spPr>
          <marker>
            <symbol val="circle"/>
            <size val="7"/>
            <spPr>
              <a:solidFill>
                <a:srgbClr val="C00000"/>
              </a:solidFill>
              <a:ln>
                <a:solidFill>
                  <a:srgbClr val="C00000"/>
                </a:solidFill>
                <a:prstDash val="solid"/>
              </a:ln>
            </spPr>
          </marker>
          <cat>
            <numRef>
              <f>'Nottingham Forest'!$Z$11:$Z$18</f>
            </numRef>
          </cat>
          <val>
            <numRef>
              <f>'Nottingham Forest'!$AD$11:$AD$18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Sunderland: xG for - pre-game expected (bars) vs actual (line)</a:t>
            </a:r>
          </a:p>
        </rich>
      </tx>
    </title>
    <plotArea>
      <barChart>
        <barDir val="col"/>
        <grouping val="clustered"/>
        <ser>
          <idx val="0"/>
          <order val="0"/>
          <tx>
            <strRef>
              <f>'Sunderland'!AA10</f>
            </strRef>
          </tx>
          <spPr>
            <a:solidFill>
              <a:srgbClr val="5B9BD5"/>
            </a:solidFill>
            <a:ln>
              <a:prstDash val="solid"/>
            </a:ln>
          </spPr>
          <cat>
            <numRef>
              <f>'Sunderland'!$Z$11:$Z$18</f>
            </numRef>
          </cat>
          <val>
            <numRef>
              <f>'Sunderland'!$AA$11:$AA$18</f>
            </numRef>
          </val>
        </ser>
        <gapWidth val="60"/>
        <axId val="10"/>
        <axId val="100"/>
      </barChart>
      <lineChart>
        <grouping val="standard"/>
        <ser>
          <idx val="1"/>
          <order val="1"/>
          <tx>
            <strRef>
              <f>'Sunderland'!AB10</f>
            </strRef>
          </tx>
          <spPr>
            <a:ln w="28000">
              <a:solidFill>
                <a:srgbClr val="000000"/>
              </a:solidFill>
              <a:prstDash val="solid"/>
            </a:ln>
          </spPr>
          <marker>
            <symbol val="circle"/>
            <size val="7"/>
            <spPr>
              <a:solidFill>
                <a:srgbClr val="000000"/>
              </a:solidFill>
              <a:ln>
                <a:solidFill>
                  <a:srgbClr val="000000"/>
                </a:solidFill>
                <a:prstDash val="solid"/>
              </a:ln>
            </spPr>
          </marker>
          <cat>
            <numRef>
              <f>'Sunderland'!$Z$11:$Z$18</f>
            </numRef>
          </cat>
          <val>
            <numRef>
              <f>'Sunderland'!$AB$11:$AB$18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Sunderland: xG against - pre-game expected (bars) vs actual (line)</a:t>
            </a:r>
          </a:p>
        </rich>
      </tx>
    </title>
    <plotArea>
      <barChart>
        <barDir val="col"/>
        <grouping val="clustered"/>
        <ser>
          <idx val="0"/>
          <order val="0"/>
          <tx>
            <strRef>
              <f>'Sunderland'!AC10</f>
            </strRef>
          </tx>
          <spPr>
            <a:solidFill>
              <a:srgbClr val="ED7D31"/>
            </a:solidFill>
            <a:ln>
              <a:prstDash val="solid"/>
            </a:ln>
          </spPr>
          <cat>
            <numRef>
              <f>'Sunderland'!$Z$11:$Z$18</f>
            </numRef>
          </cat>
          <val>
            <numRef>
              <f>'Sunderland'!$AC$11:$AC$18</f>
            </numRef>
          </val>
        </ser>
        <gapWidth val="60"/>
        <axId val="10"/>
        <axId val="100"/>
      </barChart>
      <lineChart>
        <grouping val="standard"/>
        <ser>
          <idx val="1"/>
          <order val="1"/>
          <tx>
            <strRef>
              <f>'Sunderland'!AD10</f>
            </strRef>
          </tx>
          <spPr>
            <a:ln w="28000">
              <a:solidFill>
                <a:srgbClr val="C00000"/>
              </a:solidFill>
              <a:prstDash val="solid"/>
            </a:ln>
          </spPr>
          <marker>
            <symbol val="circle"/>
            <size val="7"/>
            <spPr>
              <a:solidFill>
                <a:srgbClr val="C00000"/>
              </a:solidFill>
              <a:ln>
                <a:solidFill>
                  <a:srgbClr val="C00000"/>
                </a:solidFill>
                <a:prstDash val="solid"/>
              </a:ln>
            </spPr>
          </marker>
          <cat>
            <numRef>
              <f>'Sunderland'!$Z$11:$Z$18</f>
            </numRef>
          </cat>
          <val>
            <numRef>
              <f>'Sunderland'!$AD$11:$AD$18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Tottenham Hotspur: xG for - pre-game expected (bars) vs actual (line)</a:t>
            </a:r>
          </a:p>
        </rich>
      </tx>
    </title>
    <plotArea>
      <barChart>
        <barDir val="col"/>
        <grouping val="clustered"/>
        <ser>
          <idx val="0"/>
          <order val="0"/>
          <tx>
            <strRef>
              <f>'Tottenham Hotspur'!AA10</f>
            </strRef>
          </tx>
          <spPr>
            <a:solidFill>
              <a:srgbClr val="5B9BD5"/>
            </a:solidFill>
            <a:ln>
              <a:prstDash val="solid"/>
            </a:ln>
          </spPr>
          <cat>
            <numRef>
              <f>'Tottenham Hotspur'!$Z$11:$Z$18</f>
            </numRef>
          </cat>
          <val>
            <numRef>
              <f>'Tottenham Hotspur'!$AA$11:$AA$18</f>
            </numRef>
          </val>
        </ser>
        <gapWidth val="60"/>
        <axId val="10"/>
        <axId val="100"/>
      </barChart>
      <lineChart>
        <grouping val="standard"/>
        <ser>
          <idx val="1"/>
          <order val="1"/>
          <tx>
            <strRef>
              <f>'Tottenham Hotspur'!AB10</f>
            </strRef>
          </tx>
          <spPr>
            <a:ln w="28000">
              <a:solidFill>
                <a:srgbClr val="000000"/>
              </a:solidFill>
              <a:prstDash val="solid"/>
            </a:ln>
          </spPr>
          <marker>
            <symbol val="circle"/>
            <size val="7"/>
            <spPr>
              <a:solidFill>
                <a:srgbClr val="000000"/>
              </a:solidFill>
              <a:ln>
                <a:solidFill>
                  <a:srgbClr val="000000"/>
                </a:solidFill>
                <a:prstDash val="solid"/>
              </a:ln>
            </spPr>
          </marker>
          <cat>
            <numRef>
              <f>'Tottenham Hotspur'!$Z$11:$Z$18</f>
            </numRef>
          </cat>
          <val>
            <numRef>
              <f>'Tottenham Hotspur'!$AB$11:$AB$18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Tottenham Hotspur: xG against - pre-game expected (bars) vs actual (line)</a:t>
            </a:r>
          </a:p>
        </rich>
      </tx>
    </title>
    <plotArea>
      <barChart>
        <barDir val="col"/>
        <grouping val="clustered"/>
        <ser>
          <idx val="0"/>
          <order val="0"/>
          <tx>
            <strRef>
              <f>'Tottenham Hotspur'!AC10</f>
            </strRef>
          </tx>
          <spPr>
            <a:solidFill>
              <a:srgbClr val="ED7D31"/>
            </a:solidFill>
            <a:ln>
              <a:prstDash val="solid"/>
            </a:ln>
          </spPr>
          <cat>
            <numRef>
              <f>'Tottenham Hotspur'!$Z$11:$Z$18</f>
            </numRef>
          </cat>
          <val>
            <numRef>
              <f>'Tottenham Hotspur'!$AC$11:$AC$18</f>
            </numRef>
          </val>
        </ser>
        <gapWidth val="60"/>
        <axId val="10"/>
        <axId val="100"/>
      </barChart>
      <lineChart>
        <grouping val="standard"/>
        <ser>
          <idx val="1"/>
          <order val="1"/>
          <tx>
            <strRef>
              <f>'Tottenham Hotspur'!AD10</f>
            </strRef>
          </tx>
          <spPr>
            <a:ln w="28000">
              <a:solidFill>
                <a:srgbClr val="C00000"/>
              </a:solidFill>
              <a:prstDash val="solid"/>
            </a:ln>
          </spPr>
          <marker>
            <symbol val="circle"/>
            <size val="7"/>
            <spPr>
              <a:solidFill>
                <a:srgbClr val="C00000"/>
              </a:solidFill>
              <a:ln>
                <a:solidFill>
                  <a:srgbClr val="C00000"/>
                </a:solidFill>
                <a:prstDash val="solid"/>
              </a:ln>
            </spPr>
          </marker>
          <cat>
            <numRef>
              <f>'Tottenham Hotspur'!$Z$11:$Z$18</f>
            </numRef>
          </cat>
          <val>
            <numRef>
              <f>'Tottenham Hotspur'!$AD$11:$AD$18</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5.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_rels/sheet18.xml.rels><Relationships xmlns="http://schemas.openxmlformats.org/package/2006/relationships"><Relationship Type="http://schemas.openxmlformats.org/officeDocument/2006/relationships/drawing" Target="/xl/drawings/drawing5.xml" Id="rId1" /></Relationships>
</file>

<file path=xl/worksheets/_rels/sheet19.xml.rels><Relationships xmlns="http://schemas.openxmlformats.org/package/2006/relationships"><Relationship Type="http://schemas.openxmlformats.org/officeDocument/2006/relationships/drawing" Target="/xl/drawings/drawing6.xml" Id="rId1" /></Relationships>
</file>

<file path=xl/worksheets/_rels/sheet20.xml.rels><Relationships xmlns="http://schemas.openxmlformats.org/package/2006/relationships"><Relationship Type="http://schemas.openxmlformats.org/officeDocument/2006/relationships/drawing" Target="/xl/drawings/drawing7.xml" Id="rId1" /></Relationships>
</file>

<file path=xl/worksheets/_rels/sheet21.xml.rels><Relationships xmlns="http://schemas.openxmlformats.org/package/2006/relationships"><Relationship Type="http://schemas.openxmlformats.org/officeDocument/2006/relationships/drawing" Target="/xl/drawings/drawing8.xml" Id="rId1" /></Relationships>
</file>

<file path=xl/worksheets/_rels/sheet22.xml.rels><Relationships xmlns="http://schemas.openxmlformats.org/package/2006/relationships"><Relationship Type="http://schemas.openxmlformats.org/officeDocument/2006/relationships/drawing" Target="/xl/drawings/drawing9.xml" Id="rId1" /></Relationships>
</file>

<file path=xl/worksheets/_rels/sheet23.xml.rels><Relationships xmlns="http://schemas.openxmlformats.org/package/2006/relationships"><Relationship Type="http://schemas.openxmlformats.org/officeDocument/2006/relationships/drawing" Target="/xl/drawings/drawing10.xml" Id="rId1" /></Relationships>
</file>

<file path=xl/worksheets/_rels/sheet24.xml.rels><Relationships xmlns="http://schemas.openxmlformats.org/package/2006/relationships"><Relationship Type="http://schemas.openxmlformats.org/officeDocument/2006/relationships/drawing" Target="/xl/drawings/drawing11.xml" Id="rId1" /></Relationships>
</file>

<file path=xl/worksheets/_rels/sheet25.xml.rels><Relationships xmlns="http://schemas.openxmlformats.org/package/2006/relationships"><Relationship Type="http://schemas.openxmlformats.org/officeDocument/2006/relationships/drawing" Target="/xl/drawings/drawing12.xml" Id="rId1" /></Relationships>
</file>

<file path=xl/worksheets/_rels/sheet26.xml.rels><Relationships xmlns="http://schemas.openxmlformats.org/package/2006/relationships"><Relationship Type="http://schemas.openxmlformats.org/officeDocument/2006/relationships/drawing" Target="/xl/drawings/drawing13.xml" Id="rId1" /></Relationships>
</file>

<file path=xl/worksheets/_rels/sheet27.xml.rels><Relationships xmlns="http://schemas.openxmlformats.org/package/2006/relationships"><Relationship Type="http://schemas.openxmlformats.org/officeDocument/2006/relationships/drawing" Target="/xl/drawings/drawing14.xml" Id="rId1" /></Relationships>
</file>

<file path=xl/worksheets/_rels/sheet28.xml.rels><Relationships xmlns="http://schemas.openxmlformats.org/package/2006/relationships"><Relationship Type="http://schemas.openxmlformats.org/officeDocument/2006/relationships/drawing" Target="/xl/drawings/drawing15.xml" Id="rId1" /></Relationships>
</file>

<file path=xl/worksheets/_rels/sheet29.xml.rels><Relationships xmlns="http://schemas.openxmlformats.org/package/2006/relationships"><Relationship Type="http://schemas.openxmlformats.org/officeDocument/2006/relationships/drawing" Target="/xl/drawings/drawing16.xml" Id="rId1" /></Relationships>
</file>

<file path=xl/worksheets/_rels/sheet30.xml.rels><Relationships xmlns="http://schemas.openxmlformats.org/package/2006/relationships"><Relationship Type="http://schemas.openxmlformats.org/officeDocument/2006/relationships/drawing" Target="/xl/drawings/drawing17.xml" Id="rId1" /></Relationships>
</file>

<file path=xl/worksheets/_rels/sheet31.xml.rels><Relationships xmlns="http://schemas.openxmlformats.org/package/2006/relationships"><Relationship Type="http://schemas.openxmlformats.org/officeDocument/2006/relationships/drawing" Target="/xl/drawings/drawing18.xml" Id="rId1" /></Relationships>
</file>

<file path=xl/worksheets/_rels/sheet32.xml.rels><Relationships xmlns="http://schemas.openxmlformats.org/package/2006/relationships"><Relationship Type="http://schemas.openxmlformats.org/officeDocument/2006/relationships/drawing" Target="/xl/drawings/drawing19.xml" Id="rId1" /></Relationships>
</file>

<file path=xl/worksheets/_rels/sheet33.xml.rels><Relationships xmlns="http://schemas.openxmlformats.org/package/2006/relationships"><Relationship Type="http://schemas.openxmlformats.org/officeDocument/2006/relationships/drawing" Target="/xl/drawings/drawing20.xml" Id="rId1" /></Relationships>
</file>

<file path=xl/worksheets/_rels/sheet34.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Manchester City</t>
        </is>
      </c>
      <c r="C2" s="6">
        <f>COUNTIF('Results Data'!$B$2:$B$81,$B2)+COUNTIF('Results Data'!$C$2:$C$81,$B2)</f>
        <v/>
      </c>
      <c r="D2" s="6">
        <f>SUMPRODUCT(('Results Data'!$B$2:$B$81=$B2)*('Results Data'!$D$2:$D$81&gt;'Results Data'!$E$2:$E$81))+SUMPRODUCT(('Results Data'!$C$2:$C$81=$B2)*('Results Data'!$E$2:$E$81&gt;'Results Data'!$D$2:$D$81))</f>
        <v/>
      </c>
      <c r="E2" s="6">
        <f>SUMPRODUCT(('Results Data'!$B$2:$B$81=$B2)*('Results Data'!$D$2:$D$81='Results Data'!$E$2:$E$81))+SUMPRODUCT(('Results Data'!$C$2:$C$81=$B2)*('Results Data'!$E$2:$E$81='Results Data'!$D$2:$D$81))</f>
        <v/>
      </c>
      <c r="F2" s="6">
        <f>C2-D2-E2</f>
        <v/>
      </c>
      <c r="G2" s="6">
        <f>SUMIF('Results Data'!$B$2:$B$81,$B2,'Results Data'!$D$2:$D$81)+SUMIF('Results Data'!$C$2:$C$81,$B2,'Results Data'!$E$2:$E$81)</f>
        <v/>
      </c>
      <c r="H2" s="6">
        <f>SUMIF('Results Data'!$B$2:$B$81,$B2,'Results Data'!$E$2:$E$81)+SUMIF('Results Data'!$C$2:$C$81,$B2,'Results Data'!$D$2:$D$81)</f>
        <v/>
      </c>
      <c r="I2" s="6">
        <f>G2-H2</f>
        <v/>
      </c>
      <c r="J2" s="6">
        <f>D2*3+E2</f>
        <v/>
      </c>
    </row>
    <row r="3">
      <c r="A3" s="7">
        <f>ROW()-1</f>
        <v/>
      </c>
      <c r="B3" s="8" t="inlineStr">
        <is>
          <t>Arsenal</t>
        </is>
      </c>
      <c r="C3" s="8">
        <f>COUNTIF('Results Data'!$B$2:$B$81,$B3)+COUNTIF('Results Data'!$C$2:$C$81,$B3)</f>
        <v/>
      </c>
      <c r="D3" s="8">
        <f>SUMPRODUCT(('Results Data'!$B$2:$B$81=$B3)*('Results Data'!$D$2:$D$81&gt;'Results Data'!$E$2:$E$81))+SUMPRODUCT(('Results Data'!$C$2:$C$81=$B3)*('Results Data'!$E$2:$E$81&gt;'Results Data'!$D$2:$D$81))</f>
        <v/>
      </c>
      <c r="E3" s="8">
        <f>SUMPRODUCT(('Results Data'!$B$2:$B$81=$B3)*('Results Data'!$D$2:$D$81='Results Data'!$E$2:$E$81))+SUMPRODUCT(('Results Data'!$C$2:$C$81=$B3)*('Results Data'!$E$2:$E$81='Results Data'!$D$2:$D$81))</f>
        <v/>
      </c>
      <c r="F3" s="8">
        <f>C3-D3-E3</f>
        <v/>
      </c>
      <c r="G3" s="8">
        <f>SUMIF('Results Data'!$B$2:$B$81,$B3,'Results Data'!$D$2:$D$81)+SUMIF('Results Data'!$C$2:$C$81,$B3,'Results Data'!$E$2:$E$81)</f>
        <v/>
      </c>
      <c r="H3" s="8">
        <f>SUMIF('Results Data'!$B$2:$B$81,$B3,'Results Data'!$E$2:$E$81)+SUMIF('Results Data'!$C$2:$C$81,$B3,'Results Data'!$D$2:$D$81)</f>
        <v/>
      </c>
      <c r="I3" s="8">
        <f>G3-H3</f>
        <v/>
      </c>
      <c r="J3" s="8">
        <f>D3*3+E3</f>
        <v/>
      </c>
    </row>
    <row r="4">
      <c r="A4" s="5">
        <f>ROW()-1</f>
        <v/>
      </c>
      <c r="B4" s="6" t="inlineStr">
        <is>
          <t>Brighton &amp; Hove Albion</t>
        </is>
      </c>
      <c r="C4" s="6">
        <f>COUNTIF('Results Data'!$B$2:$B$81,$B4)+COUNTIF('Results Data'!$C$2:$C$81,$B4)</f>
        <v/>
      </c>
      <c r="D4" s="6">
        <f>SUMPRODUCT(('Results Data'!$B$2:$B$81=$B4)*('Results Data'!$D$2:$D$81&gt;'Results Data'!$E$2:$E$81))+SUMPRODUCT(('Results Data'!$C$2:$C$81=$B4)*('Results Data'!$E$2:$E$81&gt;'Results Data'!$D$2:$D$81))</f>
        <v/>
      </c>
      <c r="E4" s="6">
        <f>SUMPRODUCT(('Results Data'!$B$2:$B$81=$B4)*('Results Data'!$D$2:$D$81='Results Data'!$E$2:$E$81))+SUMPRODUCT(('Results Data'!$C$2:$C$81=$B4)*('Results Data'!$E$2:$E$81='Results Data'!$D$2:$D$81))</f>
        <v/>
      </c>
      <c r="F4" s="6">
        <f>C4-D4-E4</f>
        <v/>
      </c>
      <c r="G4" s="6">
        <f>SUMIF('Results Data'!$B$2:$B$81,$B4,'Results Data'!$D$2:$D$81)+SUMIF('Results Data'!$C$2:$C$81,$B4,'Results Data'!$E$2:$E$81)</f>
        <v/>
      </c>
      <c r="H4" s="6">
        <f>SUMIF('Results Data'!$B$2:$B$81,$B4,'Results Data'!$E$2:$E$81)+SUMIF('Results Data'!$C$2:$C$81,$B4,'Results Data'!$D$2:$D$81)</f>
        <v/>
      </c>
      <c r="I4" s="6">
        <f>G4-H4</f>
        <v/>
      </c>
      <c r="J4" s="6">
        <f>D4*3+E4</f>
        <v/>
      </c>
    </row>
    <row r="5">
      <c r="A5" s="7">
        <f>ROW()-1</f>
        <v/>
      </c>
      <c r="B5" s="8" t="inlineStr">
        <is>
          <t>Liverpool</t>
        </is>
      </c>
      <c r="C5" s="8">
        <f>COUNTIF('Results Data'!$B$2:$B$81,$B5)+COUNTIF('Results Data'!$C$2:$C$81,$B5)</f>
        <v/>
      </c>
      <c r="D5" s="8">
        <f>SUMPRODUCT(('Results Data'!$B$2:$B$81=$B5)*('Results Data'!$D$2:$D$81&gt;'Results Data'!$E$2:$E$81))+SUMPRODUCT(('Results Data'!$C$2:$C$81=$B5)*('Results Data'!$E$2:$E$81&gt;'Results Data'!$D$2:$D$81))</f>
        <v/>
      </c>
      <c r="E5" s="8">
        <f>SUMPRODUCT(('Results Data'!$B$2:$B$81=$B5)*('Results Data'!$D$2:$D$81='Results Data'!$E$2:$E$81))+SUMPRODUCT(('Results Data'!$C$2:$C$81=$B5)*('Results Data'!$E$2:$E$81='Results Data'!$D$2:$D$81))</f>
        <v/>
      </c>
      <c r="F5" s="8">
        <f>C5-D5-E5</f>
        <v/>
      </c>
      <c r="G5" s="8">
        <f>SUMIF('Results Data'!$B$2:$B$81,$B5,'Results Data'!$D$2:$D$81)+SUMIF('Results Data'!$C$2:$C$81,$B5,'Results Data'!$E$2:$E$81)</f>
        <v/>
      </c>
      <c r="H5" s="8">
        <f>SUMIF('Results Data'!$B$2:$B$81,$B5,'Results Data'!$E$2:$E$81)+SUMIF('Results Data'!$C$2:$C$81,$B5,'Results Data'!$D$2:$D$81)</f>
        <v/>
      </c>
      <c r="I5" s="8">
        <f>G5-H5</f>
        <v/>
      </c>
      <c r="J5" s="8">
        <f>D5*3+E5</f>
        <v/>
      </c>
    </row>
    <row r="6">
      <c r="A6" s="5">
        <f>ROW()-1</f>
        <v/>
      </c>
      <c r="B6" s="6" t="inlineStr">
        <is>
          <t>Chelsea</t>
        </is>
      </c>
      <c r="C6" s="6">
        <f>COUNTIF('Results Data'!$B$2:$B$81,$B6)+COUNTIF('Results Data'!$C$2:$C$81,$B6)</f>
        <v/>
      </c>
      <c r="D6" s="6">
        <f>SUMPRODUCT(('Results Data'!$B$2:$B$81=$B6)*('Results Data'!$D$2:$D$81&gt;'Results Data'!$E$2:$E$81))+SUMPRODUCT(('Results Data'!$C$2:$C$81=$B6)*('Results Data'!$E$2:$E$81&gt;'Results Data'!$D$2:$D$81))</f>
        <v/>
      </c>
      <c r="E6" s="6">
        <f>SUMPRODUCT(('Results Data'!$B$2:$B$81=$B6)*('Results Data'!$D$2:$D$81='Results Data'!$E$2:$E$81))+SUMPRODUCT(('Results Data'!$C$2:$C$81=$B6)*('Results Data'!$E$2:$E$81='Results Data'!$D$2:$D$81))</f>
        <v/>
      </c>
      <c r="F6" s="6">
        <f>C6-D6-E6</f>
        <v/>
      </c>
      <c r="G6" s="6">
        <f>SUMIF('Results Data'!$B$2:$B$81,$B6,'Results Data'!$D$2:$D$81)+SUMIF('Results Data'!$C$2:$C$81,$B6,'Results Data'!$E$2:$E$81)</f>
        <v/>
      </c>
      <c r="H6" s="6">
        <f>SUMIF('Results Data'!$B$2:$B$81,$B6,'Results Data'!$E$2:$E$81)+SUMIF('Results Data'!$C$2:$C$81,$B6,'Results Data'!$D$2:$D$81)</f>
        <v/>
      </c>
      <c r="I6" s="6">
        <f>G6-H6</f>
        <v/>
      </c>
      <c r="J6" s="6">
        <f>D6*3+E6</f>
        <v/>
      </c>
    </row>
    <row r="7">
      <c r="A7" s="7">
        <f>ROW()-1</f>
        <v/>
      </c>
      <c r="B7" s="8" t="inlineStr">
        <is>
          <t>Brentford</t>
        </is>
      </c>
      <c r="C7" s="8">
        <f>COUNTIF('Results Data'!$B$2:$B$81,$B7)+COUNTIF('Results Data'!$C$2:$C$81,$B7)</f>
        <v/>
      </c>
      <c r="D7" s="8">
        <f>SUMPRODUCT(('Results Data'!$B$2:$B$81=$B7)*('Results Data'!$D$2:$D$81&gt;'Results Data'!$E$2:$E$81))+SUMPRODUCT(('Results Data'!$C$2:$C$81=$B7)*('Results Data'!$E$2:$E$81&gt;'Results Data'!$D$2:$D$81))</f>
        <v/>
      </c>
      <c r="E7" s="8">
        <f>SUMPRODUCT(('Results Data'!$B$2:$B$81=$B7)*('Results Data'!$D$2:$D$81='Results Data'!$E$2:$E$81))+SUMPRODUCT(('Results Data'!$C$2:$C$81=$B7)*('Results Data'!$E$2:$E$81='Results Data'!$D$2:$D$81))</f>
        <v/>
      </c>
      <c r="F7" s="8">
        <f>C7-D7-E7</f>
        <v/>
      </c>
      <c r="G7" s="8">
        <f>SUMIF('Results Data'!$B$2:$B$81,$B7,'Results Data'!$D$2:$D$81)+SUMIF('Results Data'!$C$2:$C$81,$B7,'Results Data'!$E$2:$E$81)</f>
        <v/>
      </c>
      <c r="H7" s="8">
        <f>SUMIF('Results Data'!$B$2:$B$81,$B7,'Results Data'!$E$2:$E$81)+SUMIF('Results Data'!$C$2:$C$81,$B7,'Results Data'!$D$2:$D$81)</f>
        <v/>
      </c>
      <c r="I7" s="8">
        <f>G7-H7</f>
        <v/>
      </c>
      <c r="J7" s="8">
        <f>D7*3+E7</f>
        <v/>
      </c>
    </row>
    <row r="8">
      <c r="A8" s="5">
        <f>ROW()-1</f>
        <v/>
      </c>
      <c r="B8" s="6" t="inlineStr">
        <is>
          <t>Leeds United</t>
        </is>
      </c>
      <c r="C8" s="6">
        <f>COUNTIF('Results Data'!$B$2:$B$81,$B8)+COUNTIF('Results Data'!$C$2:$C$81,$B8)</f>
        <v/>
      </c>
      <c r="D8" s="6">
        <f>SUMPRODUCT(('Results Data'!$B$2:$B$81=$B8)*('Results Data'!$D$2:$D$81&gt;'Results Data'!$E$2:$E$81))+SUMPRODUCT(('Results Data'!$C$2:$C$81=$B8)*('Results Data'!$E$2:$E$81&gt;'Results Data'!$D$2:$D$81))</f>
        <v/>
      </c>
      <c r="E8" s="6">
        <f>SUMPRODUCT(('Results Data'!$B$2:$B$81=$B8)*('Results Data'!$D$2:$D$81='Results Data'!$E$2:$E$81))+SUMPRODUCT(('Results Data'!$C$2:$C$81=$B8)*('Results Data'!$E$2:$E$81='Results Data'!$D$2:$D$81))</f>
        <v/>
      </c>
      <c r="F8" s="6">
        <f>C8-D8-E8</f>
        <v/>
      </c>
      <c r="G8" s="6">
        <f>SUMIF('Results Data'!$B$2:$B$81,$B8,'Results Data'!$D$2:$D$81)+SUMIF('Results Data'!$C$2:$C$81,$B8,'Results Data'!$E$2:$E$81)</f>
        <v/>
      </c>
      <c r="H8" s="6">
        <f>SUMIF('Results Data'!$B$2:$B$81,$B8,'Results Data'!$E$2:$E$81)+SUMIF('Results Data'!$C$2:$C$81,$B8,'Results Data'!$D$2:$D$81)</f>
        <v/>
      </c>
      <c r="I8" s="6">
        <f>G8-H8</f>
        <v/>
      </c>
      <c r="J8" s="6">
        <f>D8*3+E8</f>
        <v/>
      </c>
    </row>
    <row r="9">
      <c r="A9" s="7">
        <f>ROW()-1</f>
        <v/>
      </c>
      <c r="B9" s="8" t="inlineStr">
        <is>
          <t>Newcastle United</t>
        </is>
      </c>
      <c r="C9" s="8">
        <f>COUNTIF('Results Data'!$B$2:$B$81,$B9)+COUNTIF('Results Data'!$C$2:$C$81,$B9)</f>
        <v/>
      </c>
      <c r="D9" s="8">
        <f>SUMPRODUCT(('Results Data'!$B$2:$B$81=$B9)*('Results Data'!$D$2:$D$81&gt;'Results Data'!$E$2:$E$81))+SUMPRODUCT(('Results Data'!$C$2:$C$81=$B9)*('Results Data'!$E$2:$E$81&gt;'Results Data'!$D$2:$D$81))</f>
        <v/>
      </c>
      <c r="E9" s="8">
        <f>SUMPRODUCT(('Results Data'!$B$2:$B$81=$B9)*('Results Data'!$D$2:$D$81='Results Data'!$E$2:$E$81))+SUMPRODUCT(('Results Data'!$C$2:$C$81=$B9)*('Results Data'!$E$2:$E$81='Results Data'!$D$2:$D$81))</f>
        <v/>
      </c>
      <c r="F9" s="8">
        <f>C9-D9-E9</f>
        <v/>
      </c>
      <c r="G9" s="8">
        <f>SUMIF('Results Data'!$B$2:$B$81,$B9,'Results Data'!$D$2:$D$81)+SUMIF('Results Data'!$C$2:$C$81,$B9,'Results Data'!$E$2:$E$81)</f>
        <v/>
      </c>
      <c r="H9" s="8">
        <f>SUMIF('Results Data'!$B$2:$B$81,$B9,'Results Data'!$E$2:$E$81)+SUMIF('Results Data'!$C$2:$C$81,$B9,'Results Data'!$D$2:$D$81)</f>
        <v/>
      </c>
      <c r="I9" s="8">
        <f>G9-H9</f>
        <v/>
      </c>
      <c r="J9" s="8">
        <f>D9*3+E9</f>
        <v/>
      </c>
    </row>
    <row r="10">
      <c r="A10" s="5">
        <f>ROW()-1</f>
        <v/>
      </c>
      <c r="B10" s="6" t="inlineStr">
        <is>
          <t>Aston Villa</t>
        </is>
      </c>
      <c r="C10" s="6">
        <f>COUNTIF('Results Data'!$B$2:$B$81,$B10)+COUNTIF('Results Data'!$C$2:$C$81,$B10)</f>
        <v/>
      </c>
      <c r="D10" s="6">
        <f>SUMPRODUCT(('Results Data'!$B$2:$B$81=$B10)*('Results Data'!$D$2:$D$81&gt;'Results Data'!$E$2:$E$81))+SUMPRODUCT(('Results Data'!$C$2:$C$81=$B10)*('Results Data'!$E$2:$E$81&gt;'Results Data'!$D$2:$D$81))</f>
        <v/>
      </c>
      <c r="E10" s="6">
        <f>SUMPRODUCT(('Results Data'!$B$2:$B$81=$B10)*('Results Data'!$D$2:$D$81='Results Data'!$E$2:$E$81))+SUMPRODUCT(('Results Data'!$C$2:$C$81=$B10)*('Results Data'!$E$2:$E$81='Results Data'!$D$2:$D$81))</f>
        <v/>
      </c>
      <c r="F10" s="6">
        <f>C10-D10-E10</f>
        <v/>
      </c>
      <c r="G10" s="6">
        <f>SUMIF('Results Data'!$B$2:$B$81,$B10,'Results Data'!$D$2:$D$81)+SUMIF('Results Data'!$C$2:$C$81,$B10,'Results Data'!$E$2:$E$81)</f>
        <v/>
      </c>
      <c r="H10" s="6">
        <f>SUMIF('Results Data'!$B$2:$B$81,$B10,'Results Data'!$E$2:$E$81)+SUMIF('Results Data'!$C$2:$C$81,$B10,'Results Data'!$D$2:$D$81)</f>
        <v/>
      </c>
      <c r="I10" s="6">
        <f>G10-H10</f>
        <v/>
      </c>
      <c r="J10" s="6">
        <f>D10*3+E10</f>
        <v/>
      </c>
    </row>
    <row r="11">
      <c r="A11" s="7">
        <f>ROW()-1</f>
        <v/>
      </c>
      <c r="B11" s="8" t="inlineStr">
        <is>
          <t>Hull</t>
        </is>
      </c>
      <c r="C11" s="8">
        <f>COUNTIF('Results Data'!$B$2:$B$81,$B11)+COUNTIF('Results Data'!$C$2:$C$81,$B11)</f>
        <v/>
      </c>
      <c r="D11" s="8">
        <f>SUMPRODUCT(('Results Data'!$B$2:$B$81=$B11)*('Results Data'!$D$2:$D$81&gt;'Results Data'!$E$2:$E$81))+SUMPRODUCT(('Results Data'!$C$2:$C$81=$B11)*('Results Data'!$E$2:$E$81&gt;'Results Data'!$D$2:$D$81))</f>
        <v/>
      </c>
      <c r="E11" s="8">
        <f>SUMPRODUCT(('Results Data'!$B$2:$B$81=$B11)*('Results Data'!$D$2:$D$81='Results Data'!$E$2:$E$81))+SUMPRODUCT(('Results Data'!$C$2:$C$81=$B11)*('Results Data'!$E$2:$E$81='Results Data'!$D$2:$D$81))</f>
        <v/>
      </c>
      <c r="F11" s="8">
        <f>C11-D11-E11</f>
        <v/>
      </c>
      <c r="G11" s="8">
        <f>SUMIF('Results Data'!$B$2:$B$81,$B11,'Results Data'!$D$2:$D$81)+SUMIF('Results Data'!$C$2:$C$81,$B11,'Results Data'!$E$2:$E$81)</f>
        <v/>
      </c>
      <c r="H11" s="8">
        <f>SUMIF('Results Data'!$B$2:$B$81,$B11,'Results Data'!$E$2:$E$81)+SUMIF('Results Data'!$C$2:$C$81,$B11,'Results Data'!$D$2:$D$81)</f>
        <v/>
      </c>
      <c r="I11" s="8">
        <f>G11-H11</f>
        <v/>
      </c>
      <c r="J11" s="8">
        <f>D11*3+E11</f>
        <v/>
      </c>
    </row>
    <row r="12">
      <c r="A12" s="5">
        <f>ROW()-1</f>
        <v/>
      </c>
      <c r="B12" s="6" t="inlineStr">
        <is>
          <t>Everton</t>
        </is>
      </c>
      <c r="C12" s="6">
        <f>COUNTIF('Results Data'!$B$2:$B$81,$B12)+COUNTIF('Results Data'!$C$2:$C$81,$B12)</f>
        <v/>
      </c>
      <c r="D12" s="6">
        <f>SUMPRODUCT(('Results Data'!$B$2:$B$81=$B12)*('Results Data'!$D$2:$D$81&gt;'Results Data'!$E$2:$E$81))+SUMPRODUCT(('Results Data'!$C$2:$C$81=$B12)*('Results Data'!$E$2:$E$81&gt;'Results Data'!$D$2:$D$81))</f>
        <v/>
      </c>
      <c r="E12" s="6">
        <f>SUMPRODUCT(('Results Data'!$B$2:$B$81=$B12)*('Results Data'!$D$2:$D$81='Results Data'!$E$2:$E$81))+SUMPRODUCT(('Results Data'!$C$2:$C$81=$B12)*('Results Data'!$E$2:$E$81='Results Data'!$D$2:$D$81))</f>
        <v/>
      </c>
      <c r="F12" s="6">
        <f>C12-D12-E12</f>
        <v/>
      </c>
      <c r="G12" s="6">
        <f>SUMIF('Results Data'!$B$2:$B$81,$B12,'Results Data'!$D$2:$D$81)+SUMIF('Results Data'!$C$2:$C$81,$B12,'Results Data'!$E$2:$E$81)</f>
        <v/>
      </c>
      <c r="H12" s="6">
        <f>SUMIF('Results Data'!$B$2:$B$81,$B12,'Results Data'!$E$2:$E$81)+SUMIF('Results Data'!$C$2:$C$81,$B12,'Results Data'!$D$2:$D$81)</f>
        <v/>
      </c>
      <c r="I12" s="6">
        <f>G12-H12</f>
        <v/>
      </c>
      <c r="J12" s="6">
        <f>D12*3+E12</f>
        <v/>
      </c>
    </row>
    <row r="13">
      <c r="A13" s="7">
        <f>ROW()-1</f>
        <v/>
      </c>
      <c r="B13" s="8" t="inlineStr">
        <is>
          <t>Ipswich</t>
        </is>
      </c>
      <c r="C13" s="8">
        <f>COUNTIF('Results Data'!$B$2:$B$81,$B13)+COUNTIF('Results Data'!$C$2:$C$81,$B13)</f>
        <v/>
      </c>
      <c r="D13" s="8">
        <f>SUMPRODUCT(('Results Data'!$B$2:$B$81=$B13)*('Results Data'!$D$2:$D$81&gt;'Results Data'!$E$2:$E$81))+SUMPRODUCT(('Results Data'!$C$2:$C$81=$B13)*('Results Data'!$E$2:$E$81&gt;'Results Data'!$D$2:$D$81))</f>
        <v/>
      </c>
      <c r="E13" s="8">
        <f>SUMPRODUCT(('Results Data'!$B$2:$B$81=$B13)*('Results Data'!$D$2:$D$81='Results Data'!$E$2:$E$81))+SUMPRODUCT(('Results Data'!$C$2:$C$81=$B13)*('Results Data'!$E$2:$E$81='Results Data'!$D$2:$D$81))</f>
        <v/>
      </c>
      <c r="F13" s="8">
        <f>C13-D13-E13</f>
        <v/>
      </c>
      <c r="G13" s="8">
        <f>SUMIF('Results Data'!$B$2:$B$81,$B13,'Results Data'!$D$2:$D$81)+SUMIF('Results Data'!$C$2:$C$81,$B13,'Results Data'!$E$2:$E$81)</f>
        <v/>
      </c>
      <c r="H13" s="8">
        <f>SUMIF('Results Data'!$B$2:$B$81,$B13,'Results Data'!$E$2:$E$81)+SUMIF('Results Data'!$C$2:$C$81,$B13,'Results Data'!$D$2:$D$81)</f>
        <v/>
      </c>
      <c r="I13" s="8">
        <f>G13-H13</f>
        <v/>
      </c>
      <c r="J13" s="8">
        <f>D13*3+E13</f>
        <v/>
      </c>
    </row>
    <row r="14">
      <c r="A14" s="5">
        <f>ROW()-1</f>
        <v/>
      </c>
      <c r="B14" s="6" t="inlineStr">
        <is>
          <t>Bournemouth</t>
        </is>
      </c>
      <c r="C14" s="6">
        <f>COUNTIF('Results Data'!$B$2:$B$81,$B14)+COUNTIF('Results Data'!$C$2:$C$81,$B14)</f>
        <v/>
      </c>
      <c r="D14" s="6">
        <f>SUMPRODUCT(('Results Data'!$B$2:$B$81=$B14)*('Results Data'!$D$2:$D$81&gt;'Results Data'!$E$2:$E$81))+SUMPRODUCT(('Results Data'!$C$2:$C$81=$B14)*('Results Data'!$E$2:$E$81&gt;'Results Data'!$D$2:$D$81))</f>
        <v/>
      </c>
      <c r="E14" s="6">
        <f>SUMPRODUCT(('Results Data'!$B$2:$B$81=$B14)*('Results Data'!$D$2:$D$81='Results Data'!$E$2:$E$81))+SUMPRODUCT(('Results Data'!$C$2:$C$81=$B14)*('Results Data'!$E$2:$E$81='Results Data'!$D$2:$D$81))</f>
        <v/>
      </c>
      <c r="F14" s="6">
        <f>C14-D14-E14</f>
        <v/>
      </c>
      <c r="G14" s="6">
        <f>SUMIF('Results Data'!$B$2:$B$81,$B14,'Results Data'!$D$2:$D$81)+SUMIF('Results Data'!$C$2:$C$81,$B14,'Results Data'!$E$2:$E$81)</f>
        <v/>
      </c>
      <c r="H14" s="6">
        <f>SUMIF('Results Data'!$B$2:$B$81,$B14,'Results Data'!$E$2:$E$81)+SUMIF('Results Data'!$C$2:$C$81,$B14,'Results Data'!$D$2:$D$81)</f>
        <v/>
      </c>
      <c r="I14" s="6">
        <f>G14-H14</f>
        <v/>
      </c>
      <c r="J14" s="6">
        <f>D14*3+E14</f>
        <v/>
      </c>
    </row>
    <row r="15">
      <c r="A15" s="7">
        <f>ROW()-1</f>
        <v/>
      </c>
      <c r="B15" s="8" t="inlineStr">
        <is>
          <t>Tottenham Hotspur</t>
        </is>
      </c>
      <c r="C15" s="8">
        <f>COUNTIF('Results Data'!$B$2:$B$81,$B15)+COUNTIF('Results Data'!$C$2:$C$81,$B15)</f>
        <v/>
      </c>
      <c r="D15" s="8">
        <f>SUMPRODUCT(('Results Data'!$B$2:$B$81=$B15)*('Results Data'!$D$2:$D$81&gt;'Results Data'!$E$2:$E$81))+SUMPRODUCT(('Results Data'!$C$2:$C$81=$B15)*('Results Data'!$E$2:$E$81&gt;'Results Data'!$D$2:$D$81))</f>
        <v/>
      </c>
      <c r="E15" s="8">
        <f>SUMPRODUCT(('Results Data'!$B$2:$B$81=$B15)*('Results Data'!$D$2:$D$81='Results Data'!$E$2:$E$81))+SUMPRODUCT(('Results Data'!$C$2:$C$81=$B15)*('Results Data'!$E$2:$E$81='Results Data'!$D$2:$D$81))</f>
        <v/>
      </c>
      <c r="F15" s="8">
        <f>C15-D15-E15</f>
        <v/>
      </c>
      <c r="G15" s="8">
        <f>SUMIF('Results Data'!$B$2:$B$81,$B15,'Results Data'!$D$2:$D$81)+SUMIF('Results Data'!$C$2:$C$81,$B15,'Results Data'!$E$2:$E$81)</f>
        <v/>
      </c>
      <c r="H15" s="8">
        <f>SUMIF('Results Data'!$B$2:$B$81,$B15,'Results Data'!$E$2:$E$81)+SUMIF('Results Data'!$C$2:$C$81,$B15,'Results Data'!$D$2:$D$81)</f>
        <v/>
      </c>
      <c r="I15" s="8">
        <f>G15-H15</f>
        <v/>
      </c>
      <c r="J15" s="8">
        <f>D15*3+E15</f>
        <v/>
      </c>
    </row>
    <row r="16">
      <c r="A16" s="5">
        <f>ROW()-1</f>
        <v/>
      </c>
      <c r="B16" s="6" t="inlineStr">
        <is>
          <t>Fulham</t>
        </is>
      </c>
      <c r="C16" s="6">
        <f>COUNTIF('Results Data'!$B$2:$B$81,$B16)+COUNTIF('Results Data'!$C$2:$C$81,$B16)</f>
        <v/>
      </c>
      <c r="D16" s="6">
        <f>SUMPRODUCT(('Results Data'!$B$2:$B$81=$B16)*('Results Data'!$D$2:$D$81&gt;'Results Data'!$E$2:$E$81))+SUMPRODUCT(('Results Data'!$C$2:$C$81=$B16)*('Results Data'!$E$2:$E$81&gt;'Results Data'!$D$2:$D$81))</f>
        <v/>
      </c>
      <c r="E16" s="6">
        <f>SUMPRODUCT(('Results Data'!$B$2:$B$81=$B16)*('Results Data'!$D$2:$D$81='Results Data'!$E$2:$E$81))+SUMPRODUCT(('Results Data'!$C$2:$C$81=$B16)*('Results Data'!$E$2:$E$81='Results Data'!$D$2:$D$81))</f>
        <v/>
      </c>
      <c r="F16" s="6">
        <f>C16-D16-E16</f>
        <v/>
      </c>
      <c r="G16" s="6">
        <f>SUMIF('Results Data'!$B$2:$B$81,$B16,'Results Data'!$D$2:$D$81)+SUMIF('Results Data'!$C$2:$C$81,$B16,'Results Data'!$E$2:$E$81)</f>
        <v/>
      </c>
      <c r="H16" s="6">
        <f>SUMIF('Results Data'!$B$2:$B$81,$B16,'Results Data'!$E$2:$E$81)+SUMIF('Results Data'!$C$2:$C$81,$B16,'Results Data'!$D$2:$D$81)</f>
        <v/>
      </c>
      <c r="I16" s="6">
        <f>G16-H16</f>
        <v/>
      </c>
      <c r="J16" s="6">
        <f>D16*3+E16</f>
        <v/>
      </c>
    </row>
    <row r="17">
      <c r="A17" s="7">
        <f>ROW()-1</f>
        <v/>
      </c>
      <c r="B17" s="8" t="inlineStr">
        <is>
          <t>Manchester United</t>
        </is>
      </c>
      <c r="C17" s="8">
        <f>COUNTIF('Results Data'!$B$2:$B$81,$B17)+COUNTIF('Results Data'!$C$2:$C$81,$B17)</f>
        <v/>
      </c>
      <c r="D17" s="8">
        <f>SUMPRODUCT(('Results Data'!$B$2:$B$81=$B17)*('Results Data'!$D$2:$D$81&gt;'Results Data'!$E$2:$E$81))+SUMPRODUCT(('Results Data'!$C$2:$C$81=$B17)*('Results Data'!$E$2:$E$81&gt;'Results Data'!$D$2:$D$81))</f>
        <v/>
      </c>
      <c r="E17" s="8">
        <f>SUMPRODUCT(('Results Data'!$B$2:$B$81=$B17)*('Results Data'!$D$2:$D$81='Results Data'!$E$2:$E$81))+SUMPRODUCT(('Results Data'!$C$2:$C$81=$B17)*('Results Data'!$E$2:$E$81='Results Data'!$D$2:$D$81))</f>
        <v/>
      </c>
      <c r="F17" s="8">
        <f>C17-D17-E17</f>
        <v/>
      </c>
      <c r="G17" s="8">
        <f>SUMIF('Results Data'!$B$2:$B$81,$B17,'Results Data'!$D$2:$D$81)+SUMIF('Results Data'!$C$2:$C$81,$B17,'Results Data'!$E$2:$E$81)</f>
        <v/>
      </c>
      <c r="H17" s="8">
        <f>SUMIF('Results Data'!$B$2:$B$81,$B17,'Results Data'!$E$2:$E$81)+SUMIF('Results Data'!$C$2:$C$81,$B17,'Results Data'!$D$2:$D$81)</f>
        <v/>
      </c>
      <c r="I17" s="8">
        <f>G17-H17</f>
        <v/>
      </c>
      <c r="J17" s="8">
        <f>D17*3+E17</f>
        <v/>
      </c>
    </row>
    <row r="18">
      <c r="A18" s="5">
        <f>ROW()-1</f>
        <v/>
      </c>
      <c r="B18" s="6" t="inlineStr">
        <is>
          <t>Crystal Palace</t>
        </is>
      </c>
      <c r="C18" s="6">
        <f>COUNTIF('Results Data'!$B$2:$B$81,$B18)+COUNTIF('Results Data'!$C$2:$C$81,$B18)</f>
        <v/>
      </c>
      <c r="D18" s="6">
        <f>SUMPRODUCT(('Results Data'!$B$2:$B$81=$B18)*('Results Data'!$D$2:$D$81&gt;'Results Data'!$E$2:$E$81))+SUMPRODUCT(('Results Data'!$C$2:$C$81=$B18)*('Results Data'!$E$2:$E$81&gt;'Results Data'!$D$2:$D$81))</f>
        <v/>
      </c>
      <c r="E18" s="6">
        <f>SUMPRODUCT(('Results Data'!$B$2:$B$81=$B18)*('Results Data'!$D$2:$D$81='Results Data'!$E$2:$E$81))+SUMPRODUCT(('Results Data'!$C$2:$C$81=$B18)*('Results Data'!$E$2:$E$81='Results Data'!$D$2:$D$81))</f>
        <v/>
      </c>
      <c r="F18" s="6">
        <f>C18-D18-E18</f>
        <v/>
      </c>
      <c r="G18" s="6">
        <f>SUMIF('Results Data'!$B$2:$B$81,$B18,'Results Data'!$D$2:$D$81)+SUMIF('Results Data'!$C$2:$C$81,$B18,'Results Data'!$E$2:$E$81)</f>
        <v/>
      </c>
      <c r="H18" s="6">
        <f>SUMIF('Results Data'!$B$2:$B$81,$B18,'Results Data'!$E$2:$E$81)+SUMIF('Results Data'!$C$2:$C$81,$B18,'Results Data'!$D$2:$D$81)</f>
        <v/>
      </c>
      <c r="I18" s="6">
        <f>G18-H18</f>
        <v/>
      </c>
      <c r="J18" s="6">
        <f>D18*3+E18</f>
        <v/>
      </c>
    </row>
    <row r="19">
      <c r="A19" s="7">
        <f>ROW()-1</f>
        <v/>
      </c>
      <c r="B19" s="8" t="inlineStr">
        <is>
          <t>Nottingham Forest</t>
        </is>
      </c>
      <c r="C19" s="8">
        <f>COUNTIF('Results Data'!$B$2:$B$81,$B19)+COUNTIF('Results Data'!$C$2:$C$81,$B19)</f>
        <v/>
      </c>
      <c r="D19" s="8">
        <f>SUMPRODUCT(('Results Data'!$B$2:$B$81=$B19)*('Results Data'!$D$2:$D$81&gt;'Results Data'!$E$2:$E$81))+SUMPRODUCT(('Results Data'!$C$2:$C$81=$B19)*('Results Data'!$E$2:$E$81&gt;'Results Data'!$D$2:$D$81))</f>
        <v/>
      </c>
      <c r="E19" s="8">
        <f>SUMPRODUCT(('Results Data'!$B$2:$B$81=$B19)*('Results Data'!$D$2:$D$81='Results Data'!$E$2:$E$81))+SUMPRODUCT(('Results Data'!$C$2:$C$81=$B19)*('Results Data'!$E$2:$E$81='Results Data'!$D$2:$D$81))</f>
        <v/>
      </c>
      <c r="F19" s="8">
        <f>C19-D19-E19</f>
        <v/>
      </c>
      <c r="G19" s="8">
        <f>SUMIF('Results Data'!$B$2:$B$81,$B19,'Results Data'!$D$2:$D$81)+SUMIF('Results Data'!$C$2:$C$81,$B19,'Results Data'!$E$2:$E$81)</f>
        <v/>
      </c>
      <c r="H19" s="8">
        <f>SUMIF('Results Data'!$B$2:$B$81,$B19,'Results Data'!$E$2:$E$81)+SUMIF('Results Data'!$C$2:$C$81,$B19,'Results Data'!$D$2:$D$81)</f>
        <v/>
      </c>
      <c r="I19" s="8">
        <f>G19-H19</f>
        <v/>
      </c>
      <c r="J19" s="8">
        <f>D19*3+E19</f>
        <v/>
      </c>
    </row>
    <row r="20">
      <c r="A20" s="5">
        <f>ROW()-1</f>
        <v/>
      </c>
      <c r="B20" s="6" t="inlineStr">
        <is>
          <t>Coventry</t>
        </is>
      </c>
      <c r="C20" s="6">
        <f>COUNTIF('Results Data'!$B$2:$B$81,$B20)+COUNTIF('Results Data'!$C$2:$C$81,$B20)</f>
        <v/>
      </c>
      <c r="D20" s="6">
        <f>SUMPRODUCT(('Results Data'!$B$2:$B$81=$B20)*('Results Data'!$D$2:$D$81&gt;'Results Data'!$E$2:$E$81))+SUMPRODUCT(('Results Data'!$C$2:$C$81=$B20)*('Results Data'!$E$2:$E$81&gt;'Results Data'!$D$2:$D$81))</f>
        <v/>
      </c>
      <c r="E20" s="6">
        <f>SUMPRODUCT(('Results Data'!$B$2:$B$81=$B20)*('Results Data'!$D$2:$D$81='Results Data'!$E$2:$E$81))+SUMPRODUCT(('Results Data'!$C$2:$C$81=$B20)*('Results Data'!$E$2:$E$81='Results Data'!$D$2:$D$81))</f>
        <v/>
      </c>
      <c r="F20" s="6">
        <f>C20-D20-E20</f>
        <v/>
      </c>
      <c r="G20" s="6">
        <f>SUMIF('Results Data'!$B$2:$B$81,$B20,'Results Data'!$D$2:$D$81)+SUMIF('Results Data'!$C$2:$C$81,$B20,'Results Data'!$E$2:$E$81)</f>
        <v/>
      </c>
      <c r="H20" s="6">
        <f>SUMIF('Results Data'!$B$2:$B$81,$B20,'Results Data'!$E$2:$E$81)+SUMIF('Results Data'!$C$2:$C$81,$B20,'Results Data'!$D$2:$D$81)</f>
        <v/>
      </c>
      <c r="I20" s="6">
        <f>G20-H20</f>
        <v/>
      </c>
      <c r="J20" s="6">
        <f>D20*3+E20</f>
        <v/>
      </c>
    </row>
    <row r="21">
      <c r="A21" s="7">
        <f>ROW()-1</f>
        <v/>
      </c>
      <c r="B21" s="8" t="inlineStr">
        <is>
          <t>Sunderland</t>
        </is>
      </c>
      <c r="C21" s="8">
        <f>COUNTIF('Results Data'!$B$2:$B$81,$B21)+COUNTIF('Results Data'!$C$2:$C$81,$B21)</f>
        <v/>
      </c>
      <c r="D21" s="8">
        <f>SUMPRODUCT(('Results Data'!$B$2:$B$81=$B21)*('Results Data'!$D$2:$D$81&gt;'Results Data'!$E$2:$E$81))+SUMPRODUCT(('Results Data'!$C$2:$C$81=$B21)*('Results Data'!$E$2:$E$81&gt;'Results Data'!$D$2:$D$81))</f>
        <v/>
      </c>
      <c r="E21" s="8">
        <f>SUMPRODUCT(('Results Data'!$B$2:$B$81=$B21)*('Results Data'!$D$2:$D$81='Results Data'!$E$2:$E$81))+SUMPRODUCT(('Results Data'!$C$2:$C$81=$B21)*('Results Data'!$E$2:$E$81='Results Data'!$D$2:$D$81))</f>
        <v/>
      </c>
      <c r="F21" s="8">
        <f>C21-D21-E21</f>
        <v/>
      </c>
      <c r="G21" s="8">
        <f>SUMIF('Results Data'!$B$2:$B$81,$B21,'Results Data'!$D$2:$D$81)+SUMIF('Results Data'!$C$2:$C$81,$B21,'Results Data'!$E$2:$E$81)</f>
        <v/>
      </c>
      <c r="H21" s="8">
        <f>SUMIF('Results Data'!$B$2:$B$81,$B21,'Results Data'!$E$2:$E$81)+SUMIF('Results Data'!$C$2:$C$81,$B21,'Results Data'!$D$2:$D$81)</f>
        <v/>
      </c>
      <c r="I21" s="8">
        <f>G21-H21</f>
        <v/>
      </c>
      <c r="J21" s="8">
        <f>D21*3+E21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Manchester City</t>
        </is>
      </c>
      <c r="B2" s="5">
        <f>IFERROR(INDEX('League Table'!$A$2:$A$21,MATCH($A2,'League Table'!$B$2:$B$21,0)),"")</f>
        <v/>
      </c>
      <c r="C2" s="5">
        <f>IFERROR(INDEX('League Table'!$C$2:$C$21,MATCH($A2,'League Table'!$B$2:$B$21,0)),"")</f>
        <v/>
      </c>
      <c r="D2" s="5">
        <f>RANK(K2,K$2:K$21,0)</f>
        <v/>
      </c>
      <c r="E2" s="5">
        <f>RANK(L2,L$2:L$21,1)</f>
        <v/>
      </c>
      <c r="F2" s="5">
        <f>RANK(M2,M$2:M$21,0)</f>
        <v/>
      </c>
      <c r="G2" s="5">
        <f>RANK(N2,N$2:N$21,0)</f>
        <v/>
      </c>
      <c r="H2" s="5">
        <f>RANK(O2,O$2:O$21,0)</f>
        <v/>
      </c>
      <c r="I2" s="5">
        <f>COUNTIF('Manchester City'!$R$2:$R$9,"&gt;0")</f>
        <v/>
      </c>
      <c r="J2" s="5">
        <f>COUNTIF('Manchester City'!$R$2:$R$9,"&lt;0")</f>
        <v/>
      </c>
      <c r="K2" s="9">
        <f>ROUND('Manchester City'!$E$15,4)</f>
        <v/>
      </c>
      <c r="L2" s="9">
        <f>ROUND('Manchester City'!$E$17,4)</f>
        <v/>
      </c>
      <c r="M2" s="9">
        <f>ROUND('Manchester City'!$E$25,4)</f>
        <v/>
      </c>
      <c r="N2" s="9">
        <f>ROUND('Manchester City'!$E$31-'Manchester City'!$E$32,4)</f>
        <v/>
      </c>
      <c r="O2" s="9">
        <f>ROUND('Manchester City'!$E$32,4)</f>
        <v/>
      </c>
    </row>
    <row r="3">
      <c r="A3" s="8" t="inlineStr">
        <is>
          <t>Arsenal</t>
        </is>
      </c>
      <c r="B3" s="7">
        <f>IFERROR(INDEX('League Table'!$A$2:$A$21,MATCH($A3,'League Table'!$B$2:$B$21,0)),"")</f>
        <v/>
      </c>
      <c r="C3" s="7">
        <f>IFERROR(INDEX('League Table'!$C$2:$C$21,MATCH($A3,'League Table'!$B$2:$B$21,0)),"")</f>
        <v/>
      </c>
      <c r="D3" s="7">
        <f>RANK(K3,K$2:K$21,0)</f>
        <v/>
      </c>
      <c r="E3" s="7">
        <f>RANK(L3,L$2:L$21,1)</f>
        <v/>
      </c>
      <c r="F3" s="7">
        <f>RANK(M3,M$2:M$21,0)</f>
        <v/>
      </c>
      <c r="G3" s="7">
        <f>RANK(N3,N$2:N$21,0)</f>
        <v/>
      </c>
      <c r="H3" s="7">
        <f>RANK(O3,O$2:O$21,0)</f>
        <v/>
      </c>
      <c r="I3" s="7">
        <f>COUNTIF('Arsenal'!$R$2:$R$9,"&gt;0")</f>
        <v/>
      </c>
      <c r="J3" s="7">
        <f>COUNTIF('Arsenal'!$R$2:$R$9,"&lt;0")</f>
        <v/>
      </c>
      <c r="K3" s="10">
        <f>ROUND('Arsenal'!$E$15,4)</f>
        <v/>
      </c>
      <c r="L3" s="10">
        <f>ROUND('Arsenal'!$E$17,4)</f>
        <v/>
      </c>
      <c r="M3" s="10">
        <f>ROUND('Arsenal'!$E$25,4)</f>
        <v/>
      </c>
      <c r="N3" s="10">
        <f>ROUND('Arsenal'!$E$31-'Arsenal'!$E$32,4)</f>
        <v/>
      </c>
      <c r="O3" s="10">
        <f>ROUND('Arsenal'!$E$32,4)</f>
        <v/>
      </c>
    </row>
    <row r="4">
      <c r="A4" s="6" t="inlineStr">
        <is>
          <t>Brighton &amp; Hove Albion</t>
        </is>
      </c>
      <c r="B4" s="5">
        <f>IFERROR(INDEX('League Table'!$A$2:$A$21,MATCH($A4,'League Table'!$B$2:$B$21,0)),"")</f>
        <v/>
      </c>
      <c r="C4" s="5">
        <f>IFERROR(INDEX('League Table'!$C$2:$C$21,MATCH($A4,'League Table'!$B$2:$B$21,0)),"")</f>
        <v/>
      </c>
      <c r="D4" s="5">
        <f>RANK(K4,K$2:K$21,0)</f>
        <v/>
      </c>
      <c r="E4" s="5">
        <f>RANK(L4,L$2:L$21,1)</f>
        <v/>
      </c>
      <c r="F4" s="5">
        <f>RANK(M4,M$2:M$21,0)</f>
        <v/>
      </c>
      <c r="G4" s="5">
        <f>RANK(N4,N$2:N$21,0)</f>
        <v/>
      </c>
      <c r="H4" s="5">
        <f>RANK(O4,O$2:O$21,0)</f>
        <v/>
      </c>
      <c r="I4" s="5">
        <f>COUNTIF('Brighton &amp; Hove Albion'!$R$2:$R$9,"&gt;0")</f>
        <v/>
      </c>
      <c r="J4" s="5">
        <f>COUNTIF('Brighton &amp; Hove Albion'!$R$2:$R$9,"&lt;0")</f>
        <v/>
      </c>
      <c r="K4" s="9">
        <f>ROUND('Brighton &amp; Hove Albion'!$E$15,4)</f>
        <v/>
      </c>
      <c r="L4" s="9">
        <f>ROUND('Brighton &amp; Hove Albion'!$E$17,4)</f>
        <v/>
      </c>
      <c r="M4" s="9">
        <f>ROUND('Brighton &amp; Hove Albion'!$E$25,4)</f>
        <v/>
      </c>
      <c r="N4" s="9">
        <f>ROUND('Brighton &amp; Hove Albion'!$E$31-'Brighton &amp; Hove Albion'!$E$32,4)</f>
        <v/>
      </c>
      <c r="O4" s="9">
        <f>ROUND('Brighton &amp; Hove Albion'!$E$32,4)</f>
        <v/>
      </c>
    </row>
    <row r="5">
      <c r="A5" s="8" t="inlineStr">
        <is>
          <t>Liverpool</t>
        </is>
      </c>
      <c r="B5" s="7">
        <f>IFERROR(INDEX('League Table'!$A$2:$A$21,MATCH($A5,'League Table'!$B$2:$B$21,0)),"")</f>
        <v/>
      </c>
      <c r="C5" s="7">
        <f>IFERROR(INDEX('League Table'!$C$2:$C$21,MATCH($A5,'League Table'!$B$2:$B$21,0)),"")</f>
        <v/>
      </c>
      <c r="D5" s="7">
        <f>RANK(K5,K$2:K$21,0)</f>
        <v/>
      </c>
      <c r="E5" s="7">
        <f>RANK(L5,L$2:L$21,1)</f>
        <v/>
      </c>
      <c r="F5" s="7">
        <f>RANK(M5,M$2:M$21,0)</f>
        <v/>
      </c>
      <c r="G5" s="7">
        <f>RANK(N5,N$2:N$21,0)</f>
        <v/>
      </c>
      <c r="H5" s="7">
        <f>RANK(O5,O$2:O$21,0)</f>
        <v/>
      </c>
      <c r="I5" s="7">
        <f>COUNTIF('Liverpool'!$R$2:$R$9,"&gt;0")</f>
        <v/>
      </c>
      <c r="J5" s="7">
        <f>COUNTIF('Liverpool'!$R$2:$R$9,"&lt;0")</f>
        <v/>
      </c>
      <c r="K5" s="10">
        <f>ROUND('Liverpool'!$E$15,4)</f>
        <v/>
      </c>
      <c r="L5" s="10">
        <f>ROUND('Liverpool'!$E$17,4)</f>
        <v/>
      </c>
      <c r="M5" s="10">
        <f>ROUND('Liverpool'!$E$25,4)</f>
        <v/>
      </c>
      <c r="N5" s="10">
        <f>ROUND('Liverpool'!$E$31-'Liverpool'!$E$32,4)</f>
        <v/>
      </c>
      <c r="O5" s="10">
        <f>ROUND('Liverpool'!$E$32,4)</f>
        <v/>
      </c>
    </row>
    <row r="6">
      <c r="A6" s="6" t="inlineStr">
        <is>
          <t>Chelsea</t>
        </is>
      </c>
      <c r="B6" s="5">
        <f>IFERROR(INDEX('League Table'!$A$2:$A$21,MATCH($A6,'League Table'!$B$2:$B$21,0)),"")</f>
        <v/>
      </c>
      <c r="C6" s="5">
        <f>IFERROR(INDEX('League Table'!$C$2:$C$21,MATCH($A6,'League Table'!$B$2:$B$21,0)),"")</f>
        <v/>
      </c>
      <c r="D6" s="5">
        <f>RANK(K6,K$2:K$21,0)</f>
        <v/>
      </c>
      <c r="E6" s="5">
        <f>RANK(L6,L$2:L$21,1)</f>
        <v/>
      </c>
      <c r="F6" s="5">
        <f>RANK(M6,M$2:M$21,0)</f>
        <v/>
      </c>
      <c r="G6" s="5">
        <f>RANK(N6,N$2:N$21,0)</f>
        <v/>
      </c>
      <c r="H6" s="5">
        <f>RANK(O6,O$2:O$21,0)</f>
        <v/>
      </c>
      <c r="I6" s="5">
        <f>COUNTIF('Chelsea'!$R$2:$R$9,"&gt;0")</f>
        <v/>
      </c>
      <c r="J6" s="5">
        <f>COUNTIF('Chelsea'!$R$2:$R$9,"&lt;0")</f>
        <v/>
      </c>
      <c r="K6" s="9">
        <f>ROUND('Chelsea'!$E$15,4)</f>
        <v/>
      </c>
      <c r="L6" s="9">
        <f>ROUND('Chelsea'!$E$17,4)</f>
        <v/>
      </c>
      <c r="M6" s="9">
        <f>ROUND('Chelsea'!$E$25,4)</f>
        <v/>
      </c>
      <c r="N6" s="9">
        <f>ROUND('Chelsea'!$E$31-'Chelsea'!$E$32,4)</f>
        <v/>
      </c>
      <c r="O6" s="9">
        <f>ROUND('Chelsea'!$E$32,4)</f>
        <v/>
      </c>
    </row>
    <row r="7">
      <c r="A7" s="8" t="inlineStr">
        <is>
          <t>Brentford</t>
        </is>
      </c>
      <c r="B7" s="7">
        <f>IFERROR(INDEX('League Table'!$A$2:$A$21,MATCH($A7,'League Table'!$B$2:$B$21,0)),"")</f>
        <v/>
      </c>
      <c r="C7" s="7">
        <f>IFERROR(INDEX('League Table'!$C$2:$C$21,MATCH($A7,'League Table'!$B$2:$B$21,0)),"")</f>
        <v/>
      </c>
      <c r="D7" s="7">
        <f>RANK(K7,K$2:K$21,0)</f>
        <v/>
      </c>
      <c r="E7" s="7">
        <f>RANK(L7,L$2:L$21,1)</f>
        <v/>
      </c>
      <c r="F7" s="7">
        <f>RANK(M7,M$2:M$21,0)</f>
        <v/>
      </c>
      <c r="G7" s="7">
        <f>RANK(N7,N$2:N$21,0)</f>
        <v/>
      </c>
      <c r="H7" s="7">
        <f>RANK(O7,O$2:O$21,0)</f>
        <v/>
      </c>
      <c r="I7" s="7">
        <f>COUNTIF('Brentford'!$R$2:$R$9,"&gt;0")</f>
        <v/>
      </c>
      <c r="J7" s="7">
        <f>COUNTIF('Brentford'!$R$2:$R$9,"&lt;0")</f>
        <v/>
      </c>
      <c r="K7" s="10">
        <f>ROUND('Brentford'!$E$15,4)</f>
        <v/>
      </c>
      <c r="L7" s="10">
        <f>ROUND('Brentford'!$E$17,4)</f>
        <v/>
      </c>
      <c r="M7" s="10">
        <f>ROUND('Brentford'!$E$25,4)</f>
        <v/>
      </c>
      <c r="N7" s="10">
        <f>ROUND('Brentford'!$E$31-'Brentford'!$E$32,4)</f>
        <v/>
      </c>
      <c r="O7" s="10">
        <f>ROUND('Brentford'!$E$32,4)</f>
        <v/>
      </c>
    </row>
    <row r="8">
      <c r="A8" s="6" t="inlineStr">
        <is>
          <t>Leeds United</t>
        </is>
      </c>
      <c r="B8" s="5">
        <f>IFERROR(INDEX('League Table'!$A$2:$A$21,MATCH($A8,'League Table'!$B$2:$B$21,0)),"")</f>
        <v/>
      </c>
      <c r="C8" s="5">
        <f>IFERROR(INDEX('League Table'!$C$2:$C$21,MATCH($A8,'League Table'!$B$2:$B$21,0)),"")</f>
        <v/>
      </c>
      <c r="D8" s="5">
        <f>RANK(K8,K$2:K$21,0)</f>
        <v/>
      </c>
      <c r="E8" s="5">
        <f>RANK(L8,L$2:L$21,1)</f>
        <v/>
      </c>
      <c r="F8" s="5">
        <f>RANK(M8,M$2:M$21,0)</f>
        <v/>
      </c>
      <c r="G8" s="5">
        <f>RANK(N8,N$2:N$21,0)</f>
        <v/>
      </c>
      <c r="H8" s="5">
        <f>RANK(O8,O$2:O$21,0)</f>
        <v/>
      </c>
      <c r="I8" s="5">
        <f>COUNTIF('Leeds United'!$R$2:$R$9,"&gt;0")</f>
        <v/>
      </c>
      <c r="J8" s="5">
        <f>COUNTIF('Leeds United'!$R$2:$R$9,"&lt;0")</f>
        <v/>
      </c>
      <c r="K8" s="9">
        <f>ROUND('Leeds United'!$E$15,4)</f>
        <v/>
      </c>
      <c r="L8" s="9">
        <f>ROUND('Leeds United'!$E$17,4)</f>
        <v/>
      </c>
      <c r="M8" s="9">
        <f>ROUND('Leeds United'!$E$25,4)</f>
        <v/>
      </c>
      <c r="N8" s="9">
        <f>ROUND('Leeds United'!$E$31-'Leeds United'!$E$32,4)</f>
        <v/>
      </c>
      <c r="O8" s="9">
        <f>ROUND('Leeds United'!$E$32,4)</f>
        <v/>
      </c>
    </row>
    <row r="9">
      <c r="A9" s="8" t="inlineStr">
        <is>
          <t>Newcastle United</t>
        </is>
      </c>
      <c r="B9" s="7">
        <f>IFERROR(INDEX('League Table'!$A$2:$A$21,MATCH($A9,'League Table'!$B$2:$B$21,0)),"")</f>
        <v/>
      </c>
      <c r="C9" s="7">
        <f>IFERROR(INDEX('League Table'!$C$2:$C$21,MATCH($A9,'League Table'!$B$2:$B$21,0)),"")</f>
        <v/>
      </c>
      <c r="D9" s="7">
        <f>RANK(K9,K$2:K$21,0)</f>
        <v/>
      </c>
      <c r="E9" s="7">
        <f>RANK(L9,L$2:L$21,1)</f>
        <v/>
      </c>
      <c r="F9" s="7">
        <f>RANK(M9,M$2:M$21,0)</f>
        <v/>
      </c>
      <c r="G9" s="7">
        <f>RANK(N9,N$2:N$21,0)</f>
        <v/>
      </c>
      <c r="H9" s="7">
        <f>RANK(O9,O$2:O$21,0)</f>
        <v/>
      </c>
      <c r="I9" s="7">
        <f>COUNTIF('Newcastle United'!$R$2:$R$9,"&gt;0")</f>
        <v/>
      </c>
      <c r="J9" s="7">
        <f>COUNTIF('Newcastle United'!$R$2:$R$9,"&lt;0")</f>
        <v/>
      </c>
      <c r="K9" s="10">
        <f>ROUND('Newcastle United'!$E$15,4)</f>
        <v/>
      </c>
      <c r="L9" s="10">
        <f>ROUND('Newcastle United'!$E$17,4)</f>
        <v/>
      </c>
      <c r="M9" s="10">
        <f>ROUND('Newcastle United'!$E$25,4)</f>
        <v/>
      </c>
      <c r="N9" s="10">
        <f>ROUND('Newcastle United'!$E$31-'Newcastle United'!$E$32,4)</f>
        <v/>
      </c>
      <c r="O9" s="10">
        <f>ROUND('Newcastle United'!$E$32,4)</f>
        <v/>
      </c>
    </row>
    <row r="10">
      <c r="A10" s="6" t="inlineStr">
        <is>
          <t>Aston Villa</t>
        </is>
      </c>
      <c r="B10" s="5">
        <f>IFERROR(INDEX('League Table'!$A$2:$A$21,MATCH($A10,'League Table'!$B$2:$B$21,0)),"")</f>
        <v/>
      </c>
      <c r="C10" s="5">
        <f>IFERROR(INDEX('League Table'!$C$2:$C$21,MATCH($A10,'League Table'!$B$2:$B$21,0)),"")</f>
        <v/>
      </c>
      <c r="D10" s="5">
        <f>RANK(K10,K$2:K$21,0)</f>
        <v/>
      </c>
      <c r="E10" s="5">
        <f>RANK(L10,L$2:L$21,1)</f>
        <v/>
      </c>
      <c r="F10" s="5">
        <f>RANK(M10,M$2:M$21,0)</f>
        <v/>
      </c>
      <c r="G10" s="5">
        <f>RANK(N10,N$2:N$21,0)</f>
        <v/>
      </c>
      <c r="H10" s="5">
        <f>RANK(O10,O$2:O$21,0)</f>
        <v/>
      </c>
      <c r="I10" s="5">
        <f>COUNTIF('Aston Villa'!$R$2:$R$9,"&gt;0")</f>
        <v/>
      </c>
      <c r="J10" s="5">
        <f>COUNTIF('Aston Villa'!$R$2:$R$9,"&lt;0")</f>
        <v/>
      </c>
      <c r="K10" s="9">
        <f>ROUND('Aston Villa'!$E$15,4)</f>
        <v/>
      </c>
      <c r="L10" s="9">
        <f>ROUND('Aston Villa'!$E$17,4)</f>
        <v/>
      </c>
      <c r="M10" s="9">
        <f>ROUND('Aston Villa'!$E$25,4)</f>
        <v/>
      </c>
      <c r="N10" s="9">
        <f>ROUND('Aston Villa'!$E$31-'Aston Villa'!$E$32,4)</f>
        <v/>
      </c>
      <c r="O10" s="9">
        <f>ROUND('Aston Villa'!$E$32,4)</f>
        <v/>
      </c>
    </row>
    <row r="11">
      <c r="A11" s="8" t="inlineStr">
        <is>
          <t>Hull</t>
        </is>
      </c>
      <c r="B11" s="7">
        <f>IFERROR(INDEX('League Table'!$A$2:$A$21,MATCH($A11,'League Table'!$B$2:$B$21,0)),"")</f>
        <v/>
      </c>
      <c r="C11" s="7">
        <f>IFERROR(INDEX('League Table'!$C$2:$C$21,MATCH($A11,'League Table'!$B$2:$B$21,0)),"")</f>
        <v/>
      </c>
      <c r="D11" s="7">
        <f>RANK(K11,K$2:K$21,0)</f>
        <v/>
      </c>
      <c r="E11" s="7">
        <f>RANK(L11,L$2:L$21,1)</f>
        <v/>
      </c>
      <c r="F11" s="7">
        <f>RANK(M11,M$2:M$21,0)</f>
        <v/>
      </c>
      <c r="G11" s="7">
        <f>RANK(N11,N$2:N$21,0)</f>
        <v/>
      </c>
      <c r="H11" s="7">
        <f>RANK(O11,O$2:O$21,0)</f>
        <v/>
      </c>
      <c r="I11" s="7">
        <f>COUNTIF('Hull'!$R$2:$R$9,"&gt;0")</f>
        <v/>
      </c>
      <c r="J11" s="7">
        <f>COUNTIF('Hull'!$R$2:$R$9,"&lt;0")</f>
        <v/>
      </c>
      <c r="K11" s="10">
        <f>ROUND('Hull'!$E$15,4)</f>
        <v/>
      </c>
      <c r="L11" s="10">
        <f>ROUND('Hull'!$E$17,4)</f>
        <v/>
      </c>
      <c r="M11" s="10">
        <f>ROUND('Hull'!$E$25,4)</f>
        <v/>
      </c>
      <c r="N11" s="10">
        <f>ROUND('Hull'!$E$31-'Hull'!$E$32,4)</f>
        <v/>
      </c>
      <c r="O11" s="10">
        <f>ROUND('Hull'!$E$32,4)</f>
        <v/>
      </c>
    </row>
    <row r="12">
      <c r="A12" s="6" t="inlineStr">
        <is>
          <t>Everton</t>
        </is>
      </c>
      <c r="B12" s="5">
        <f>IFERROR(INDEX('League Table'!$A$2:$A$21,MATCH($A12,'League Table'!$B$2:$B$21,0)),"")</f>
        <v/>
      </c>
      <c r="C12" s="5">
        <f>IFERROR(INDEX('League Table'!$C$2:$C$21,MATCH($A12,'League Table'!$B$2:$B$21,0)),"")</f>
        <v/>
      </c>
      <c r="D12" s="5">
        <f>RANK(K12,K$2:K$21,0)</f>
        <v/>
      </c>
      <c r="E12" s="5">
        <f>RANK(L12,L$2:L$21,1)</f>
        <v/>
      </c>
      <c r="F12" s="5">
        <f>RANK(M12,M$2:M$21,0)</f>
        <v/>
      </c>
      <c r="G12" s="5">
        <f>RANK(N12,N$2:N$21,0)</f>
        <v/>
      </c>
      <c r="H12" s="5">
        <f>RANK(O12,O$2:O$21,0)</f>
        <v/>
      </c>
      <c r="I12" s="5">
        <f>COUNTIF('Everton'!$R$2:$R$9,"&gt;0")</f>
        <v/>
      </c>
      <c r="J12" s="5">
        <f>COUNTIF('Everton'!$R$2:$R$9,"&lt;0")</f>
        <v/>
      </c>
      <c r="K12" s="9">
        <f>ROUND('Everton'!$E$15,4)</f>
        <v/>
      </c>
      <c r="L12" s="9">
        <f>ROUND('Everton'!$E$17,4)</f>
        <v/>
      </c>
      <c r="M12" s="9">
        <f>ROUND('Everton'!$E$25,4)</f>
        <v/>
      </c>
      <c r="N12" s="9">
        <f>ROUND('Everton'!$E$31-'Everton'!$E$32,4)</f>
        <v/>
      </c>
      <c r="O12" s="9">
        <f>ROUND('Everton'!$E$32,4)</f>
        <v/>
      </c>
    </row>
    <row r="13">
      <c r="A13" s="8" t="inlineStr">
        <is>
          <t>Ipswich</t>
        </is>
      </c>
      <c r="B13" s="7">
        <f>IFERROR(INDEX('League Table'!$A$2:$A$21,MATCH($A13,'League Table'!$B$2:$B$21,0)),"")</f>
        <v/>
      </c>
      <c r="C13" s="7">
        <f>IFERROR(INDEX('League Table'!$C$2:$C$21,MATCH($A13,'League Table'!$B$2:$B$21,0)),"")</f>
        <v/>
      </c>
      <c r="D13" s="7">
        <f>RANK(K13,K$2:K$21,0)</f>
        <v/>
      </c>
      <c r="E13" s="7">
        <f>RANK(L13,L$2:L$21,1)</f>
        <v/>
      </c>
      <c r="F13" s="7">
        <f>RANK(M13,M$2:M$21,0)</f>
        <v/>
      </c>
      <c r="G13" s="7">
        <f>RANK(N13,N$2:N$21,0)</f>
        <v/>
      </c>
      <c r="H13" s="7">
        <f>RANK(O13,O$2:O$21,0)</f>
        <v/>
      </c>
      <c r="I13" s="7">
        <f>COUNTIF('Ipswich'!$R$2:$R$9,"&gt;0")</f>
        <v/>
      </c>
      <c r="J13" s="7">
        <f>COUNTIF('Ipswich'!$R$2:$R$9,"&lt;0")</f>
        <v/>
      </c>
      <c r="K13" s="10">
        <f>ROUND('Ipswich'!$E$15,4)</f>
        <v/>
      </c>
      <c r="L13" s="10">
        <f>ROUND('Ipswich'!$E$17,4)</f>
        <v/>
      </c>
      <c r="M13" s="10">
        <f>ROUND('Ipswich'!$E$25,4)</f>
        <v/>
      </c>
      <c r="N13" s="10">
        <f>ROUND('Ipswich'!$E$31-'Ipswich'!$E$32,4)</f>
        <v/>
      </c>
      <c r="O13" s="10">
        <f>ROUND('Ipswich'!$E$32,4)</f>
        <v/>
      </c>
    </row>
    <row r="14">
      <c r="A14" s="6" t="inlineStr">
        <is>
          <t>Bournemouth</t>
        </is>
      </c>
      <c r="B14" s="5">
        <f>IFERROR(INDEX('League Table'!$A$2:$A$21,MATCH($A14,'League Table'!$B$2:$B$21,0)),"")</f>
        <v/>
      </c>
      <c r="C14" s="5">
        <f>IFERROR(INDEX('League Table'!$C$2:$C$21,MATCH($A14,'League Table'!$B$2:$B$21,0)),"")</f>
        <v/>
      </c>
      <c r="D14" s="5">
        <f>RANK(K14,K$2:K$21,0)</f>
        <v/>
      </c>
      <c r="E14" s="5">
        <f>RANK(L14,L$2:L$21,1)</f>
        <v/>
      </c>
      <c r="F14" s="5">
        <f>RANK(M14,M$2:M$21,0)</f>
        <v/>
      </c>
      <c r="G14" s="5">
        <f>RANK(N14,N$2:N$21,0)</f>
        <v/>
      </c>
      <c r="H14" s="5">
        <f>RANK(O14,O$2:O$21,0)</f>
        <v/>
      </c>
      <c r="I14" s="5">
        <f>COUNTIF('Bournemouth'!$R$2:$R$9,"&gt;0")</f>
        <v/>
      </c>
      <c r="J14" s="5">
        <f>COUNTIF('Bournemouth'!$R$2:$R$9,"&lt;0")</f>
        <v/>
      </c>
      <c r="K14" s="9">
        <f>ROUND('Bournemouth'!$E$15,4)</f>
        <v/>
      </c>
      <c r="L14" s="9">
        <f>ROUND('Bournemouth'!$E$17,4)</f>
        <v/>
      </c>
      <c r="M14" s="9">
        <f>ROUND('Bournemouth'!$E$25,4)</f>
        <v/>
      </c>
      <c r="N14" s="9">
        <f>ROUND('Bournemouth'!$E$31-'Bournemouth'!$E$32,4)</f>
        <v/>
      </c>
      <c r="O14" s="9">
        <f>ROUND('Bournemouth'!$E$32,4)</f>
        <v/>
      </c>
    </row>
    <row r="15">
      <c r="A15" s="8" t="inlineStr">
        <is>
          <t>Tottenham Hotspur</t>
        </is>
      </c>
      <c r="B15" s="7">
        <f>IFERROR(INDEX('League Table'!$A$2:$A$21,MATCH($A15,'League Table'!$B$2:$B$21,0)),"")</f>
        <v/>
      </c>
      <c r="C15" s="7">
        <f>IFERROR(INDEX('League Table'!$C$2:$C$21,MATCH($A15,'League Table'!$B$2:$B$21,0)),"")</f>
        <v/>
      </c>
      <c r="D15" s="7">
        <f>RANK(K15,K$2:K$21,0)</f>
        <v/>
      </c>
      <c r="E15" s="7">
        <f>RANK(L15,L$2:L$21,1)</f>
        <v/>
      </c>
      <c r="F15" s="7">
        <f>RANK(M15,M$2:M$21,0)</f>
        <v/>
      </c>
      <c r="G15" s="7">
        <f>RANK(N15,N$2:N$21,0)</f>
        <v/>
      </c>
      <c r="H15" s="7">
        <f>RANK(O15,O$2:O$21,0)</f>
        <v/>
      </c>
      <c r="I15" s="7">
        <f>COUNTIF('Tottenham Hotspur'!$R$2:$R$9,"&gt;0")</f>
        <v/>
      </c>
      <c r="J15" s="7">
        <f>COUNTIF('Tottenham Hotspur'!$R$2:$R$9,"&lt;0")</f>
        <v/>
      </c>
      <c r="K15" s="10">
        <f>ROUND('Tottenham Hotspur'!$E$15,4)</f>
        <v/>
      </c>
      <c r="L15" s="10">
        <f>ROUND('Tottenham Hotspur'!$E$17,4)</f>
        <v/>
      </c>
      <c r="M15" s="10">
        <f>ROUND('Tottenham Hotspur'!$E$25,4)</f>
        <v/>
      </c>
      <c r="N15" s="10">
        <f>ROUND('Tottenham Hotspur'!$E$31-'Tottenham Hotspur'!$E$32,4)</f>
        <v/>
      </c>
      <c r="O15" s="10">
        <f>ROUND('Tottenham Hotspur'!$E$32,4)</f>
        <v/>
      </c>
    </row>
    <row r="16">
      <c r="A16" s="6" t="inlineStr">
        <is>
          <t>Fulham</t>
        </is>
      </c>
      <c r="B16" s="5">
        <f>IFERROR(INDEX('League Table'!$A$2:$A$21,MATCH($A16,'League Table'!$B$2:$B$21,0)),"")</f>
        <v/>
      </c>
      <c r="C16" s="5">
        <f>IFERROR(INDEX('League Table'!$C$2:$C$21,MATCH($A16,'League Table'!$B$2:$B$21,0)),"")</f>
        <v/>
      </c>
      <c r="D16" s="5">
        <f>RANK(K16,K$2:K$21,0)</f>
        <v/>
      </c>
      <c r="E16" s="5">
        <f>RANK(L16,L$2:L$21,1)</f>
        <v/>
      </c>
      <c r="F16" s="5">
        <f>RANK(M16,M$2:M$21,0)</f>
        <v/>
      </c>
      <c r="G16" s="5">
        <f>RANK(N16,N$2:N$21,0)</f>
        <v/>
      </c>
      <c r="H16" s="5">
        <f>RANK(O16,O$2:O$21,0)</f>
        <v/>
      </c>
      <c r="I16" s="5">
        <f>COUNTIF('Fulham'!$R$2:$R$9,"&gt;0")</f>
        <v/>
      </c>
      <c r="J16" s="5">
        <f>COUNTIF('Fulham'!$R$2:$R$9,"&lt;0")</f>
        <v/>
      </c>
      <c r="K16" s="9">
        <f>ROUND('Fulham'!$E$15,4)</f>
        <v/>
      </c>
      <c r="L16" s="9">
        <f>ROUND('Fulham'!$E$17,4)</f>
        <v/>
      </c>
      <c r="M16" s="9">
        <f>ROUND('Fulham'!$E$25,4)</f>
        <v/>
      </c>
      <c r="N16" s="9">
        <f>ROUND('Fulham'!$E$31-'Fulham'!$E$32,4)</f>
        <v/>
      </c>
      <c r="O16" s="9">
        <f>ROUND('Fulham'!$E$32,4)</f>
        <v/>
      </c>
    </row>
    <row r="17">
      <c r="A17" s="8" t="inlineStr">
        <is>
          <t>Manchester United</t>
        </is>
      </c>
      <c r="B17" s="7">
        <f>IFERROR(INDEX('League Table'!$A$2:$A$21,MATCH($A17,'League Table'!$B$2:$B$21,0)),"")</f>
        <v/>
      </c>
      <c r="C17" s="7">
        <f>IFERROR(INDEX('League Table'!$C$2:$C$21,MATCH($A17,'League Table'!$B$2:$B$21,0)),"")</f>
        <v/>
      </c>
      <c r="D17" s="7">
        <f>RANK(K17,K$2:K$21,0)</f>
        <v/>
      </c>
      <c r="E17" s="7">
        <f>RANK(L17,L$2:L$21,1)</f>
        <v/>
      </c>
      <c r="F17" s="7">
        <f>RANK(M17,M$2:M$21,0)</f>
        <v/>
      </c>
      <c r="G17" s="7">
        <f>RANK(N17,N$2:N$21,0)</f>
        <v/>
      </c>
      <c r="H17" s="7">
        <f>RANK(O17,O$2:O$21,0)</f>
        <v/>
      </c>
      <c r="I17" s="7">
        <f>COUNTIF('Manchester United'!$R$2:$R$9,"&gt;0")</f>
        <v/>
      </c>
      <c r="J17" s="7">
        <f>COUNTIF('Manchester United'!$R$2:$R$9,"&lt;0")</f>
        <v/>
      </c>
      <c r="K17" s="10">
        <f>ROUND('Manchester United'!$E$15,4)</f>
        <v/>
      </c>
      <c r="L17" s="10">
        <f>ROUND('Manchester United'!$E$17,4)</f>
        <v/>
      </c>
      <c r="M17" s="10">
        <f>ROUND('Manchester United'!$E$25,4)</f>
        <v/>
      </c>
      <c r="N17" s="10">
        <f>ROUND('Manchester United'!$E$31-'Manchester United'!$E$32,4)</f>
        <v/>
      </c>
      <c r="O17" s="10">
        <f>ROUND('Manchester United'!$E$32,4)</f>
        <v/>
      </c>
    </row>
    <row r="18">
      <c r="A18" s="6" t="inlineStr">
        <is>
          <t>Crystal Palace</t>
        </is>
      </c>
      <c r="B18" s="5">
        <f>IFERROR(INDEX('League Table'!$A$2:$A$21,MATCH($A18,'League Table'!$B$2:$B$21,0)),"")</f>
        <v/>
      </c>
      <c r="C18" s="5">
        <f>IFERROR(INDEX('League Table'!$C$2:$C$21,MATCH($A18,'League Table'!$B$2:$B$21,0)),"")</f>
        <v/>
      </c>
      <c r="D18" s="5">
        <f>RANK(K18,K$2:K$21,0)</f>
        <v/>
      </c>
      <c r="E18" s="5">
        <f>RANK(L18,L$2:L$21,1)</f>
        <v/>
      </c>
      <c r="F18" s="5">
        <f>RANK(M18,M$2:M$21,0)</f>
        <v/>
      </c>
      <c r="G18" s="5">
        <f>RANK(N18,N$2:N$21,0)</f>
        <v/>
      </c>
      <c r="H18" s="5">
        <f>RANK(O18,O$2:O$21,0)</f>
        <v/>
      </c>
      <c r="I18" s="5">
        <f>COUNTIF('Crystal Palace'!$R$2:$R$9,"&gt;0")</f>
        <v/>
      </c>
      <c r="J18" s="5">
        <f>COUNTIF('Crystal Palace'!$R$2:$R$9,"&lt;0")</f>
        <v/>
      </c>
      <c r="K18" s="9">
        <f>ROUND('Crystal Palace'!$E$15,4)</f>
        <v/>
      </c>
      <c r="L18" s="9">
        <f>ROUND('Crystal Palace'!$E$17,4)</f>
        <v/>
      </c>
      <c r="M18" s="9">
        <f>ROUND('Crystal Palace'!$E$25,4)</f>
        <v/>
      </c>
      <c r="N18" s="9">
        <f>ROUND('Crystal Palace'!$E$31-'Crystal Palace'!$E$32,4)</f>
        <v/>
      </c>
      <c r="O18" s="9">
        <f>ROUND('Crystal Palace'!$E$32,4)</f>
        <v/>
      </c>
    </row>
    <row r="19">
      <c r="A19" s="8" t="inlineStr">
        <is>
          <t>Nottingham Forest</t>
        </is>
      </c>
      <c r="B19" s="7">
        <f>IFERROR(INDEX('League Table'!$A$2:$A$21,MATCH($A19,'League Table'!$B$2:$B$21,0)),"")</f>
        <v/>
      </c>
      <c r="C19" s="7">
        <f>IFERROR(INDEX('League Table'!$C$2:$C$21,MATCH($A19,'League Table'!$B$2:$B$21,0)),"")</f>
        <v/>
      </c>
      <c r="D19" s="7">
        <f>RANK(K19,K$2:K$21,0)</f>
        <v/>
      </c>
      <c r="E19" s="7">
        <f>RANK(L19,L$2:L$21,1)</f>
        <v/>
      </c>
      <c r="F19" s="7">
        <f>RANK(M19,M$2:M$21,0)</f>
        <v/>
      </c>
      <c r="G19" s="7">
        <f>RANK(N19,N$2:N$21,0)</f>
        <v/>
      </c>
      <c r="H19" s="7">
        <f>RANK(O19,O$2:O$21,0)</f>
        <v/>
      </c>
      <c r="I19" s="7">
        <f>COUNTIF('Nottingham Forest'!$R$2:$R$9,"&gt;0")</f>
        <v/>
      </c>
      <c r="J19" s="7">
        <f>COUNTIF('Nottingham Forest'!$R$2:$R$9,"&lt;0")</f>
        <v/>
      </c>
      <c r="K19" s="10">
        <f>ROUND('Nottingham Forest'!$E$15,4)</f>
        <v/>
      </c>
      <c r="L19" s="10">
        <f>ROUND('Nottingham Forest'!$E$17,4)</f>
        <v/>
      </c>
      <c r="M19" s="10">
        <f>ROUND('Nottingham Forest'!$E$25,4)</f>
        <v/>
      </c>
      <c r="N19" s="10">
        <f>ROUND('Nottingham Forest'!$E$31-'Nottingham Forest'!$E$32,4)</f>
        <v/>
      </c>
      <c r="O19" s="10">
        <f>ROUND('Nottingham Forest'!$E$32,4)</f>
        <v/>
      </c>
    </row>
    <row r="20">
      <c r="A20" s="6" t="inlineStr">
        <is>
          <t>Coventry</t>
        </is>
      </c>
      <c r="B20" s="5">
        <f>IFERROR(INDEX('League Table'!$A$2:$A$21,MATCH($A20,'League Table'!$B$2:$B$21,0)),"")</f>
        <v/>
      </c>
      <c r="C20" s="5">
        <f>IFERROR(INDEX('League Table'!$C$2:$C$21,MATCH($A20,'League Table'!$B$2:$B$21,0)),"")</f>
        <v/>
      </c>
      <c r="D20" s="5">
        <f>RANK(K20,K$2:K$21,0)</f>
        <v/>
      </c>
      <c r="E20" s="5">
        <f>RANK(L20,L$2:L$21,1)</f>
        <v/>
      </c>
      <c r="F20" s="5">
        <f>RANK(M20,M$2:M$21,0)</f>
        <v/>
      </c>
      <c r="G20" s="5">
        <f>RANK(N20,N$2:N$21,0)</f>
        <v/>
      </c>
      <c r="H20" s="5">
        <f>RANK(O20,O$2:O$21,0)</f>
        <v/>
      </c>
      <c r="I20" s="5">
        <f>COUNTIF('Coventry'!$R$2:$R$9,"&gt;0")</f>
        <v/>
      </c>
      <c r="J20" s="5">
        <f>COUNTIF('Coventry'!$R$2:$R$9,"&lt;0")</f>
        <v/>
      </c>
      <c r="K20" s="9">
        <f>ROUND('Coventry'!$E$15,4)</f>
        <v/>
      </c>
      <c r="L20" s="9">
        <f>ROUND('Coventry'!$E$17,4)</f>
        <v/>
      </c>
      <c r="M20" s="9">
        <f>ROUND('Coventry'!$E$25,4)</f>
        <v/>
      </c>
      <c r="N20" s="9">
        <f>ROUND('Coventry'!$E$31-'Coventry'!$E$32,4)</f>
        <v/>
      </c>
      <c r="O20" s="9">
        <f>ROUND('Coventry'!$E$32,4)</f>
        <v/>
      </c>
    </row>
    <row r="21">
      <c r="A21" s="8" t="inlineStr">
        <is>
          <t>Sunderland</t>
        </is>
      </c>
      <c r="B21" s="7">
        <f>IFERROR(INDEX('League Table'!$A$2:$A$21,MATCH($A21,'League Table'!$B$2:$B$21,0)),"")</f>
        <v/>
      </c>
      <c r="C21" s="7">
        <f>IFERROR(INDEX('League Table'!$C$2:$C$21,MATCH($A21,'League Table'!$B$2:$B$21,0)),"")</f>
        <v/>
      </c>
      <c r="D21" s="7">
        <f>RANK(K21,K$2:K$21,0)</f>
        <v/>
      </c>
      <c r="E21" s="7">
        <f>RANK(L21,L$2:L$21,1)</f>
        <v/>
      </c>
      <c r="F21" s="7">
        <f>RANK(M21,M$2:M$21,0)</f>
        <v/>
      </c>
      <c r="G21" s="7">
        <f>RANK(N21,N$2:N$21,0)</f>
        <v/>
      </c>
      <c r="H21" s="7">
        <f>RANK(O21,O$2:O$21,0)</f>
        <v/>
      </c>
      <c r="I21" s="7">
        <f>COUNTIF('Sunderland'!$R$2:$R$9,"&gt;0")</f>
        <v/>
      </c>
      <c r="J21" s="7">
        <f>COUNTIF('Sunderland'!$R$2:$R$9,"&lt;0")</f>
        <v/>
      </c>
      <c r="K21" s="10">
        <f>ROUND('Sunderland'!$E$15,4)</f>
        <v/>
      </c>
      <c r="L21" s="10">
        <f>ROUND('Sunderland'!$E$17,4)</f>
        <v/>
      </c>
      <c r="M21" s="10">
        <f>ROUND('Sunderland'!$E$25,4)</f>
        <v/>
      </c>
      <c r="N21" s="10">
        <f>ROUND('Sunderland'!$E$31-'Sunderland'!$E$32,4)</f>
        <v/>
      </c>
      <c r="O21" s="10">
        <f>ROUND('Sunderland'!$E$32,4)</f>
        <v/>
      </c>
    </row>
    <row r="23">
      <c r="A23" s="11" t="inlineStr">
        <is>
          <t>How to read this sheet</t>
        </is>
      </c>
    </row>
    <row r="24">
      <c r="A24" s="12" t="inlineStr">
        <is>
          <t>Ranks: 1 = best. Rows are in league-table order (position and games played come from the League Table sheet).</t>
        </is>
      </c>
    </row>
    <row r="25">
      <c r="A25" s="12" t="inlineStr">
        <is>
          <t>Goals For Supremacy Rank: avg xG Delta (For) - actual xG for minus the pre-match market xG for. Highest = rank 1.</t>
        </is>
      </c>
    </row>
    <row r="26">
      <c r="A26" s="12" t="inlineStr">
        <is>
          <t>Goals Conceded Supremacy Rank: avg xG Delta (Against) - actual xG against minus pre-match market xG against. The more negative (conceding less than expected), the better the rank, so the most negative = rank 1.</t>
        </is>
      </c>
    </row>
    <row r="27">
      <c r="A27" s="12" t="inlineStr">
        <is>
          <t>Goals Above Expected (Total) Rank: avg Match Total xG Delta - combined actual xG in the team's games minus the combined pre-match market xG. Highest = rank 1 (games producing the most goals above expectation).</t>
        </is>
      </c>
    </row>
    <row r="28">
      <c r="A28" s="12" t="inlineStr">
        <is>
          <t>xPts Delta Rank: season-total actual xPts minus market xPts. Highest = rank 1.   Market Points Rank: season-total market xPts, highest = rank 1.</t>
        </is>
      </c>
    </row>
    <row r="29">
      <c r="A29" s="12" t="inlineStr">
        <is>
          <t>Games +ve / -ve xG Supremacy: games where the team's Supremacy Delta (actual xG supremacy minus pre-match expected supremacy) was above / below zero.</t>
        </is>
      </c>
    </row>
    <row r="30">
      <c r="A30" s="12" t="inlineStr">
        <is>
          <t>Columns K:O hold the underlying numbers the ranks are calculated from.</t>
        </is>
      </c>
    </row>
  </sheetData>
  <conditionalFormatting sqref="D2:D21">
    <cfRule type="colorScale" priority="1">
      <colorScale>
        <cfvo type="min"/>
        <cfvo type="percentile" val="50"/>
        <cfvo type="max"/>
        <color rgb="0063BE7B"/>
        <color rgb="00FFFFFF"/>
        <color rgb="00F8696B"/>
      </colorScale>
    </cfRule>
  </conditionalFormatting>
  <conditionalFormatting sqref="E2:E21">
    <cfRule type="colorScale" priority="2">
      <colorScale>
        <cfvo type="min"/>
        <cfvo type="percentile" val="50"/>
        <cfvo type="max"/>
        <color rgb="0063BE7B"/>
        <color rgb="00FFFFFF"/>
        <color rgb="00F8696B"/>
      </colorScale>
    </cfRule>
  </conditionalFormatting>
  <conditionalFormatting sqref="F2:F21">
    <cfRule type="colorScale" priority="3">
      <colorScale>
        <cfvo type="min"/>
        <cfvo type="percentile" val="50"/>
        <cfvo type="max"/>
        <color rgb="0063BE7B"/>
        <color rgb="00FFFFFF"/>
        <color rgb="00F8696B"/>
      </colorScale>
    </cfRule>
  </conditionalFormatting>
  <conditionalFormatting sqref="G2:G21">
    <cfRule type="colorScale" priority="4">
      <colorScale>
        <cfvo type="min"/>
        <cfvo type="percentile" val="50"/>
        <cfvo type="max"/>
        <color rgb="0063BE7B"/>
        <color rgb="00FFFFFF"/>
        <color rgb="00F8696B"/>
      </colorScale>
    </cfRule>
  </conditionalFormatting>
  <conditionalFormatting sqref="H2:H21">
    <cfRule type="colorScale" priority="5">
      <colorScale>
        <cfvo type="min"/>
        <cfvo type="percentile" val="50"/>
        <cfvo type="max"/>
        <color rgb="0063BE7B"/>
        <color rgb="00FFFFFF"/>
        <color rgb="00F8696B"/>
      </colorScale>
    </cfRule>
  </conditionalFormatting>
  <conditionalFormatting sqref="I2:I21">
    <cfRule type="colorScale" priority="6">
      <colorScale>
        <cfvo type="min"/>
        <cfvo type="max"/>
        <color rgb="00FFFFFF"/>
        <color rgb="0063BE7B"/>
      </colorScale>
    </cfRule>
  </conditionalFormatting>
  <conditionalFormatting sqref="J2:J21">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1"/>
  <sheetViews>
    <sheetView showGridLines="0" workbookViewId="0">
      <pane ySplit="1" topLeftCell="A2" activePane="bottomLeft" state="frozen"/>
      <selection pane="bottomLeft" activeCell="A1" sqref="A1"/>
    </sheetView>
  </sheetViews>
  <sheetFormatPr baseColWidth="8" defaultRowHeight="15"/>
  <cols>
    <col width="23"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Brighton &amp; Hove Albion</t>
        </is>
      </c>
      <c r="B2" s="6">
        <f>'Brighton &amp; Hove Albion'!$E$12</f>
        <v/>
      </c>
      <c r="C2" s="9">
        <f>'Brighton &amp; Hove Albion'!$E$15</f>
        <v/>
      </c>
      <c r="D2" s="9">
        <f>'Brighton &amp; Hove Albion'!$E$17</f>
        <v/>
      </c>
      <c r="E2" s="9">
        <f>'Brighton &amp; Hove Albion'!$E$19</f>
        <v/>
      </c>
      <c r="F2" s="9">
        <f>'Brighton &amp; Hove Albion'!$E$21</f>
        <v/>
      </c>
      <c r="G2" s="9">
        <f>'Brighton &amp; Hove Albion'!$E$23</f>
        <v/>
      </c>
      <c r="H2" s="9">
        <f>'Brighton &amp; Hove Albion'!$E$27</f>
        <v/>
      </c>
      <c r="I2" s="9">
        <f>'Brighton &amp; Hove Albion'!$E$28</f>
        <v/>
      </c>
      <c r="J2" s="9">
        <f>'Brighton &amp; Hove Albion'!$E$31</f>
        <v/>
      </c>
      <c r="K2" s="9">
        <f>'Brighton &amp; Hove Albion'!$E$32</f>
        <v/>
      </c>
      <c r="L2" s="9">
        <f>'Brighton &amp; Hove Albion'!$E$33</f>
        <v/>
      </c>
    </row>
    <row r="3">
      <c r="A3" s="8" t="inlineStr">
        <is>
          <t>Bournemouth</t>
        </is>
      </c>
      <c r="B3" s="8">
        <f>'Bournemouth'!$E$12</f>
        <v/>
      </c>
      <c r="C3" s="10">
        <f>'Bournemouth'!$E$15</f>
        <v/>
      </c>
      <c r="D3" s="10">
        <f>'Bournemouth'!$E$17</f>
        <v/>
      </c>
      <c r="E3" s="10">
        <f>'Bournemouth'!$E$19</f>
        <v/>
      </c>
      <c r="F3" s="10">
        <f>'Bournemouth'!$E$21</f>
        <v/>
      </c>
      <c r="G3" s="10">
        <f>'Bournemouth'!$E$23</f>
        <v/>
      </c>
      <c r="H3" s="10">
        <f>'Bournemouth'!$E$27</f>
        <v/>
      </c>
      <c r="I3" s="10">
        <f>'Bournemouth'!$E$28</f>
        <v/>
      </c>
      <c r="J3" s="10">
        <f>'Bournemouth'!$E$31</f>
        <v/>
      </c>
      <c r="K3" s="10">
        <f>'Bournemouth'!$E$32</f>
        <v/>
      </c>
      <c r="L3" s="10">
        <f>'Bournemouth'!$E$33</f>
        <v/>
      </c>
    </row>
    <row r="4">
      <c r="A4" s="6" t="inlineStr">
        <is>
          <t>Nottingham Forest</t>
        </is>
      </c>
      <c r="B4" s="6">
        <f>'Nottingham Forest'!$E$12</f>
        <v/>
      </c>
      <c r="C4" s="9">
        <f>'Nottingham Forest'!$E$15</f>
        <v/>
      </c>
      <c r="D4" s="9">
        <f>'Nottingham Forest'!$E$17</f>
        <v/>
      </c>
      <c r="E4" s="9">
        <f>'Nottingham Forest'!$E$19</f>
        <v/>
      </c>
      <c r="F4" s="9">
        <f>'Nottingham Forest'!$E$21</f>
        <v/>
      </c>
      <c r="G4" s="9">
        <f>'Nottingham Forest'!$E$23</f>
        <v/>
      </c>
      <c r="H4" s="9">
        <f>'Nottingham Forest'!$E$27</f>
        <v/>
      </c>
      <c r="I4" s="9">
        <f>'Nottingham Forest'!$E$28</f>
        <v/>
      </c>
      <c r="J4" s="9">
        <f>'Nottingham Forest'!$E$31</f>
        <v/>
      </c>
      <c r="K4" s="9">
        <f>'Nottingham Forest'!$E$32</f>
        <v/>
      </c>
      <c r="L4" s="9">
        <f>'Nottingham Forest'!$E$33</f>
        <v/>
      </c>
    </row>
    <row r="5">
      <c r="A5" s="8" t="inlineStr">
        <is>
          <t>Sunderland</t>
        </is>
      </c>
      <c r="B5" s="8">
        <f>'Sunderland'!$E$12</f>
        <v/>
      </c>
      <c r="C5" s="10">
        <f>'Sunderland'!$E$15</f>
        <v/>
      </c>
      <c r="D5" s="10">
        <f>'Sunderland'!$E$17</f>
        <v/>
      </c>
      <c r="E5" s="10">
        <f>'Sunderland'!$E$19</f>
        <v/>
      </c>
      <c r="F5" s="10">
        <f>'Sunderland'!$E$21</f>
        <v/>
      </c>
      <c r="G5" s="10">
        <f>'Sunderland'!$E$23</f>
        <v/>
      </c>
      <c r="H5" s="10">
        <f>'Sunderland'!$E$27</f>
        <v/>
      </c>
      <c r="I5" s="10">
        <f>'Sunderland'!$E$28</f>
        <v/>
      </c>
      <c r="J5" s="10">
        <f>'Sunderland'!$E$31</f>
        <v/>
      </c>
      <c r="K5" s="10">
        <f>'Sunderland'!$E$32</f>
        <v/>
      </c>
      <c r="L5" s="10">
        <f>'Sunderland'!$E$33</f>
        <v/>
      </c>
    </row>
    <row r="6">
      <c r="A6" s="6" t="inlineStr">
        <is>
          <t>Ipswich</t>
        </is>
      </c>
      <c r="B6" s="6">
        <f>'Ipswich'!$E$12</f>
        <v/>
      </c>
      <c r="C6" s="9">
        <f>'Ipswich'!$E$15</f>
        <v/>
      </c>
      <c r="D6" s="9">
        <f>'Ipswich'!$E$17</f>
        <v/>
      </c>
      <c r="E6" s="9">
        <f>'Ipswich'!$E$19</f>
        <v/>
      </c>
      <c r="F6" s="9">
        <f>'Ipswich'!$E$21</f>
        <v/>
      </c>
      <c r="G6" s="9">
        <f>'Ipswich'!$E$23</f>
        <v/>
      </c>
      <c r="H6" s="9">
        <f>'Ipswich'!$E$27</f>
        <v/>
      </c>
      <c r="I6" s="9">
        <f>'Ipswich'!$E$28</f>
        <v/>
      </c>
      <c r="J6" s="9">
        <f>'Ipswich'!$E$31</f>
        <v/>
      </c>
      <c r="K6" s="9">
        <f>'Ipswich'!$E$32</f>
        <v/>
      </c>
      <c r="L6" s="9">
        <f>'Ipswich'!$E$33</f>
        <v/>
      </c>
    </row>
    <row r="7">
      <c r="A7" s="8" t="inlineStr">
        <is>
          <t>Crystal Palace</t>
        </is>
      </c>
      <c r="B7" s="8">
        <f>'Crystal Palace'!$E$12</f>
        <v/>
      </c>
      <c r="C7" s="10">
        <f>'Crystal Palace'!$E$15</f>
        <v/>
      </c>
      <c r="D7" s="10">
        <f>'Crystal Palace'!$E$17</f>
        <v/>
      </c>
      <c r="E7" s="10">
        <f>'Crystal Palace'!$E$19</f>
        <v/>
      </c>
      <c r="F7" s="10">
        <f>'Crystal Palace'!$E$21</f>
        <v/>
      </c>
      <c r="G7" s="10">
        <f>'Crystal Palace'!$E$23</f>
        <v/>
      </c>
      <c r="H7" s="10">
        <f>'Crystal Palace'!$E$27</f>
        <v/>
      </c>
      <c r="I7" s="10">
        <f>'Crystal Palace'!$E$28</f>
        <v/>
      </c>
      <c r="J7" s="10">
        <f>'Crystal Palace'!$E$31</f>
        <v/>
      </c>
      <c r="K7" s="10">
        <f>'Crystal Palace'!$E$32</f>
        <v/>
      </c>
      <c r="L7" s="10">
        <f>'Crystal Palace'!$E$33</f>
        <v/>
      </c>
    </row>
    <row r="8">
      <c r="A8" s="6" t="inlineStr">
        <is>
          <t>Brentford</t>
        </is>
      </c>
      <c r="B8" s="6">
        <f>'Brentford'!$E$12</f>
        <v/>
      </c>
      <c r="C8" s="9">
        <f>'Brentford'!$E$15</f>
        <v/>
      </c>
      <c r="D8" s="9">
        <f>'Brentford'!$E$17</f>
        <v/>
      </c>
      <c r="E8" s="9">
        <f>'Brentford'!$E$19</f>
        <v/>
      </c>
      <c r="F8" s="9">
        <f>'Brentford'!$E$21</f>
        <v/>
      </c>
      <c r="G8" s="9">
        <f>'Brentford'!$E$23</f>
        <v/>
      </c>
      <c r="H8" s="9">
        <f>'Brentford'!$E$27</f>
        <v/>
      </c>
      <c r="I8" s="9">
        <f>'Brentford'!$E$28</f>
        <v/>
      </c>
      <c r="J8" s="9">
        <f>'Brentford'!$E$31</f>
        <v/>
      </c>
      <c r="K8" s="9">
        <f>'Brentford'!$E$32</f>
        <v/>
      </c>
      <c r="L8" s="9">
        <f>'Brentford'!$E$33</f>
        <v/>
      </c>
    </row>
    <row r="9">
      <c r="A9" s="8" t="inlineStr">
        <is>
          <t>Fulham</t>
        </is>
      </c>
      <c r="B9" s="8">
        <f>'Fulham'!$E$12</f>
        <v/>
      </c>
      <c r="C9" s="10">
        <f>'Fulham'!$E$15</f>
        <v/>
      </c>
      <c r="D9" s="10">
        <f>'Fulham'!$E$17</f>
        <v/>
      </c>
      <c r="E9" s="10">
        <f>'Fulham'!$E$19</f>
        <v/>
      </c>
      <c r="F9" s="10">
        <f>'Fulham'!$E$21</f>
        <v/>
      </c>
      <c r="G9" s="10">
        <f>'Fulham'!$E$23</f>
        <v/>
      </c>
      <c r="H9" s="10">
        <f>'Fulham'!$E$27</f>
        <v/>
      </c>
      <c r="I9" s="10">
        <f>'Fulham'!$E$28</f>
        <v/>
      </c>
      <c r="J9" s="10">
        <f>'Fulham'!$E$31</f>
        <v/>
      </c>
      <c r="K9" s="10">
        <f>'Fulham'!$E$32</f>
        <v/>
      </c>
      <c r="L9" s="10">
        <f>'Fulham'!$E$33</f>
        <v/>
      </c>
    </row>
    <row r="10">
      <c r="A10" s="6" t="inlineStr">
        <is>
          <t>Hull</t>
        </is>
      </c>
      <c r="B10" s="6">
        <f>'Hull'!$E$12</f>
        <v/>
      </c>
      <c r="C10" s="9">
        <f>'Hull'!$E$15</f>
        <v/>
      </c>
      <c r="D10" s="9">
        <f>'Hull'!$E$17</f>
        <v/>
      </c>
      <c r="E10" s="9">
        <f>'Hull'!$E$19</f>
        <v/>
      </c>
      <c r="F10" s="9">
        <f>'Hull'!$E$21</f>
        <v/>
      </c>
      <c r="G10" s="9">
        <f>'Hull'!$E$23</f>
        <v/>
      </c>
      <c r="H10" s="9">
        <f>'Hull'!$E$27</f>
        <v/>
      </c>
      <c r="I10" s="9">
        <f>'Hull'!$E$28</f>
        <v/>
      </c>
      <c r="J10" s="9">
        <f>'Hull'!$E$31</f>
        <v/>
      </c>
      <c r="K10" s="9">
        <f>'Hull'!$E$32</f>
        <v/>
      </c>
      <c r="L10" s="9">
        <f>'Hull'!$E$33</f>
        <v/>
      </c>
    </row>
    <row r="11">
      <c r="A11" s="8" t="inlineStr">
        <is>
          <t>Leeds United</t>
        </is>
      </c>
      <c r="B11" s="8">
        <f>'Leeds United'!$E$12</f>
        <v/>
      </c>
      <c r="C11" s="10">
        <f>'Leeds United'!$E$15</f>
        <v/>
      </c>
      <c r="D11" s="10">
        <f>'Leeds United'!$E$17</f>
        <v/>
      </c>
      <c r="E11" s="10">
        <f>'Leeds United'!$E$19</f>
        <v/>
      </c>
      <c r="F11" s="10">
        <f>'Leeds United'!$E$21</f>
        <v/>
      </c>
      <c r="G11" s="10">
        <f>'Leeds United'!$E$23</f>
        <v/>
      </c>
      <c r="H11" s="10">
        <f>'Leeds United'!$E$27</f>
        <v/>
      </c>
      <c r="I11" s="10">
        <f>'Leeds United'!$E$28</f>
        <v/>
      </c>
      <c r="J11" s="10">
        <f>'Leeds United'!$E$31</f>
        <v/>
      </c>
      <c r="K11" s="10">
        <f>'Leeds United'!$E$32</f>
        <v/>
      </c>
      <c r="L11" s="10">
        <f>'Leeds United'!$E$33</f>
        <v/>
      </c>
    </row>
    <row r="12">
      <c r="A12" s="6" t="inlineStr">
        <is>
          <t>Everton</t>
        </is>
      </c>
      <c r="B12" s="6">
        <f>'Everton'!$E$12</f>
        <v/>
      </c>
      <c r="C12" s="9">
        <f>'Everton'!$E$15</f>
        <v/>
      </c>
      <c r="D12" s="9">
        <f>'Everton'!$E$17</f>
        <v/>
      </c>
      <c r="E12" s="9">
        <f>'Everton'!$E$19</f>
        <v/>
      </c>
      <c r="F12" s="9">
        <f>'Everton'!$E$21</f>
        <v/>
      </c>
      <c r="G12" s="9">
        <f>'Everton'!$E$23</f>
        <v/>
      </c>
      <c r="H12" s="9">
        <f>'Everton'!$E$27</f>
        <v/>
      </c>
      <c r="I12" s="9">
        <f>'Everton'!$E$28</f>
        <v/>
      </c>
      <c r="J12" s="9">
        <f>'Everton'!$E$31</f>
        <v/>
      </c>
      <c r="K12" s="9">
        <f>'Everton'!$E$32</f>
        <v/>
      </c>
      <c r="L12" s="9">
        <f>'Everton'!$E$33</f>
        <v/>
      </c>
    </row>
    <row r="13">
      <c r="A13" s="8" t="inlineStr">
        <is>
          <t>Coventry</t>
        </is>
      </c>
      <c r="B13" s="8">
        <f>'Coventry'!$E$12</f>
        <v/>
      </c>
      <c r="C13" s="10">
        <f>'Coventry'!$E$15</f>
        <v/>
      </c>
      <c r="D13" s="10">
        <f>'Coventry'!$E$17</f>
        <v/>
      </c>
      <c r="E13" s="10">
        <f>'Coventry'!$E$19</f>
        <v/>
      </c>
      <c r="F13" s="10">
        <f>'Coventry'!$E$21</f>
        <v/>
      </c>
      <c r="G13" s="10">
        <f>'Coventry'!$E$23</f>
        <v/>
      </c>
      <c r="H13" s="10">
        <f>'Coventry'!$E$27</f>
        <v/>
      </c>
      <c r="I13" s="10">
        <f>'Coventry'!$E$28</f>
        <v/>
      </c>
      <c r="J13" s="10">
        <f>'Coventry'!$E$31</f>
        <v/>
      </c>
      <c r="K13" s="10">
        <f>'Coventry'!$E$32</f>
        <v/>
      </c>
      <c r="L13" s="10">
        <f>'Coventry'!$E$33</f>
        <v/>
      </c>
    </row>
    <row r="14">
      <c r="A14" s="6" t="inlineStr">
        <is>
          <t>Manchester City</t>
        </is>
      </c>
      <c r="B14" s="6">
        <f>'Manchester City'!$E$12</f>
        <v/>
      </c>
      <c r="C14" s="9">
        <f>'Manchester City'!$E$15</f>
        <v/>
      </c>
      <c r="D14" s="9">
        <f>'Manchester City'!$E$17</f>
        <v/>
      </c>
      <c r="E14" s="9">
        <f>'Manchester City'!$E$19</f>
        <v/>
      </c>
      <c r="F14" s="9">
        <f>'Manchester City'!$E$21</f>
        <v/>
      </c>
      <c r="G14" s="9">
        <f>'Manchester City'!$E$23</f>
        <v/>
      </c>
      <c r="H14" s="9">
        <f>'Manchester City'!$E$27</f>
        <v/>
      </c>
      <c r="I14" s="9">
        <f>'Manchester City'!$E$28</f>
        <v/>
      </c>
      <c r="J14" s="9">
        <f>'Manchester City'!$E$31</f>
        <v/>
      </c>
      <c r="K14" s="9">
        <f>'Manchester City'!$E$32</f>
        <v/>
      </c>
      <c r="L14" s="9">
        <f>'Manchester City'!$E$33</f>
        <v/>
      </c>
    </row>
    <row r="15">
      <c r="A15" s="8" t="inlineStr">
        <is>
          <t>Aston Villa</t>
        </is>
      </c>
      <c r="B15" s="8">
        <f>'Aston Villa'!$E$12</f>
        <v/>
      </c>
      <c r="C15" s="10">
        <f>'Aston Villa'!$E$15</f>
        <v/>
      </c>
      <c r="D15" s="10">
        <f>'Aston Villa'!$E$17</f>
        <v/>
      </c>
      <c r="E15" s="10">
        <f>'Aston Villa'!$E$19</f>
        <v/>
      </c>
      <c r="F15" s="10">
        <f>'Aston Villa'!$E$21</f>
        <v/>
      </c>
      <c r="G15" s="10">
        <f>'Aston Villa'!$E$23</f>
        <v/>
      </c>
      <c r="H15" s="10">
        <f>'Aston Villa'!$E$27</f>
        <v/>
      </c>
      <c r="I15" s="10">
        <f>'Aston Villa'!$E$28</f>
        <v/>
      </c>
      <c r="J15" s="10">
        <f>'Aston Villa'!$E$31</f>
        <v/>
      </c>
      <c r="K15" s="10">
        <f>'Aston Villa'!$E$32</f>
        <v/>
      </c>
      <c r="L15" s="10">
        <f>'Aston Villa'!$E$33</f>
        <v/>
      </c>
    </row>
    <row r="16">
      <c r="A16" s="6" t="inlineStr">
        <is>
          <t>Manchester United</t>
        </is>
      </c>
      <c r="B16" s="6">
        <f>'Manchester United'!$E$12</f>
        <v/>
      </c>
      <c r="C16" s="9">
        <f>'Manchester United'!$E$15</f>
        <v/>
      </c>
      <c r="D16" s="9">
        <f>'Manchester United'!$E$17</f>
        <v/>
      </c>
      <c r="E16" s="9">
        <f>'Manchester United'!$E$19</f>
        <v/>
      </c>
      <c r="F16" s="9">
        <f>'Manchester United'!$E$21</f>
        <v/>
      </c>
      <c r="G16" s="9">
        <f>'Manchester United'!$E$23</f>
        <v/>
      </c>
      <c r="H16" s="9">
        <f>'Manchester United'!$E$27</f>
        <v/>
      </c>
      <c r="I16" s="9">
        <f>'Manchester United'!$E$28</f>
        <v/>
      </c>
      <c r="J16" s="9">
        <f>'Manchester United'!$E$31</f>
        <v/>
      </c>
      <c r="K16" s="9">
        <f>'Manchester United'!$E$32</f>
        <v/>
      </c>
      <c r="L16" s="9">
        <f>'Manchester United'!$E$33</f>
        <v/>
      </c>
    </row>
    <row r="17">
      <c r="A17" s="8" t="inlineStr">
        <is>
          <t>Arsenal</t>
        </is>
      </c>
      <c r="B17" s="8">
        <f>'Arsenal'!$E$12</f>
        <v/>
      </c>
      <c r="C17" s="10">
        <f>'Arsenal'!$E$15</f>
        <v/>
      </c>
      <c r="D17" s="10">
        <f>'Arsenal'!$E$17</f>
        <v/>
      </c>
      <c r="E17" s="10">
        <f>'Arsenal'!$E$19</f>
        <v/>
      </c>
      <c r="F17" s="10">
        <f>'Arsenal'!$E$21</f>
        <v/>
      </c>
      <c r="G17" s="10">
        <f>'Arsenal'!$E$23</f>
        <v/>
      </c>
      <c r="H17" s="10">
        <f>'Arsenal'!$E$27</f>
        <v/>
      </c>
      <c r="I17" s="10">
        <f>'Arsenal'!$E$28</f>
        <v/>
      </c>
      <c r="J17" s="10">
        <f>'Arsenal'!$E$31</f>
        <v/>
      </c>
      <c r="K17" s="10">
        <f>'Arsenal'!$E$32</f>
        <v/>
      </c>
      <c r="L17" s="10">
        <f>'Arsenal'!$E$33</f>
        <v/>
      </c>
    </row>
    <row r="18">
      <c r="A18" s="6" t="inlineStr">
        <is>
          <t>Liverpool</t>
        </is>
      </c>
      <c r="B18" s="6">
        <f>'Liverpool'!$E$12</f>
        <v/>
      </c>
      <c r="C18" s="9">
        <f>'Liverpool'!$E$15</f>
        <v/>
      </c>
      <c r="D18" s="9">
        <f>'Liverpool'!$E$17</f>
        <v/>
      </c>
      <c r="E18" s="9">
        <f>'Liverpool'!$E$19</f>
        <v/>
      </c>
      <c r="F18" s="9">
        <f>'Liverpool'!$E$21</f>
        <v/>
      </c>
      <c r="G18" s="9">
        <f>'Liverpool'!$E$23</f>
        <v/>
      </c>
      <c r="H18" s="9">
        <f>'Liverpool'!$E$27</f>
        <v/>
      </c>
      <c r="I18" s="9">
        <f>'Liverpool'!$E$28</f>
        <v/>
      </c>
      <c r="J18" s="9">
        <f>'Liverpool'!$E$31</f>
        <v/>
      </c>
      <c r="K18" s="9">
        <f>'Liverpool'!$E$32</f>
        <v/>
      </c>
      <c r="L18" s="9">
        <f>'Liverpool'!$E$33</f>
        <v/>
      </c>
    </row>
    <row r="19">
      <c r="A19" s="8" t="inlineStr">
        <is>
          <t>Newcastle United</t>
        </is>
      </c>
      <c r="B19" s="8">
        <f>'Newcastle United'!$E$12</f>
        <v/>
      </c>
      <c r="C19" s="10">
        <f>'Newcastle United'!$E$15</f>
        <v/>
      </c>
      <c r="D19" s="10">
        <f>'Newcastle United'!$E$17</f>
        <v/>
      </c>
      <c r="E19" s="10">
        <f>'Newcastle United'!$E$19</f>
        <v/>
      </c>
      <c r="F19" s="10">
        <f>'Newcastle United'!$E$21</f>
        <v/>
      </c>
      <c r="G19" s="10">
        <f>'Newcastle United'!$E$23</f>
        <v/>
      </c>
      <c r="H19" s="10">
        <f>'Newcastle United'!$E$27</f>
        <v/>
      </c>
      <c r="I19" s="10">
        <f>'Newcastle United'!$E$28</f>
        <v/>
      </c>
      <c r="J19" s="10">
        <f>'Newcastle United'!$E$31</f>
        <v/>
      </c>
      <c r="K19" s="10">
        <f>'Newcastle United'!$E$32</f>
        <v/>
      </c>
      <c r="L19" s="10">
        <f>'Newcastle United'!$E$33</f>
        <v/>
      </c>
    </row>
    <row r="20">
      <c r="A20" s="6" t="inlineStr">
        <is>
          <t>Tottenham Hotspur</t>
        </is>
      </c>
      <c r="B20" s="6">
        <f>'Tottenham Hotspur'!$E$12</f>
        <v/>
      </c>
      <c r="C20" s="9">
        <f>'Tottenham Hotspur'!$E$15</f>
        <v/>
      </c>
      <c r="D20" s="9">
        <f>'Tottenham Hotspur'!$E$17</f>
        <v/>
      </c>
      <c r="E20" s="9">
        <f>'Tottenham Hotspur'!$E$19</f>
        <v/>
      </c>
      <c r="F20" s="9">
        <f>'Tottenham Hotspur'!$E$21</f>
        <v/>
      </c>
      <c r="G20" s="9">
        <f>'Tottenham Hotspur'!$E$23</f>
        <v/>
      </c>
      <c r="H20" s="9">
        <f>'Tottenham Hotspur'!$E$27</f>
        <v/>
      </c>
      <c r="I20" s="9">
        <f>'Tottenham Hotspur'!$E$28</f>
        <v/>
      </c>
      <c r="J20" s="9">
        <f>'Tottenham Hotspur'!$E$31</f>
        <v/>
      </c>
      <c r="K20" s="9">
        <f>'Tottenham Hotspur'!$E$32</f>
        <v/>
      </c>
      <c r="L20" s="9">
        <f>'Tottenham Hotspur'!$E$33</f>
        <v/>
      </c>
    </row>
    <row r="21">
      <c r="A21" s="8" t="inlineStr">
        <is>
          <t>Chelsea</t>
        </is>
      </c>
      <c r="B21" s="8">
        <f>'Chelsea'!$E$12</f>
        <v/>
      </c>
      <c r="C21" s="10">
        <f>'Chelsea'!$E$15</f>
        <v/>
      </c>
      <c r="D21" s="10">
        <f>'Chelsea'!$E$17</f>
        <v/>
      </c>
      <c r="E21" s="10">
        <f>'Chelsea'!$E$19</f>
        <v/>
      </c>
      <c r="F21" s="10">
        <f>'Chelsea'!$E$21</f>
        <v/>
      </c>
      <c r="G21" s="10">
        <f>'Chelsea'!$E$23</f>
        <v/>
      </c>
      <c r="H21" s="10">
        <f>'Chelsea'!$E$27</f>
        <v/>
      </c>
      <c r="I21" s="10">
        <f>'Chelsea'!$E$28</f>
        <v/>
      </c>
      <c r="J21" s="10">
        <f>'Chelsea'!$E$31</f>
        <v/>
      </c>
      <c r="K21" s="10">
        <f>'Chelsea'!$E$32</f>
        <v/>
      </c>
      <c r="L21" s="10">
        <f>'Chelsea'!$E$33</f>
        <v/>
      </c>
    </row>
  </sheetData>
  <conditionalFormatting sqref="C2:C21">
    <cfRule type="colorScale" priority="1">
      <colorScale>
        <cfvo type="min"/>
        <cfvo type="num" val="0"/>
        <cfvo type="max"/>
        <color rgb="00F8696B"/>
        <color rgb="00FFFFFF"/>
        <color rgb="0063BE7B"/>
      </colorScale>
    </cfRule>
  </conditionalFormatting>
  <conditionalFormatting sqref="D2:D21">
    <cfRule type="colorScale" priority="2">
      <colorScale>
        <cfvo type="min"/>
        <cfvo type="num" val="0"/>
        <cfvo type="max"/>
        <color rgb="0063BE7B"/>
        <color rgb="00FFFFFF"/>
        <color rgb="00F8696B"/>
      </colorScale>
    </cfRule>
  </conditionalFormatting>
  <conditionalFormatting sqref="E2:E21">
    <cfRule type="colorScale" priority="3">
      <colorScale>
        <cfvo type="min"/>
        <cfvo type="num" val="0"/>
        <cfvo type="max"/>
        <color rgb="00F8696B"/>
        <color rgb="00FFFFFF"/>
        <color rgb="0063BE7B"/>
      </colorScale>
    </cfRule>
  </conditionalFormatting>
  <conditionalFormatting sqref="F2:F21">
    <cfRule type="colorScale" priority="4">
      <colorScale>
        <cfvo type="min"/>
        <cfvo type="num" val="0"/>
        <cfvo type="max"/>
        <color rgb="0063BE7B"/>
        <color rgb="00FFFFFF"/>
        <color rgb="00F8696B"/>
      </colorScale>
    </cfRule>
  </conditionalFormatting>
  <conditionalFormatting sqref="G2:G21">
    <cfRule type="colorScale" priority="5">
      <colorScale>
        <cfvo type="min"/>
        <cfvo type="num" val="0"/>
        <cfvo type="max"/>
        <color rgb="00F8696B"/>
        <color rgb="00FFFFFF"/>
        <color rgb="0063BE7B"/>
      </colorScale>
    </cfRule>
  </conditionalFormatting>
  <conditionalFormatting sqref="H2:H21">
    <cfRule type="colorScale" priority="6">
      <colorScale>
        <cfvo type="min"/>
        <cfvo type="num" val="0"/>
        <cfvo type="max"/>
        <color rgb="00F8696B"/>
        <color rgb="00FFFFFF"/>
        <color rgb="0063BE7B"/>
      </colorScale>
    </cfRule>
  </conditionalFormatting>
  <conditionalFormatting sqref="I2:I21">
    <cfRule type="colorScale" priority="7">
      <colorScale>
        <cfvo type="min"/>
        <cfvo type="num" val="0"/>
        <cfvo type="max"/>
        <color rgb="0063BE7B"/>
        <color rgb="00FFFFFF"/>
        <color rgb="00F8696B"/>
      </colorScale>
    </cfRule>
  </conditionalFormatting>
  <conditionalFormatting sqref="L2:L21">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showGridLines="0" workbookViewId="0">
      <pane ySplit="1" topLeftCell="A2" activePane="bottomLeft" state="frozen"/>
      <selection pane="bottomLeft" activeCell="A1" sqref="A1"/>
    </sheetView>
  </sheetViews>
  <sheetFormatPr baseColWidth="8" defaultRowHeight="15"/>
  <cols>
    <col width="4" customWidth="1" min="1" max="1"/>
    <col width="23"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Bournemouth</t>
        </is>
      </c>
      <c r="C2" s="6">
        <f>'Bournemouth'!$E$12</f>
        <v/>
      </c>
      <c r="D2" s="9">
        <f>'Bournemouth'!$E$31</f>
        <v/>
      </c>
      <c r="E2" s="9">
        <f>'Bournemouth'!$E$32</f>
        <v/>
      </c>
      <c r="F2" s="9">
        <f>D2-E2</f>
        <v/>
      </c>
    </row>
    <row r="3">
      <c r="A3" s="7" t="n">
        <v>2</v>
      </c>
      <c r="B3" s="8" t="inlineStr">
        <is>
          <t>Nottingham Forest</t>
        </is>
      </c>
      <c r="C3" s="8">
        <f>'Nottingham Forest'!$E$12</f>
        <v/>
      </c>
      <c r="D3" s="10">
        <f>'Nottingham Forest'!$E$31</f>
        <v/>
      </c>
      <c r="E3" s="10">
        <f>'Nottingham Forest'!$E$32</f>
        <v/>
      </c>
      <c r="F3" s="10">
        <f>D3-E3</f>
        <v/>
      </c>
    </row>
    <row r="4">
      <c r="A4" s="5" t="n">
        <v>3</v>
      </c>
      <c r="B4" s="6" t="inlineStr">
        <is>
          <t>Brighton &amp; Hove Albion</t>
        </is>
      </c>
      <c r="C4" s="6">
        <f>'Brighton &amp; Hove Albion'!$E$12</f>
        <v/>
      </c>
      <c r="D4" s="9">
        <f>'Brighton &amp; Hove Albion'!$E$31</f>
        <v/>
      </c>
      <c r="E4" s="9">
        <f>'Brighton &amp; Hove Albion'!$E$32</f>
        <v/>
      </c>
      <c r="F4" s="9">
        <f>D4-E4</f>
        <v/>
      </c>
    </row>
    <row r="5">
      <c r="A5" s="7" t="n">
        <v>4</v>
      </c>
      <c r="B5" s="8" t="inlineStr">
        <is>
          <t>Hull</t>
        </is>
      </c>
      <c r="C5" s="8">
        <f>'Hull'!$E$12</f>
        <v/>
      </c>
      <c r="D5" s="10">
        <f>'Hull'!$E$31</f>
        <v/>
      </c>
      <c r="E5" s="10">
        <f>'Hull'!$E$32</f>
        <v/>
      </c>
      <c r="F5" s="10">
        <f>D5-E5</f>
        <v/>
      </c>
    </row>
    <row r="6">
      <c r="A6" s="5" t="n">
        <v>5</v>
      </c>
      <c r="B6" s="6" t="inlineStr">
        <is>
          <t>Ipswich</t>
        </is>
      </c>
      <c r="C6" s="6">
        <f>'Ipswich'!$E$12</f>
        <v/>
      </c>
      <c r="D6" s="9">
        <f>'Ipswich'!$E$31</f>
        <v/>
      </c>
      <c r="E6" s="9">
        <f>'Ipswich'!$E$32</f>
        <v/>
      </c>
      <c r="F6" s="9">
        <f>D6-E6</f>
        <v/>
      </c>
    </row>
    <row r="7">
      <c r="A7" s="7" t="n">
        <v>6</v>
      </c>
      <c r="B7" s="8" t="inlineStr">
        <is>
          <t>Sunderland</t>
        </is>
      </c>
      <c r="C7" s="8">
        <f>'Sunderland'!$E$12</f>
        <v/>
      </c>
      <c r="D7" s="10">
        <f>'Sunderland'!$E$31</f>
        <v/>
      </c>
      <c r="E7" s="10">
        <f>'Sunderland'!$E$32</f>
        <v/>
      </c>
      <c r="F7" s="10">
        <f>D7-E7</f>
        <v/>
      </c>
    </row>
    <row r="8">
      <c r="A8" s="5" t="n">
        <v>7</v>
      </c>
      <c r="B8" s="6" t="inlineStr">
        <is>
          <t>Coventry</t>
        </is>
      </c>
      <c r="C8" s="6">
        <f>'Coventry'!$E$12</f>
        <v/>
      </c>
      <c r="D8" s="9">
        <f>'Coventry'!$E$31</f>
        <v/>
      </c>
      <c r="E8" s="9">
        <f>'Coventry'!$E$32</f>
        <v/>
      </c>
      <c r="F8" s="9">
        <f>D8-E8</f>
        <v/>
      </c>
    </row>
    <row r="9">
      <c r="A9" s="7" t="n">
        <v>8</v>
      </c>
      <c r="B9" s="8" t="inlineStr">
        <is>
          <t>Fulham</t>
        </is>
      </c>
      <c r="C9" s="8">
        <f>'Fulham'!$E$12</f>
        <v/>
      </c>
      <c r="D9" s="10">
        <f>'Fulham'!$E$31</f>
        <v/>
      </c>
      <c r="E9" s="10">
        <f>'Fulham'!$E$32</f>
        <v/>
      </c>
      <c r="F9" s="10">
        <f>D9-E9</f>
        <v/>
      </c>
    </row>
    <row r="10">
      <c r="A10" s="5" t="n">
        <v>9</v>
      </c>
      <c r="B10" s="6" t="inlineStr">
        <is>
          <t>Leeds United</t>
        </is>
      </c>
      <c r="C10" s="6">
        <f>'Leeds United'!$E$12</f>
        <v/>
      </c>
      <c r="D10" s="9">
        <f>'Leeds United'!$E$31</f>
        <v/>
      </c>
      <c r="E10" s="9">
        <f>'Leeds United'!$E$32</f>
        <v/>
      </c>
      <c r="F10" s="9">
        <f>D10-E10</f>
        <v/>
      </c>
    </row>
    <row r="11">
      <c r="A11" s="7" t="n">
        <v>10</v>
      </c>
      <c r="B11" s="8" t="inlineStr">
        <is>
          <t>Everton</t>
        </is>
      </c>
      <c r="C11" s="8">
        <f>'Everton'!$E$12</f>
        <v/>
      </c>
      <c r="D11" s="10">
        <f>'Everton'!$E$31</f>
        <v/>
      </c>
      <c r="E11" s="10">
        <f>'Everton'!$E$32</f>
        <v/>
      </c>
      <c r="F11" s="10">
        <f>D11-E11</f>
        <v/>
      </c>
    </row>
    <row r="12">
      <c r="A12" s="5" t="n">
        <v>11</v>
      </c>
      <c r="B12" s="6" t="inlineStr">
        <is>
          <t>Aston Villa</t>
        </is>
      </c>
      <c r="C12" s="6">
        <f>'Aston Villa'!$E$12</f>
        <v/>
      </c>
      <c r="D12" s="9">
        <f>'Aston Villa'!$E$31</f>
        <v/>
      </c>
      <c r="E12" s="9">
        <f>'Aston Villa'!$E$32</f>
        <v/>
      </c>
      <c r="F12" s="9">
        <f>D12-E12</f>
        <v/>
      </c>
    </row>
    <row r="13">
      <c r="A13" s="7" t="n">
        <v>12</v>
      </c>
      <c r="B13" s="8" t="inlineStr">
        <is>
          <t>Tottenham Hotspur</t>
        </is>
      </c>
      <c r="C13" s="8">
        <f>'Tottenham Hotspur'!$E$12</f>
        <v/>
      </c>
      <c r="D13" s="10">
        <f>'Tottenham Hotspur'!$E$31</f>
        <v/>
      </c>
      <c r="E13" s="10">
        <f>'Tottenham Hotspur'!$E$32</f>
        <v/>
      </c>
      <c r="F13" s="10">
        <f>D13-E13</f>
        <v/>
      </c>
    </row>
    <row r="14">
      <c r="A14" s="5" t="n">
        <v>13</v>
      </c>
      <c r="B14" s="6" t="inlineStr">
        <is>
          <t>Crystal Palace</t>
        </is>
      </c>
      <c r="C14" s="6">
        <f>'Crystal Palace'!$E$12</f>
        <v/>
      </c>
      <c r="D14" s="9">
        <f>'Crystal Palace'!$E$31</f>
        <v/>
      </c>
      <c r="E14" s="9">
        <f>'Crystal Palace'!$E$32</f>
        <v/>
      </c>
      <c r="F14" s="9">
        <f>D14-E14</f>
        <v/>
      </c>
    </row>
    <row r="15">
      <c r="A15" s="7" t="n">
        <v>14</v>
      </c>
      <c r="B15" s="8" t="inlineStr">
        <is>
          <t>Brentford</t>
        </is>
      </c>
      <c r="C15" s="8">
        <f>'Brentford'!$E$12</f>
        <v/>
      </c>
      <c r="D15" s="10">
        <f>'Brentford'!$E$31</f>
        <v/>
      </c>
      <c r="E15" s="10">
        <f>'Brentford'!$E$32</f>
        <v/>
      </c>
      <c r="F15" s="10">
        <f>D15-E15</f>
        <v/>
      </c>
    </row>
    <row r="16">
      <c r="A16" s="5" t="n">
        <v>15</v>
      </c>
      <c r="B16" s="6" t="inlineStr">
        <is>
          <t>Arsenal</t>
        </is>
      </c>
      <c r="C16" s="6">
        <f>'Arsenal'!$E$12</f>
        <v/>
      </c>
      <c r="D16" s="9">
        <f>'Arsenal'!$E$31</f>
        <v/>
      </c>
      <c r="E16" s="9">
        <f>'Arsenal'!$E$32</f>
        <v/>
      </c>
      <c r="F16" s="9">
        <f>D16-E16</f>
        <v/>
      </c>
    </row>
    <row r="17">
      <c r="A17" s="7" t="n">
        <v>16</v>
      </c>
      <c r="B17" s="8" t="inlineStr">
        <is>
          <t>Liverpool</t>
        </is>
      </c>
      <c r="C17" s="8">
        <f>'Liverpool'!$E$12</f>
        <v/>
      </c>
      <c r="D17" s="10">
        <f>'Liverpool'!$E$31</f>
        <v/>
      </c>
      <c r="E17" s="10">
        <f>'Liverpool'!$E$32</f>
        <v/>
      </c>
      <c r="F17" s="10">
        <f>D17-E17</f>
        <v/>
      </c>
    </row>
    <row r="18">
      <c r="A18" s="5" t="n">
        <v>17</v>
      </c>
      <c r="B18" s="6" t="inlineStr">
        <is>
          <t>Manchester City</t>
        </is>
      </c>
      <c r="C18" s="6">
        <f>'Manchester City'!$E$12</f>
        <v/>
      </c>
      <c r="D18" s="9">
        <f>'Manchester City'!$E$31</f>
        <v/>
      </c>
      <c r="E18" s="9">
        <f>'Manchester City'!$E$32</f>
        <v/>
      </c>
      <c r="F18" s="9">
        <f>D18-E18</f>
        <v/>
      </c>
    </row>
    <row r="19">
      <c r="A19" s="7" t="n">
        <v>18</v>
      </c>
      <c r="B19" s="8" t="inlineStr">
        <is>
          <t>Manchester United</t>
        </is>
      </c>
      <c r="C19" s="8">
        <f>'Manchester United'!$E$12</f>
        <v/>
      </c>
      <c r="D19" s="10">
        <f>'Manchester United'!$E$31</f>
        <v/>
      </c>
      <c r="E19" s="10">
        <f>'Manchester United'!$E$32</f>
        <v/>
      </c>
      <c r="F19" s="10">
        <f>D19-E19</f>
        <v/>
      </c>
    </row>
    <row r="20">
      <c r="A20" s="5" t="n">
        <v>19</v>
      </c>
      <c r="B20" s="6" t="inlineStr">
        <is>
          <t>Chelsea</t>
        </is>
      </c>
      <c r="C20" s="6">
        <f>'Chelsea'!$E$12</f>
        <v/>
      </c>
      <c r="D20" s="9">
        <f>'Chelsea'!$E$31</f>
        <v/>
      </c>
      <c r="E20" s="9">
        <f>'Chelsea'!$E$32</f>
        <v/>
      </c>
      <c r="F20" s="9">
        <f>D20-E20</f>
        <v/>
      </c>
    </row>
    <row r="21">
      <c r="A21" s="7" t="n">
        <v>20</v>
      </c>
      <c r="B21" s="8" t="inlineStr">
        <is>
          <t>Newcastle United</t>
        </is>
      </c>
      <c r="C21" s="8">
        <f>'Newcastle United'!$E$12</f>
        <v/>
      </c>
      <c r="D21" s="10">
        <f>'Newcastle United'!$E$31</f>
        <v/>
      </c>
      <c r="E21" s="10">
        <f>'Newcastle United'!$E$32</f>
        <v/>
      </c>
      <c r="F21" s="10">
        <f>D21-E21</f>
        <v/>
      </c>
    </row>
  </sheetData>
  <conditionalFormatting sqref="F2:F21">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1" t="inlineStr">
        <is>
          <t>No issues found across 80 fixtures.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1"/>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23"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2026-08-21</t>
        </is>
      </c>
      <c r="B2" s="6" t="inlineStr">
        <is>
          <t>Arsenal</t>
        </is>
      </c>
      <c r="C2" s="6" t="inlineStr">
        <is>
          <t>Coventry</t>
        </is>
      </c>
      <c r="D2" s="6" t="n">
        <v>3</v>
      </c>
      <c r="E2" s="6" t="n">
        <v>0</v>
      </c>
      <c r="F2" s="9" t="n">
        <v>2.55</v>
      </c>
      <c r="G2" s="9" t="n">
        <v>0.59</v>
      </c>
      <c r="H2" s="9" t="n">
        <v>1.88</v>
      </c>
      <c r="I2" s="9" t="n">
        <v>0.2</v>
      </c>
      <c r="J2" s="9" t="n">
        <v>-0.67</v>
      </c>
      <c r="K2" s="9" t="n">
        <v>-0.39</v>
      </c>
      <c r="L2" s="9" t="n">
        <v>-0.28</v>
      </c>
      <c r="M2" s="9" t="n">
        <v>-1.07</v>
      </c>
      <c r="N2" s="9" t="n">
        <v>2.55</v>
      </c>
      <c r="O2" s="9" t="n">
        <v>0.28</v>
      </c>
      <c r="P2" s="9" t="n">
        <v>2.53</v>
      </c>
      <c r="Q2" s="9" t="n">
        <v>0.33</v>
      </c>
    </row>
    <row r="3">
      <c r="A3" s="8" t="inlineStr">
        <is>
          <t>2026-08-22</t>
        </is>
      </c>
      <c r="B3" s="8" t="inlineStr">
        <is>
          <t>Ipswich</t>
        </is>
      </c>
      <c r="C3" s="8" t="inlineStr">
        <is>
          <t>Sunderland</t>
        </is>
      </c>
      <c r="D3" s="8" t="n">
        <v>2</v>
      </c>
      <c r="E3" s="8" t="n">
        <v>1</v>
      </c>
      <c r="F3" s="10" t="n">
        <v>1.29</v>
      </c>
      <c r="G3" s="10" t="n">
        <v>1.31</v>
      </c>
      <c r="H3" s="10" t="n">
        <v>1.8</v>
      </c>
      <c r="I3" s="10" t="n">
        <v>0.66</v>
      </c>
      <c r="J3" s="10" t="n">
        <v>0.51</v>
      </c>
      <c r="K3" s="10" t="n">
        <v>-0.65</v>
      </c>
      <c r="L3" s="10" t="n">
        <v>1.16</v>
      </c>
      <c r="M3" s="10" t="n">
        <v>-0.15</v>
      </c>
      <c r="N3" s="10" t="n">
        <v>2.17</v>
      </c>
      <c r="O3" s="10" t="n">
        <v>0.61</v>
      </c>
      <c r="P3" s="10" t="n">
        <v>1.35</v>
      </c>
      <c r="Q3" s="10" t="n">
        <v>1.38</v>
      </c>
    </row>
    <row r="4">
      <c r="A4" s="6" t="inlineStr">
        <is>
          <t>2026-08-22</t>
        </is>
      </c>
      <c r="B4" s="6" t="inlineStr">
        <is>
          <t>Hull</t>
        </is>
      </c>
      <c r="C4" s="6" t="inlineStr">
        <is>
          <t>Manchester United</t>
        </is>
      </c>
      <c r="D4" s="6" t="n">
        <v>2</v>
      </c>
      <c r="E4" s="6" t="n">
        <v>0</v>
      </c>
      <c r="F4" s="9" t="n">
        <v>0.77</v>
      </c>
      <c r="G4" s="9" t="n">
        <v>2.23</v>
      </c>
      <c r="H4" s="9" t="n">
        <v>1.01</v>
      </c>
      <c r="I4" s="9" t="n">
        <v>1.83</v>
      </c>
      <c r="J4" s="9" t="n">
        <v>0.24</v>
      </c>
      <c r="K4" s="9" t="n">
        <v>-0.4</v>
      </c>
      <c r="L4" s="9" t="n">
        <v>0.64</v>
      </c>
      <c r="M4" s="9" t="n">
        <v>-0.15</v>
      </c>
      <c r="N4" s="9" t="n">
        <v>0.85</v>
      </c>
      <c r="O4" s="9" t="n">
        <v>1.93</v>
      </c>
      <c r="P4" s="9" t="n">
        <v>0.52</v>
      </c>
      <c r="Q4" s="9" t="n">
        <v>2.3</v>
      </c>
    </row>
    <row r="5">
      <c r="A5" s="8" t="inlineStr">
        <is>
          <t>2026-08-22</t>
        </is>
      </c>
      <c r="B5" s="8" t="inlineStr">
        <is>
          <t>Brentford</t>
        </is>
      </c>
      <c r="C5" s="8" t="inlineStr">
        <is>
          <t>Tottenham Hotspur</t>
        </is>
      </c>
      <c r="D5" s="8" t="n">
        <v>3</v>
      </c>
      <c r="E5" s="8" t="n">
        <v>0</v>
      </c>
      <c r="F5" s="10" t="n">
        <v>1.53</v>
      </c>
      <c r="G5" s="10" t="n">
        <v>1.41</v>
      </c>
      <c r="H5" s="10" t="n">
        <v>3.87</v>
      </c>
      <c r="I5" s="10" t="n">
        <v>0.57</v>
      </c>
      <c r="J5" s="10" t="n">
        <v>2.34</v>
      </c>
      <c r="K5" s="10" t="n">
        <v>-0.84</v>
      </c>
      <c r="L5" s="10" t="n">
        <v>3.18</v>
      </c>
      <c r="M5" s="10" t="n">
        <v>1.5</v>
      </c>
      <c r="N5" s="10" t="n">
        <v>2.81</v>
      </c>
      <c r="O5" s="10" t="n">
        <v>0.12</v>
      </c>
      <c r="P5" s="10" t="n">
        <v>1.45</v>
      </c>
      <c r="Q5" s="10" t="n">
        <v>1.3</v>
      </c>
    </row>
    <row r="6">
      <c r="A6" s="6" t="inlineStr">
        <is>
          <t>2026-08-22</t>
        </is>
      </c>
      <c r="B6" s="6" t="inlineStr">
        <is>
          <t>Everton</t>
        </is>
      </c>
      <c r="C6" s="6" t="inlineStr">
        <is>
          <t>Crystal Palace</t>
        </is>
      </c>
      <c r="D6" s="6" t="n">
        <v>2</v>
      </c>
      <c r="E6" s="6" t="n">
        <v>0</v>
      </c>
      <c r="F6" s="9" t="n">
        <v>1.49</v>
      </c>
      <c r="G6" s="9" t="n">
        <v>1.15</v>
      </c>
      <c r="H6" s="9" t="n">
        <v>1.12</v>
      </c>
      <c r="I6" s="9" t="n">
        <v>1.96</v>
      </c>
      <c r="J6" s="9" t="n">
        <v>-0.37</v>
      </c>
      <c r="K6" s="9" t="n">
        <v>0.8100000000000001</v>
      </c>
      <c r="L6" s="9" t="n">
        <v>-1.18</v>
      </c>
      <c r="M6" s="9" t="n">
        <v>0.44</v>
      </c>
      <c r="N6" s="9" t="n">
        <v>0.86</v>
      </c>
      <c r="O6" s="9" t="n">
        <v>1.92</v>
      </c>
      <c r="P6" s="9" t="n">
        <v>1.6</v>
      </c>
      <c r="Q6" s="9" t="n">
        <v>1.14</v>
      </c>
    </row>
    <row r="7">
      <c r="A7" s="8" t="inlineStr">
        <is>
          <t>2026-08-22</t>
        </is>
      </c>
      <c r="B7" s="8" t="inlineStr">
        <is>
          <t>Nottingham Forest</t>
        </is>
      </c>
      <c r="C7" s="8" t="inlineStr">
        <is>
          <t>Leeds United</t>
        </is>
      </c>
      <c r="D7" s="8" t="n">
        <v>0</v>
      </c>
      <c r="E7" s="8" t="n">
        <v>1</v>
      </c>
      <c r="F7" s="10" t="n">
        <v>1.43</v>
      </c>
      <c r="G7" s="10" t="n">
        <v>1.2</v>
      </c>
      <c r="H7" s="10" t="n">
        <v>0.66</v>
      </c>
      <c r="I7" s="10" t="n">
        <v>0.47</v>
      </c>
      <c r="J7" s="10" t="n">
        <v>-0.77</v>
      </c>
      <c r="K7" s="10" t="n">
        <v>-0.73</v>
      </c>
      <c r="L7" s="10" t="n">
        <v>-0.04</v>
      </c>
      <c r="M7" s="10" t="n">
        <v>-1.51</v>
      </c>
      <c r="N7" s="10" t="n">
        <v>1.47</v>
      </c>
      <c r="O7" s="10" t="n">
        <v>1.1</v>
      </c>
      <c r="P7" s="10" t="n">
        <v>1.53</v>
      </c>
      <c r="Q7" s="10" t="n">
        <v>1.21</v>
      </c>
    </row>
    <row r="8">
      <c r="A8" s="6" t="inlineStr">
        <is>
          <t>2026-08-23</t>
        </is>
      </c>
      <c r="B8" s="6" t="inlineStr">
        <is>
          <t>Manchester City</t>
        </is>
      </c>
      <c r="C8" s="6" t="inlineStr">
        <is>
          <t>Bournemouth</t>
        </is>
      </c>
      <c r="D8" s="6" t="n">
        <v>2</v>
      </c>
      <c r="E8" s="6" t="n">
        <v>1</v>
      </c>
      <c r="F8" s="9" t="n">
        <v>2.32</v>
      </c>
      <c r="G8" s="9" t="n">
        <v>1.09</v>
      </c>
      <c r="H8" s="9" t="n">
        <v>2.25</v>
      </c>
      <c r="I8" s="9" t="n">
        <v>0.65</v>
      </c>
      <c r="J8" s="9" t="n">
        <v>-0.07000000000000001</v>
      </c>
      <c r="K8" s="9" t="n">
        <v>-0.44</v>
      </c>
      <c r="L8" s="9" t="n">
        <v>0.37</v>
      </c>
      <c r="M8" s="9" t="n">
        <v>-0.51</v>
      </c>
      <c r="N8" s="9" t="n">
        <v>2.38</v>
      </c>
      <c r="O8" s="9" t="n">
        <v>0.45</v>
      </c>
      <c r="P8" s="9" t="n">
        <v>2.13</v>
      </c>
      <c r="Q8" s="9" t="n">
        <v>0.68</v>
      </c>
    </row>
    <row r="9">
      <c r="A9" s="8" t="inlineStr">
        <is>
          <t>2026-08-23</t>
        </is>
      </c>
      <c r="B9" s="8" t="inlineStr">
        <is>
          <t>Newcastle United</t>
        </is>
      </c>
      <c r="C9" s="8" t="inlineStr">
        <is>
          <t>Liverpool</t>
        </is>
      </c>
      <c r="D9" s="8" t="n">
        <v>2</v>
      </c>
      <c r="E9" s="8" t="n">
        <v>2</v>
      </c>
      <c r="F9" s="10" t="n">
        <v>1.29</v>
      </c>
      <c r="G9" s="10" t="n">
        <v>1.92</v>
      </c>
      <c r="H9" s="10" t="n">
        <v>1.58</v>
      </c>
      <c r="I9" s="10" t="n">
        <v>2.98</v>
      </c>
      <c r="J9" s="10" t="n">
        <v>0.29</v>
      </c>
      <c r="K9" s="10" t="n">
        <v>1.06</v>
      </c>
      <c r="L9" s="10" t="n">
        <v>-0.77</v>
      </c>
      <c r="M9" s="10" t="n">
        <v>1.35</v>
      </c>
      <c r="N9" s="10" t="n">
        <v>0.7</v>
      </c>
      <c r="O9" s="10" t="n">
        <v>2.14</v>
      </c>
      <c r="P9" s="10" t="n">
        <v>0.99</v>
      </c>
      <c r="Q9" s="10" t="n">
        <v>1.78</v>
      </c>
    </row>
    <row r="10">
      <c r="A10" s="6" t="inlineStr">
        <is>
          <t>2026-08-23</t>
        </is>
      </c>
      <c r="B10" s="6" t="inlineStr">
        <is>
          <t>Brighton &amp; Hove Albion</t>
        </is>
      </c>
      <c r="C10" s="6" t="inlineStr">
        <is>
          <t>Aston Villa</t>
        </is>
      </c>
      <c r="D10" s="6" t="n">
        <v>4</v>
      </c>
      <c r="E10" s="6" t="n">
        <v>0</v>
      </c>
      <c r="F10" s="9" t="n">
        <v>1.62</v>
      </c>
      <c r="G10" s="9" t="n">
        <v>1.34</v>
      </c>
      <c r="H10" s="9" t="n">
        <v>3.77</v>
      </c>
      <c r="I10" s="9" t="n">
        <v>0.29</v>
      </c>
      <c r="J10" s="9" t="n">
        <v>2.15</v>
      </c>
      <c r="K10" s="9" t="n">
        <v>-1.05</v>
      </c>
      <c r="L10" s="9" t="n">
        <v>3.2</v>
      </c>
      <c r="M10" s="9" t="n">
        <v>1.1</v>
      </c>
      <c r="N10" s="9" t="n">
        <v>2.88</v>
      </c>
      <c r="O10" s="9" t="n">
        <v>0.07000000000000001</v>
      </c>
      <c r="P10" s="9" t="n">
        <v>1.56</v>
      </c>
      <c r="Q10" s="9" t="n">
        <v>1.19</v>
      </c>
    </row>
    <row r="11">
      <c r="A11" s="8" t="inlineStr">
        <is>
          <t>2026-08-24</t>
        </is>
      </c>
      <c r="B11" s="8" t="inlineStr">
        <is>
          <t>Fulham</t>
        </is>
      </c>
      <c r="C11" s="8" t="inlineStr">
        <is>
          <t>Chelsea</t>
        </is>
      </c>
      <c r="D11" s="8" t="n">
        <v>2</v>
      </c>
      <c r="E11" s="8" t="n">
        <v>3</v>
      </c>
      <c r="F11" s="10" t="n">
        <v>1.24</v>
      </c>
      <c r="G11" s="10" t="n">
        <v>1.78</v>
      </c>
      <c r="H11" s="10" t="n">
        <v>1.33</v>
      </c>
      <c r="I11" s="10" t="n">
        <v>2.24</v>
      </c>
      <c r="J11" s="10" t="n">
        <v>0.09</v>
      </c>
      <c r="K11" s="10" t="n">
        <v>0.46</v>
      </c>
      <c r="L11" s="10" t="n">
        <v>-0.37</v>
      </c>
      <c r="M11" s="10" t="n">
        <v>0.55</v>
      </c>
      <c r="N11" s="10" t="n">
        <v>0.86</v>
      </c>
      <c r="O11" s="10" t="n">
        <v>1.94</v>
      </c>
      <c r="P11" s="10" t="n">
        <v>1.03</v>
      </c>
      <c r="Q11" s="10" t="n">
        <v>1.74</v>
      </c>
    </row>
    <row r="12">
      <c r="A12" s="6" t="inlineStr">
        <is>
          <t>2026-08-28</t>
        </is>
      </c>
      <c r="B12" s="6" t="inlineStr">
        <is>
          <t>Crystal Palace</t>
        </is>
      </c>
      <c r="C12" s="6" t="inlineStr">
        <is>
          <t>Manchester City</t>
        </is>
      </c>
      <c r="D12" s="6" t="n">
        <v>1</v>
      </c>
      <c r="E12" s="6" t="n">
        <v>4</v>
      </c>
      <c r="F12" s="9" t="n">
        <v>1.02</v>
      </c>
      <c r="G12" s="9" t="n">
        <v>1.9</v>
      </c>
      <c r="H12" s="9" t="n">
        <v>0.66</v>
      </c>
      <c r="I12" s="9" t="n">
        <v>2.21</v>
      </c>
      <c r="J12" s="9" t="n">
        <v>-0.36</v>
      </c>
      <c r="K12" s="9" t="n">
        <v>0.31</v>
      </c>
      <c r="L12" s="9" t="n">
        <v>-0.68</v>
      </c>
      <c r="M12" s="9" t="n">
        <v>-0.05</v>
      </c>
      <c r="N12" s="9" t="n">
        <v>0.46</v>
      </c>
      <c r="O12" s="9" t="n">
        <v>2.36</v>
      </c>
      <c r="P12" s="9" t="n">
        <v>0.82</v>
      </c>
      <c r="Q12" s="9" t="n">
        <v>1.96</v>
      </c>
    </row>
    <row r="13">
      <c r="A13" s="8" t="inlineStr">
        <is>
          <t>2026-08-29</t>
        </is>
      </c>
      <c r="B13" s="8" t="inlineStr">
        <is>
          <t>Coventry</t>
        </is>
      </c>
      <c r="C13" s="8" t="inlineStr">
        <is>
          <t>Hull</t>
        </is>
      </c>
      <c r="D13" s="8" t="n">
        <v>0</v>
      </c>
      <c r="E13" s="8" t="n">
        <v>1</v>
      </c>
      <c r="F13" s="10" t="n">
        <v>1.65</v>
      </c>
      <c r="G13" s="10" t="n">
        <v>1.05</v>
      </c>
      <c r="H13" s="10" t="n">
        <v>1.29</v>
      </c>
      <c r="I13" s="10" t="n">
        <v>0.72</v>
      </c>
      <c r="J13" s="10" t="n">
        <v>-0.36</v>
      </c>
      <c r="K13" s="10" t="n">
        <v>-0.33</v>
      </c>
      <c r="L13" s="10" t="n">
        <v>-0.03</v>
      </c>
      <c r="M13" s="10" t="n">
        <v>-0.6899999999999999</v>
      </c>
      <c r="N13" s="10" t="n">
        <v>1.79</v>
      </c>
      <c r="O13" s="10" t="n">
        <v>0.92</v>
      </c>
      <c r="P13" s="10" t="n">
        <v>1.79</v>
      </c>
      <c r="Q13" s="10" t="n">
        <v>0.97</v>
      </c>
    </row>
    <row r="14">
      <c r="A14" s="6" t="inlineStr">
        <is>
          <t>2026-08-29</t>
        </is>
      </c>
      <c r="B14" s="6" t="inlineStr">
        <is>
          <t>Bournemouth</t>
        </is>
      </c>
      <c r="C14" s="6" t="inlineStr">
        <is>
          <t>Everton</t>
        </is>
      </c>
      <c r="D14" s="6" t="n">
        <v>1</v>
      </c>
      <c r="E14" s="6" t="n">
        <v>1</v>
      </c>
      <c r="F14" s="9" t="n">
        <v>1.56</v>
      </c>
      <c r="G14" s="9" t="n">
        <v>1.12</v>
      </c>
      <c r="H14" s="9" t="n">
        <v>2.16</v>
      </c>
      <c r="I14" s="9" t="n">
        <v>1.84</v>
      </c>
      <c r="J14" s="9" t="n">
        <v>0.6</v>
      </c>
      <c r="K14" s="9" t="n">
        <v>0.72</v>
      </c>
      <c r="L14" s="9" t="n">
        <v>-0.12</v>
      </c>
      <c r="M14" s="9" t="n">
        <v>1.32</v>
      </c>
      <c r="N14" s="9" t="n">
        <v>1.58</v>
      </c>
      <c r="O14" s="9" t="n">
        <v>1.21</v>
      </c>
      <c r="P14" s="9" t="n">
        <v>1.68</v>
      </c>
      <c r="Q14" s="9" t="n">
        <v>1.07</v>
      </c>
    </row>
    <row r="15">
      <c r="A15" s="8" t="inlineStr">
        <is>
          <t>2026-08-29</t>
        </is>
      </c>
      <c r="B15" s="8" t="inlineStr">
        <is>
          <t>Liverpool</t>
        </is>
      </c>
      <c r="C15" s="8" t="inlineStr">
        <is>
          <t>Nottingham Forest</t>
        </is>
      </c>
      <c r="D15" s="8" t="n">
        <v>2</v>
      </c>
      <c r="E15" s="8" t="n">
        <v>2</v>
      </c>
      <c r="F15" s="10" t="n">
        <v>2.08</v>
      </c>
      <c r="G15" s="10" t="n">
        <v>0.95</v>
      </c>
      <c r="H15" s="10" t="n">
        <v>1.75</v>
      </c>
      <c r="I15" s="10" t="n">
        <v>2.3</v>
      </c>
      <c r="J15" s="10" t="n">
        <v>-0.33</v>
      </c>
      <c r="K15" s="10" t="n">
        <v>1.35</v>
      </c>
      <c r="L15" s="10" t="n">
        <v>-1.68</v>
      </c>
      <c r="M15" s="10" t="n">
        <v>1.02</v>
      </c>
      <c r="N15" s="10" t="n">
        <v>1.09</v>
      </c>
      <c r="O15" s="10" t="n">
        <v>1.71</v>
      </c>
      <c r="P15" s="10" t="n">
        <v>2.1</v>
      </c>
      <c r="Q15" s="10" t="n">
        <v>0.6899999999999999</v>
      </c>
    </row>
    <row r="16">
      <c r="A16" s="6" t="inlineStr">
        <is>
          <t>2026-08-29</t>
        </is>
      </c>
      <c r="B16" s="6" t="inlineStr">
        <is>
          <t>Tottenham Hotspur</t>
        </is>
      </c>
      <c r="C16" s="6" t="inlineStr">
        <is>
          <t>Newcastle United</t>
        </is>
      </c>
      <c r="D16" s="6" t="n">
        <v>0</v>
      </c>
      <c r="E16" s="6" t="n">
        <v>2</v>
      </c>
      <c r="F16" s="9" t="n">
        <v>1.61</v>
      </c>
      <c r="G16" s="9" t="n">
        <v>1.39</v>
      </c>
      <c r="H16" s="9" t="n">
        <v>1.12</v>
      </c>
      <c r="I16" s="9" t="n">
        <v>0.72</v>
      </c>
      <c r="J16" s="9" t="n">
        <v>-0.49</v>
      </c>
      <c r="K16" s="9" t="n">
        <v>-0.67</v>
      </c>
      <c r="L16" s="9" t="n">
        <v>0.18</v>
      </c>
      <c r="M16" s="9" t="n">
        <v>-1.16</v>
      </c>
      <c r="N16" s="9" t="n">
        <v>1.67</v>
      </c>
      <c r="O16" s="9" t="n">
        <v>1.02</v>
      </c>
      <c r="P16" s="9" t="n">
        <v>1.52</v>
      </c>
      <c r="Q16" s="9" t="n">
        <v>1.24</v>
      </c>
    </row>
    <row r="17">
      <c r="A17" s="8" t="inlineStr">
        <is>
          <t>2026-08-30</t>
        </is>
      </c>
      <c r="B17" s="8" t="inlineStr">
        <is>
          <t>Leeds United</t>
        </is>
      </c>
      <c r="C17" s="8" t="inlineStr">
        <is>
          <t>Brentford</t>
        </is>
      </c>
      <c r="D17" s="8" t="n">
        <v>1</v>
      </c>
      <c r="E17" s="8" t="n">
        <v>1</v>
      </c>
      <c r="F17" s="10" t="n">
        <v>1.35</v>
      </c>
      <c r="G17" s="10" t="n">
        <v>1.33</v>
      </c>
      <c r="H17" s="10" t="n">
        <v>1.46</v>
      </c>
      <c r="I17" s="10" t="n">
        <v>1.67</v>
      </c>
      <c r="J17" s="10" t="n">
        <v>0.1</v>
      </c>
      <c r="K17" s="10" t="n">
        <v>0.34</v>
      </c>
      <c r="L17" s="10" t="n">
        <v>-0.24</v>
      </c>
      <c r="M17" s="10" t="n">
        <v>0.45</v>
      </c>
      <c r="N17" s="10" t="n">
        <v>1.25</v>
      </c>
      <c r="O17" s="10" t="n">
        <v>1.52</v>
      </c>
      <c r="P17" s="10" t="n">
        <v>1.39</v>
      </c>
      <c r="Q17" s="10" t="n">
        <v>1.35</v>
      </c>
    </row>
    <row r="18">
      <c r="A18" s="6" t="inlineStr">
        <is>
          <t>2026-08-30</t>
        </is>
      </c>
      <c r="B18" s="6" t="inlineStr">
        <is>
          <t>Chelsea</t>
        </is>
      </c>
      <c r="C18" s="6" t="inlineStr">
        <is>
          <t>Brighton &amp; Hove Albion</t>
        </is>
      </c>
      <c r="D18" s="6" t="n">
        <v>4</v>
      </c>
      <c r="E18" s="6" t="n">
        <v>3</v>
      </c>
      <c r="F18" s="9" t="n">
        <v>1.84</v>
      </c>
      <c r="G18" s="9" t="n">
        <v>1.17</v>
      </c>
      <c r="H18" s="9" t="n">
        <v>2.93</v>
      </c>
      <c r="I18" s="9" t="n">
        <v>1.41</v>
      </c>
      <c r="J18" s="9" t="n">
        <v>1.09</v>
      </c>
      <c r="K18" s="9" t="n">
        <v>0.24</v>
      </c>
      <c r="L18" s="9" t="n">
        <v>0.86</v>
      </c>
      <c r="M18" s="9" t="n">
        <v>1.33</v>
      </c>
      <c r="N18" s="9" t="n">
        <v>2.21</v>
      </c>
      <c r="O18" s="9" t="n">
        <v>0.63</v>
      </c>
      <c r="P18" s="9" t="n">
        <v>1.82</v>
      </c>
      <c r="Q18" s="9" t="n">
        <v>0.95</v>
      </c>
    </row>
    <row r="19">
      <c r="A19" s="8" t="inlineStr">
        <is>
          <t>2026-08-30</t>
        </is>
      </c>
      <c r="B19" s="8" t="inlineStr">
        <is>
          <t>Sunderland</t>
        </is>
      </c>
      <c r="C19" s="8" t="inlineStr">
        <is>
          <t>Fulham</t>
        </is>
      </c>
      <c r="D19" s="8" t="n">
        <v>1</v>
      </c>
      <c r="E19" s="8" t="n">
        <v>0</v>
      </c>
      <c r="F19" s="10" t="n">
        <v>1.36</v>
      </c>
      <c r="G19" s="10" t="n">
        <v>1.17</v>
      </c>
      <c r="H19" s="10" t="n">
        <v>2.02</v>
      </c>
      <c r="I19" s="10" t="n">
        <v>0.95</v>
      </c>
      <c r="J19" s="10" t="n">
        <v>0.66</v>
      </c>
      <c r="K19" s="10" t="n">
        <v>-0.22</v>
      </c>
      <c r="L19" s="10" t="n">
        <v>0.88</v>
      </c>
      <c r="M19" s="10" t="n">
        <v>0.45</v>
      </c>
      <c r="N19" s="10" t="n">
        <v>2.07</v>
      </c>
      <c r="O19" s="10" t="n">
        <v>0.72</v>
      </c>
      <c r="P19" s="10" t="n">
        <v>1.5</v>
      </c>
      <c r="Q19" s="10" t="n">
        <v>1.23</v>
      </c>
    </row>
    <row r="20">
      <c r="A20" s="6" t="inlineStr">
        <is>
          <t>2026-08-30</t>
        </is>
      </c>
      <c r="B20" s="6" t="inlineStr">
        <is>
          <t>Manchester United</t>
        </is>
      </c>
      <c r="C20" s="6" t="inlineStr">
        <is>
          <t>Ipswich</t>
        </is>
      </c>
      <c r="D20" s="6" t="n">
        <v>5</v>
      </c>
      <c r="E20" s="6" t="n">
        <v>2</v>
      </c>
      <c r="F20" s="9" t="n">
        <v>2.22</v>
      </c>
      <c r="G20" s="9" t="n">
        <v>0.87</v>
      </c>
      <c r="H20" s="9" t="n">
        <v>4.77</v>
      </c>
      <c r="I20" s="9" t="n">
        <v>2.06</v>
      </c>
      <c r="J20" s="9" t="n">
        <v>2.55</v>
      </c>
      <c r="K20" s="9" t="n">
        <v>1.19</v>
      </c>
      <c r="L20" s="9" t="n">
        <v>1.37</v>
      </c>
      <c r="M20" s="9" t="n">
        <v>3.74</v>
      </c>
      <c r="N20" s="9" t="n">
        <v>2.47</v>
      </c>
      <c r="O20" s="9" t="n">
        <v>0.4</v>
      </c>
      <c r="P20" s="9" t="n">
        <v>2.22</v>
      </c>
      <c r="Q20" s="9" t="n">
        <v>0.59</v>
      </c>
    </row>
    <row r="21">
      <c r="A21" s="8" t="inlineStr">
        <is>
          <t>2026-08-31</t>
        </is>
      </c>
      <c r="B21" s="8" t="inlineStr">
        <is>
          <t>Aston Villa</t>
        </is>
      </c>
      <c r="C21" s="8" t="inlineStr">
        <is>
          <t>Arsenal</t>
        </is>
      </c>
      <c r="D21" s="8" t="n">
        <v>0</v>
      </c>
      <c r="E21" s="8" t="n">
        <v>1</v>
      </c>
      <c r="F21" s="10" t="n">
        <v>0.88</v>
      </c>
      <c r="G21" s="10" t="n">
        <v>1.94</v>
      </c>
      <c r="H21" s="10" t="n">
        <v>0.33</v>
      </c>
      <c r="I21" s="10" t="n">
        <v>1.04</v>
      </c>
      <c r="J21" s="10" t="n">
        <v>-0.55</v>
      </c>
      <c r="K21" s="10" t="n">
        <v>-0.9</v>
      </c>
      <c r="L21" s="10" t="n">
        <v>0.36</v>
      </c>
      <c r="M21" s="10" t="n">
        <v>-1.45</v>
      </c>
      <c r="N21" s="10" t="n">
        <v>0.7</v>
      </c>
      <c r="O21" s="10" t="n">
        <v>1.95</v>
      </c>
      <c r="P21" s="10" t="n">
        <v>0.7</v>
      </c>
      <c r="Q21" s="10" t="n">
        <v>2.08</v>
      </c>
    </row>
    <row r="22">
      <c r="A22" s="6" t="inlineStr">
        <is>
          <t>2026-09-04</t>
        </is>
      </c>
      <c r="B22" s="6" t="inlineStr">
        <is>
          <t>Ipswich</t>
        </is>
      </c>
      <c r="C22" s="6" t="inlineStr">
        <is>
          <t>Liverpool</t>
        </is>
      </c>
      <c r="D22" s="6" t="n">
        <v>0</v>
      </c>
      <c r="E22" s="6" t="n">
        <v>2</v>
      </c>
      <c r="F22" s="9" t="n">
        <v>1.2</v>
      </c>
      <c r="G22" s="9" t="n">
        <v>2.35</v>
      </c>
      <c r="H22" s="9" t="n">
        <v>0.75</v>
      </c>
      <c r="I22" s="9" t="n">
        <v>0.6899999999999999</v>
      </c>
      <c r="J22" s="9" t="n">
        <v>-0.45</v>
      </c>
      <c r="K22" s="9" t="n">
        <v>-1.66</v>
      </c>
      <c r="L22" s="9" t="n">
        <v>1.21</v>
      </c>
      <c r="M22" s="9" t="n">
        <v>-2.11</v>
      </c>
      <c r="N22" s="9" t="n">
        <v>1.36</v>
      </c>
      <c r="O22" s="9" t="n">
        <v>1.26</v>
      </c>
      <c r="P22" s="9" t="n">
        <v>0.73</v>
      </c>
      <c r="Q22" s="9" t="n">
        <v>2.08</v>
      </c>
    </row>
    <row r="23">
      <c r="A23" s="8" t="inlineStr">
        <is>
          <t>2026-09-05</t>
        </is>
      </c>
      <c r="B23" s="8" t="inlineStr">
        <is>
          <t>Brighton &amp; Hove Albion</t>
        </is>
      </c>
      <c r="C23" s="8" t="inlineStr">
        <is>
          <t>Leeds United</t>
        </is>
      </c>
      <c r="D23" s="8" t="n">
        <v>1</v>
      </c>
      <c r="E23" s="8" t="n">
        <v>1</v>
      </c>
      <c r="F23" s="10" t="n">
        <v>1.61</v>
      </c>
      <c r="G23" s="10" t="n">
        <v>1.08</v>
      </c>
      <c r="H23" s="10" t="n">
        <v>2.19</v>
      </c>
      <c r="I23" s="10" t="n">
        <v>2.49</v>
      </c>
      <c r="J23" s="10" t="n">
        <v>0.57</v>
      </c>
      <c r="K23" s="10" t="n">
        <v>1.41</v>
      </c>
      <c r="L23" s="10" t="n">
        <v>-0.83</v>
      </c>
      <c r="M23" s="10" t="n">
        <v>1.98</v>
      </c>
      <c r="N23" s="10" t="n">
        <v>1.25</v>
      </c>
      <c r="O23" s="10" t="n">
        <v>1.57</v>
      </c>
      <c r="P23" s="10" t="n">
        <v>1.74</v>
      </c>
      <c r="Q23" s="10" t="n">
        <v>1.01</v>
      </c>
    </row>
    <row r="24">
      <c r="A24" s="6" t="inlineStr">
        <is>
          <t>2026-09-05</t>
        </is>
      </c>
      <c r="B24" s="6" t="inlineStr">
        <is>
          <t>Fulham</t>
        </is>
      </c>
      <c r="C24" s="6" t="inlineStr">
        <is>
          <t>Crystal Palace</t>
        </is>
      </c>
      <c r="D24" s="6" t="n">
        <v>2</v>
      </c>
      <c r="E24" s="6" t="n">
        <v>3</v>
      </c>
      <c r="F24" s="9" t="n">
        <v>1.45</v>
      </c>
      <c r="G24" s="9" t="n">
        <v>1.19</v>
      </c>
      <c r="H24" s="9" t="n">
        <v>3.14</v>
      </c>
      <c r="I24" s="9" t="n">
        <v>1.97</v>
      </c>
      <c r="J24" s="9" t="n">
        <v>1.69</v>
      </c>
      <c r="K24" s="9" t="n">
        <v>0.78</v>
      </c>
      <c r="L24" s="9" t="n">
        <v>0.91</v>
      </c>
      <c r="M24" s="9" t="n">
        <v>2.47</v>
      </c>
      <c r="N24" s="9" t="n">
        <v>2</v>
      </c>
      <c r="O24" s="9" t="n">
        <v>0.84</v>
      </c>
      <c r="P24" s="9" t="n">
        <v>1.55</v>
      </c>
      <c r="Q24" s="9" t="n">
        <v>1.19</v>
      </c>
    </row>
    <row r="25">
      <c r="A25" s="8" t="inlineStr">
        <is>
          <t>2026-09-05</t>
        </is>
      </c>
      <c r="B25" s="8" t="inlineStr">
        <is>
          <t>Newcastle United</t>
        </is>
      </c>
      <c r="C25" s="8" t="inlineStr">
        <is>
          <t>Bournemouth</t>
        </is>
      </c>
      <c r="D25" s="8" t="n">
        <v>2</v>
      </c>
      <c r="E25" s="8" t="n">
        <v>2</v>
      </c>
      <c r="F25" s="10" t="n">
        <v>1.75</v>
      </c>
      <c r="G25" s="10" t="n">
        <v>1.37</v>
      </c>
      <c r="H25" s="10" t="n">
        <v>0.71</v>
      </c>
      <c r="I25" s="10" t="n">
        <v>1.37</v>
      </c>
      <c r="J25" s="10" t="n">
        <v>-1.04</v>
      </c>
      <c r="K25" s="10" t="n">
        <v>0</v>
      </c>
      <c r="L25" s="10" t="n">
        <v>-1.04</v>
      </c>
      <c r="M25" s="10" t="n">
        <v>-1.03</v>
      </c>
      <c r="N25" s="10" t="n">
        <v>0.86</v>
      </c>
      <c r="O25" s="10" t="n">
        <v>1.86</v>
      </c>
      <c r="P25" s="10" t="n">
        <v>1.63</v>
      </c>
      <c r="Q25" s="10" t="n">
        <v>1.14</v>
      </c>
    </row>
    <row r="26">
      <c r="A26" s="6" t="inlineStr">
        <is>
          <t>2026-09-05</t>
        </is>
      </c>
      <c r="B26" s="6" t="inlineStr">
        <is>
          <t>Brentford</t>
        </is>
      </c>
      <c r="C26" s="6" t="inlineStr">
        <is>
          <t>Sunderland</t>
        </is>
      </c>
      <c r="D26" s="6" t="n">
        <v>1</v>
      </c>
      <c r="E26" s="6" t="n">
        <v>1</v>
      </c>
      <c r="F26" s="9" t="n">
        <v>1.84</v>
      </c>
      <c r="G26" s="9" t="n">
        <v>0.9</v>
      </c>
      <c r="H26" s="9" t="n">
        <v>1.21</v>
      </c>
      <c r="I26" s="9" t="n">
        <v>1.71</v>
      </c>
      <c r="J26" s="9" t="n">
        <v>-0.63</v>
      </c>
      <c r="K26" s="9" t="n">
        <v>0.8100000000000001</v>
      </c>
      <c r="L26" s="9" t="n">
        <v>-1.44</v>
      </c>
      <c r="M26" s="9" t="n">
        <v>0.18</v>
      </c>
      <c r="N26" s="9" t="n">
        <v>1.05</v>
      </c>
      <c r="O26" s="9" t="n">
        <v>1.71</v>
      </c>
      <c r="P26" s="9" t="n">
        <v>2.01</v>
      </c>
      <c r="Q26" s="9" t="n">
        <v>0.77</v>
      </c>
    </row>
    <row r="27">
      <c r="A27" s="8" t="inlineStr">
        <is>
          <t>2026-09-05</t>
        </is>
      </c>
      <c r="B27" s="8" t="inlineStr">
        <is>
          <t>Nottingham Forest</t>
        </is>
      </c>
      <c r="C27" s="8" t="inlineStr">
        <is>
          <t>Tottenham Hotspur</t>
        </is>
      </c>
      <c r="D27" s="8" t="n">
        <v>0</v>
      </c>
      <c r="E27" s="8" t="n">
        <v>0</v>
      </c>
      <c r="F27" s="10" t="n">
        <v>1.4</v>
      </c>
      <c r="G27" s="10" t="n">
        <v>1.25</v>
      </c>
      <c r="H27" s="10" t="n">
        <v>0.92</v>
      </c>
      <c r="I27" s="10" t="n">
        <v>1.06</v>
      </c>
      <c r="J27" s="10" t="n">
        <v>-0.47</v>
      </c>
      <c r="K27" s="10" t="n">
        <v>-0.19</v>
      </c>
      <c r="L27" s="10" t="n">
        <v>-0.29</v>
      </c>
      <c r="M27" s="10" t="n">
        <v>-0.66</v>
      </c>
      <c r="N27" s="10" t="n">
        <v>1.24</v>
      </c>
      <c r="O27" s="10" t="n">
        <v>1.46</v>
      </c>
      <c r="P27" s="10" t="n">
        <v>1.47</v>
      </c>
      <c r="Q27" s="10" t="n">
        <v>1.27</v>
      </c>
    </row>
    <row r="28">
      <c r="A28" s="6" t="inlineStr">
        <is>
          <t>2026-09-05</t>
        </is>
      </c>
      <c r="B28" s="6" t="inlineStr">
        <is>
          <t>Hull</t>
        </is>
      </c>
      <c r="C28" s="6" t="inlineStr">
        <is>
          <t>Aston Villa</t>
        </is>
      </c>
      <c r="D28" s="6" t="n">
        <v>0</v>
      </c>
      <c r="E28" s="6" t="n">
        <v>0</v>
      </c>
      <c r="F28" s="9" t="n">
        <v>1.04</v>
      </c>
      <c r="G28" s="9" t="n">
        <v>1.68</v>
      </c>
      <c r="H28" s="9" t="n">
        <v>0.57</v>
      </c>
      <c r="I28" s="9" t="n">
        <v>1.93</v>
      </c>
      <c r="J28" s="9" t="n">
        <v>-0.47</v>
      </c>
      <c r="K28" s="9" t="n">
        <v>0.25</v>
      </c>
      <c r="L28" s="9" t="n">
        <v>-0.72</v>
      </c>
      <c r="M28" s="9" t="n">
        <v>-0.22</v>
      </c>
      <c r="N28" s="9" t="n">
        <v>0.5</v>
      </c>
      <c r="O28" s="9" t="n">
        <v>2.3</v>
      </c>
      <c r="P28" s="9" t="n">
        <v>0.95</v>
      </c>
      <c r="Q28" s="9" t="n">
        <v>1.81</v>
      </c>
    </row>
    <row r="29">
      <c r="A29" s="8" t="inlineStr">
        <is>
          <t>2026-09-05</t>
        </is>
      </c>
      <c r="B29" s="8" t="inlineStr">
        <is>
          <t>Manchester City</t>
        </is>
      </c>
      <c r="C29" s="8" t="inlineStr">
        <is>
          <t>Coventry</t>
        </is>
      </c>
      <c r="D29" s="8" t="n">
        <v>1</v>
      </c>
      <c r="E29" s="8" t="n">
        <v>0</v>
      </c>
      <c r="F29" s="10" t="n">
        <v>2.89</v>
      </c>
      <c r="G29" s="10" t="n">
        <v>0.76</v>
      </c>
      <c r="H29" s="10" t="n">
        <v>2.12</v>
      </c>
      <c r="I29" s="10" t="n">
        <v>1.37</v>
      </c>
      <c r="J29" s="10" t="n">
        <v>-0.77</v>
      </c>
      <c r="K29" s="10" t="n">
        <v>0.61</v>
      </c>
      <c r="L29" s="10" t="n">
        <v>-1.39</v>
      </c>
      <c r="M29" s="10" t="n">
        <v>-0.16</v>
      </c>
      <c r="N29" s="10" t="n">
        <v>1.85</v>
      </c>
      <c r="O29" s="10" t="n">
        <v>0.9399999999999999</v>
      </c>
      <c r="P29" s="10" t="n">
        <v>2.55</v>
      </c>
      <c r="Q29" s="10" t="n">
        <v>0.33</v>
      </c>
    </row>
    <row r="30">
      <c r="A30" s="6" t="inlineStr">
        <is>
          <t>2026-09-06</t>
        </is>
      </c>
      <c r="B30" s="6" t="inlineStr">
        <is>
          <t>Everton</t>
        </is>
      </c>
      <c r="C30" s="6" t="inlineStr">
        <is>
          <t>Manchester United</t>
        </is>
      </c>
      <c r="D30" s="6" t="n">
        <v>2</v>
      </c>
      <c r="E30" s="6" t="n">
        <v>2</v>
      </c>
      <c r="F30" s="9" t="n">
        <v>1.28</v>
      </c>
      <c r="G30" s="9" t="n">
        <v>1.64</v>
      </c>
      <c r="H30" s="9" t="n">
        <v>1.01</v>
      </c>
      <c r="I30" s="9" t="n">
        <v>0.6899999999999999</v>
      </c>
      <c r="J30" s="9" t="n">
        <v>-0.27</v>
      </c>
      <c r="K30" s="9" t="n">
        <v>-0.95</v>
      </c>
      <c r="L30" s="9" t="n">
        <v>0.6899999999999999</v>
      </c>
      <c r="M30" s="9" t="n">
        <v>-1.22</v>
      </c>
      <c r="N30" s="9" t="n">
        <v>1.6</v>
      </c>
      <c r="O30" s="9" t="n">
        <v>1.07</v>
      </c>
      <c r="P30" s="9" t="n">
        <v>1.14</v>
      </c>
      <c r="Q30" s="9" t="n">
        <v>1.62</v>
      </c>
    </row>
    <row r="31">
      <c r="A31" s="8" t="inlineStr">
        <is>
          <t>2026-09-06</t>
        </is>
      </c>
      <c r="B31" s="8" t="inlineStr">
        <is>
          <t>Arsenal</t>
        </is>
      </c>
      <c r="C31" s="8" t="inlineStr">
        <is>
          <t>Chelsea</t>
        </is>
      </c>
      <c r="D31" s="8" t="n">
        <v>2</v>
      </c>
      <c r="E31" s="8" t="n">
        <v>1</v>
      </c>
      <c r="F31" s="10" t="n">
        <v>1.85</v>
      </c>
      <c r="G31" s="10" t="n">
        <v>0.98</v>
      </c>
      <c r="H31" s="10" t="n">
        <v>2.05</v>
      </c>
      <c r="I31" s="10" t="n">
        <v>0.39</v>
      </c>
      <c r="J31" s="10" t="n">
        <v>0.2</v>
      </c>
      <c r="K31" s="10" t="n">
        <v>-0.59</v>
      </c>
      <c r="L31" s="10" t="n">
        <v>0.78</v>
      </c>
      <c r="M31" s="10" t="n">
        <v>-0.39</v>
      </c>
      <c r="N31" s="10" t="n">
        <v>2.48</v>
      </c>
      <c r="O31" s="10" t="n">
        <v>0.35</v>
      </c>
      <c r="P31" s="10" t="n">
        <v>1.96</v>
      </c>
      <c r="Q31" s="10" t="n">
        <v>0.8100000000000001</v>
      </c>
    </row>
    <row r="32">
      <c r="A32" s="6" t="inlineStr">
        <is>
          <t>2026-09-12</t>
        </is>
      </c>
      <c r="B32" s="6" t="inlineStr">
        <is>
          <t>Crystal Palace</t>
        </is>
      </c>
      <c r="C32" s="6" t="inlineStr">
        <is>
          <t>Ipswich</t>
        </is>
      </c>
      <c r="D32" s="6" t="n">
        <v>2</v>
      </c>
      <c r="E32" s="6" t="n">
        <v>3</v>
      </c>
      <c r="F32" s="9" t="n">
        <v>1.72</v>
      </c>
      <c r="G32" s="9" t="n">
        <v>1.1</v>
      </c>
      <c r="H32" s="9" t="n">
        <v>0.62</v>
      </c>
      <c r="I32" s="9" t="n">
        <v>1.68</v>
      </c>
      <c r="J32" s="9" t="n">
        <v>-1.1</v>
      </c>
      <c r="K32" s="9" t="n">
        <v>0.58</v>
      </c>
      <c r="L32" s="9" t="n">
        <v>-1.67</v>
      </c>
      <c r="M32" s="9" t="n">
        <v>-0.52</v>
      </c>
      <c r="N32" s="9" t="n">
        <v>0.64</v>
      </c>
      <c r="O32" s="9" t="n">
        <v>2.13</v>
      </c>
      <c r="P32" s="9" t="n">
        <v>1.79</v>
      </c>
      <c r="Q32" s="9" t="n">
        <v>0.97</v>
      </c>
    </row>
    <row r="33">
      <c r="A33" s="8" t="inlineStr">
        <is>
          <t>2026-09-12</t>
        </is>
      </c>
      <c r="B33" s="8" t="inlineStr">
        <is>
          <t>Tottenham Hotspur</t>
        </is>
      </c>
      <c r="C33" s="8" t="inlineStr">
        <is>
          <t>Everton</t>
        </is>
      </c>
      <c r="D33" s="8" t="n">
        <v>0</v>
      </c>
      <c r="E33" s="8" t="n">
        <v>0</v>
      </c>
      <c r="F33" s="10" t="n">
        <v>1.56</v>
      </c>
      <c r="G33" s="10" t="n">
        <v>1.1</v>
      </c>
      <c r="H33" s="10" t="n">
        <v>0.6899999999999999</v>
      </c>
      <c r="I33" s="10" t="n">
        <v>1.11</v>
      </c>
      <c r="J33" s="10" t="n">
        <v>-0.87</v>
      </c>
      <c r="K33" s="10" t="n">
        <v>0.01</v>
      </c>
      <c r="L33" s="10" t="n">
        <v>-0.88</v>
      </c>
      <c r="M33" s="10" t="n">
        <v>-0.86</v>
      </c>
      <c r="N33" s="10" t="n">
        <v>1</v>
      </c>
      <c r="O33" s="10" t="n">
        <v>1.68</v>
      </c>
      <c r="P33" s="10" t="n">
        <v>1.7</v>
      </c>
      <c r="Q33" s="10" t="n">
        <v>1.05</v>
      </c>
    </row>
    <row r="34">
      <c r="A34" s="6" t="inlineStr">
        <is>
          <t>2026-09-12</t>
        </is>
      </c>
      <c r="B34" s="6" t="inlineStr">
        <is>
          <t>Bournemouth</t>
        </is>
      </c>
      <c r="C34" s="6" t="inlineStr">
        <is>
          <t>Brentford</t>
        </is>
      </c>
      <c r="D34" s="6" t="n">
        <v>2</v>
      </c>
      <c r="E34" s="6" t="n">
        <v>2</v>
      </c>
      <c r="F34" s="9" t="n">
        <v>1.51</v>
      </c>
      <c r="G34" s="9" t="n">
        <v>1.45</v>
      </c>
      <c r="H34" s="9" t="n">
        <v>1.75</v>
      </c>
      <c r="I34" s="9" t="n">
        <v>0.5</v>
      </c>
      <c r="J34" s="9" t="n">
        <v>0.24</v>
      </c>
      <c r="K34" s="9" t="n">
        <v>-0.95</v>
      </c>
      <c r="L34" s="9" t="n">
        <v>1.19</v>
      </c>
      <c r="M34" s="9" t="n">
        <v>-0.72</v>
      </c>
      <c r="N34" s="9" t="n">
        <v>2.26</v>
      </c>
      <c r="O34" s="9" t="n">
        <v>0.52</v>
      </c>
      <c r="P34" s="9" t="n">
        <v>1.42</v>
      </c>
      <c r="Q34" s="9" t="n">
        <v>1.33</v>
      </c>
    </row>
    <row r="35">
      <c r="A35" s="8" t="inlineStr">
        <is>
          <t>2026-09-12</t>
        </is>
      </c>
      <c r="B35" s="8" t="inlineStr">
        <is>
          <t>Chelsea</t>
        </is>
      </c>
      <c r="C35" s="8" t="inlineStr">
        <is>
          <t>Hull</t>
        </is>
      </c>
      <c r="D35" s="8" t="n">
        <v>2</v>
      </c>
      <c r="E35" s="8" t="n">
        <v>2</v>
      </c>
      <c r="F35" s="10" t="n">
        <v>2.69</v>
      </c>
      <c r="G35" s="10" t="n">
        <v>0.78</v>
      </c>
      <c r="H35" s="10" t="n">
        <v>0.91</v>
      </c>
      <c r="I35" s="10" t="n">
        <v>1.38</v>
      </c>
      <c r="J35" s="10" t="n">
        <v>-1.77</v>
      </c>
      <c r="K35" s="10" t="n">
        <v>0.6</v>
      </c>
      <c r="L35" s="10" t="n">
        <v>-2.38</v>
      </c>
      <c r="M35" s="10" t="n">
        <v>-1.17</v>
      </c>
      <c r="N35" s="10" t="n">
        <v>1.02</v>
      </c>
      <c r="O35" s="10" t="n">
        <v>1.71</v>
      </c>
      <c r="P35" s="10" t="n">
        <v>2.47</v>
      </c>
      <c r="Q35" s="10" t="n">
        <v>0.39</v>
      </c>
    </row>
    <row r="36">
      <c r="A36" s="6" t="inlineStr">
        <is>
          <t>2026-09-12</t>
        </is>
      </c>
      <c r="B36" s="6" t="inlineStr">
        <is>
          <t>Sunderland</t>
        </is>
      </c>
      <c r="C36" s="6" t="inlineStr">
        <is>
          <t>Arsenal</t>
        </is>
      </c>
      <c r="D36" s="6" t="n">
        <v>0</v>
      </c>
      <c r="E36" s="6" t="n">
        <v>2</v>
      </c>
      <c r="F36" s="9" t="n">
        <v>0.6899999999999999</v>
      </c>
      <c r="G36" s="9" t="n">
        <v>1.85</v>
      </c>
      <c r="H36" s="9" t="n">
        <v>1.8</v>
      </c>
      <c r="I36" s="9" t="n">
        <v>1.88</v>
      </c>
      <c r="J36" s="9" t="n">
        <v>1.11</v>
      </c>
      <c r="K36" s="9" t="n">
        <v>0.03</v>
      </c>
      <c r="L36" s="9" t="n">
        <v>1.08</v>
      </c>
      <c r="M36" s="9" t="n">
        <v>1.15</v>
      </c>
      <c r="N36" s="9" t="n">
        <v>1.34</v>
      </c>
      <c r="O36" s="9" t="n">
        <v>1.44</v>
      </c>
      <c r="P36" s="9" t="n">
        <v>0.61</v>
      </c>
      <c r="Q36" s="9" t="n">
        <v>2.17</v>
      </c>
    </row>
    <row r="37">
      <c r="A37" s="8" t="inlineStr">
        <is>
          <t>2026-09-12</t>
        </is>
      </c>
      <c r="B37" s="8" t="inlineStr">
        <is>
          <t>Aston Villa</t>
        </is>
      </c>
      <c r="C37" s="8" t="inlineStr">
        <is>
          <t>Nottingham Forest</t>
        </is>
      </c>
      <c r="D37" s="8" t="n">
        <v>1</v>
      </c>
      <c r="E37" s="8" t="n">
        <v>2</v>
      </c>
      <c r="F37" s="10" t="n">
        <v>1.47</v>
      </c>
      <c r="G37" s="10" t="n">
        <v>1.17</v>
      </c>
      <c r="H37" s="10" t="n">
        <v>0.82</v>
      </c>
      <c r="I37" s="10" t="n">
        <v>2.28</v>
      </c>
      <c r="J37" s="10" t="n">
        <v>-0.65</v>
      </c>
      <c r="K37" s="10" t="n">
        <v>1.11</v>
      </c>
      <c r="L37" s="10" t="n">
        <v>-1.76</v>
      </c>
      <c r="M37" s="10" t="n">
        <v>0.45</v>
      </c>
      <c r="N37" s="10" t="n">
        <v>0.54</v>
      </c>
      <c r="O37" s="10" t="n">
        <v>2.29</v>
      </c>
      <c r="P37" s="10" t="n">
        <v>1.58</v>
      </c>
      <c r="Q37" s="10" t="n">
        <v>1.16</v>
      </c>
    </row>
    <row r="38">
      <c r="A38" s="6" t="inlineStr">
        <is>
          <t>2026-09-12</t>
        </is>
      </c>
      <c r="B38" s="6" t="inlineStr">
        <is>
          <t>Liverpool</t>
        </is>
      </c>
      <c r="C38" s="6" t="inlineStr">
        <is>
          <t>Fulham</t>
        </is>
      </c>
      <c r="D38" s="6" t="n">
        <v>0</v>
      </c>
      <c r="E38" s="6" t="n">
        <v>0</v>
      </c>
      <c r="F38" s="9" t="n">
        <v>2.3</v>
      </c>
      <c r="G38" s="9" t="n">
        <v>0.99</v>
      </c>
      <c r="H38" s="9" t="n">
        <v>1.28</v>
      </c>
      <c r="I38" s="9" t="n">
        <v>0.7</v>
      </c>
      <c r="J38" s="9" t="n">
        <v>-1.02</v>
      </c>
      <c r="K38" s="9" t="n">
        <v>-0.29</v>
      </c>
      <c r="L38" s="9" t="n">
        <v>-0.73</v>
      </c>
      <c r="M38" s="9" t="n">
        <v>-1.3</v>
      </c>
      <c r="N38" s="9" t="n">
        <v>1.8</v>
      </c>
      <c r="O38" s="9" t="n">
        <v>0.9</v>
      </c>
      <c r="P38" s="9" t="n">
        <v>2.19</v>
      </c>
      <c r="Q38" s="9" t="n">
        <v>0.63</v>
      </c>
    </row>
    <row r="39">
      <c r="A39" s="8" t="inlineStr">
        <is>
          <t>2026-09-13</t>
        </is>
      </c>
      <c r="B39" s="8" t="inlineStr">
        <is>
          <t>Coventry</t>
        </is>
      </c>
      <c r="C39" s="8" t="inlineStr">
        <is>
          <t>Brighton &amp; Hove Albion</t>
        </is>
      </c>
      <c r="D39" s="8" t="n">
        <v>0</v>
      </c>
      <c r="E39" s="8" t="n">
        <v>5</v>
      </c>
      <c r="F39" s="10" t="n">
        <v>1.15</v>
      </c>
      <c r="G39" s="10" t="n">
        <v>1.72</v>
      </c>
      <c r="H39" s="10" t="n">
        <v>1.33</v>
      </c>
      <c r="I39" s="10" t="n">
        <v>2.81</v>
      </c>
      <c r="J39" s="10" t="n">
        <v>0.19</v>
      </c>
      <c r="K39" s="10" t="n">
        <v>1.09</v>
      </c>
      <c r="L39" s="10" t="n">
        <v>-0.9</v>
      </c>
      <c r="M39" s="10" t="n">
        <v>1.27</v>
      </c>
      <c r="N39" s="10" t="n">
        <v>0.63</v>
      </c>
      <c r="O39" s="10" t="n">
        <v>2.21</v>
      </c>
      <c r="P39" s="10" t="n">
        <v>1</v>
      </c>
      <c r="Q39" s="10" t="n">
        <v>1.76</v>
      </c>
    </row>
    <row r="40">
      <c r="A40" s="6" t="inlineStr">
        <is>
          <t>2026-09-13</t>
        </is>
      </c>
      <c r="B40" s="6" t="inlineStr">
        <is>
          <t>Manchester United</t>
        </is>
      </c>
      <c r="C40" s="6" t="inlineStr">
        <is>
          <t>Manchester City</t>
        </is>
      </c>
      <c r="D40" s="6" t="n">
        <v>0</v>
      </c>
      <c r="E40" s="6" t="n">
        <v>1</v>
      </c>
      <c r="F40" s="9" t="n">
        <v>1.42</v>
      </c>
      <c r="G40" s="9" t="n">
        <v>1.8</v>
      </c>
      <c r="H40" s="9" t="n">
        <v>1</v>
      </c>
      <c r="I40" s="9" t="n">
        <v>1.1</v>
      </c>
      <c r="J40" s="9" t="n">
        <v>-0.42</v>
      </c>
      <c r="K40" s="9" t="n">
        <v>-0.7</v>
      </c>
      <c r="L40" s="9" t="n">
        <v>0.28</v>
      </c>
      <c r="M40" s="9" t="n">
        <v>-1.12</v>
      </c>
      <c r="N40" s="9" t="n">
        <v>1.27</v>
      </c>
      <c r="O40" s="9" t="n">
        <v>1.43</v>
      </c>
      <c r="P40" s="9" t="n">
        <v>1.14</v>
      </c>
      <c r="Q40" s="9" t="n">
        <v>1.63</v>
      </c>
    </row>
    <row r="41">
      <c r="A41" s="8" t="inlineStr">
        <is>
          <t>2026-09-14</t>
        </is>
      </c>
      <c r="B41" s="8" t="inlineStr">
        <is>
          <t>Leeds United</t>
        </is>
      </c>
      <c r="C41" s="8" t="inlineStr">
        <is>
          <t>Newcastle United</t>
        </is>
      </c>
      <c r="D41" s="8" t="n">
        <v>4</v>
      </c>
      <c r="E41" s="8" t="n">
        <v>1</v>
      </c>
      <c r="F41" s="10" t="n">
        <v>1.49</v>
      </c>
      <c r="G41" s="10" t="n">
        <v>1.33</v>
      </c>
      <c r="H41" s="10" t="n">
        <v>1.99</v>
      </c>
      <c r="I41" s="10" t="n">
        <v>0.88</v>
      </c>
      <c r="J41" s="10" t="n">
        <v>0.5</v>
      </c>
      <c r="K41" s="10" t="n">
        <v>-0.45</v>
      </c>
      <c r="L41" s="10" t="n">
        <v>0.96</v>
      </c>
      <c r="M41" s="10" t="n">
        <v>0.05</v>
      </c>
      <c r="N41" s="10" t="n">
        <v>2.11</v>
      </c>
      <c r="O41" s="10" t="n">
        <v>0.68</v>
      </c>
      <c r="P41" s="10" t="n">
        <v>1.48</v>
      </c>
      <c r="Q41" s="10" t="n">
        <v>1.27</v>
      </c>
    </row>
    <row r="42">
      <c r="A42" s="6" t="inlineStr">
        <is>
          <t>2026-09-18</t>
        </is>
      </c>
      <c r="B42" s="6" t="inlineStr">
        <is>
          <t>Brentford</t>
        </is>
      </c>
      <c r="C42" s="6" t="inlineStr">
        <is>
          <t>Chelsea</t>
        </is>
      </c>
      <c r="D42" s="6" t="n">
        <v>3</v>
      </c>
      <c r="E42" s="6" t="n">
        <v>0</v>
      </c>
      <c r="F42" s="9" t="n">
        <v>1.62</v>
      </c>
      <c r="G42" s="9" t="n">
        <v>1.66</v>
      </c>
      <c r="H42" s="9" t="n">
        <v>2.65</v>
      </c>
      <c r="I42" s="9" t="n">
        <v>0.83</v>
      </c>
      <c r="J42" s="9" t="n">
        <v>1.02</v>
      </c>
      <c r="K42" s="9" t="n">
        <v>-0.83</v>
      </c>
      <c r="L42" s="9" t="n">
        <v>1.85</v>
      </c>
      <c r="M42" s="9" t="n">
        <v>0.19</v>
      </c>
      <c r="N42" s="9" t="n">
        <v>2.43</v>
      </c>
      <c r="O42" s="9" t="n">
        <v>0.42</v>
      </c>
      <c r="P42" s="9" t="n">
        <v>1.36</v>
      </c>
      <c r="Q42" s="9" t="n">
        <v>1.41</v>
      </c>
    </row>
    <row r="43">
      <c r="A43" s="8" t="inlineStr">
        <is>
          <t>2026-09-19</t>
        </is>
      </c>
      <c r="B43" s="8" t="inlineStr">
        <is>
          <t>Newcastle United</t>
        </is>
      </c>
      <c r="C43" s="8" t="inlineStr">
        <is>
          <t>Hull</t>
        </is>
      </c>
      <c r="D43" s="8" t="n">
        <v>2</v>
      </c>
      <c r="E43" s="8" t="n">
        <v>1</v>
      </c>
      <c r="F43" s="10" t="n">
        <v>2.02</v>
      </c>
      <c r="G43" s="10" t="n">
        <v>1.05</v>
      </c>
      <c r="H43" s="10" t="n">
        <v>1.44</v>
      </c>
      <c r="I43" s="10" t="n">
        <v>1.59</v>
      </c>
      <c r="J43" s="10" t="n">
        <v>-0.58</v>
      </c>
      <c r="K43" s="10" t="n">
        <v>0.54</v>
      </c>
      <c r="L43" s="10" t="n">
        <v>-1.12</v>
      </c>
      <c r="M43" s="10" t="n">
        <v>-0.04</v>
      </c>
      <c r="N43" s="10" t="n">
        <v>1.28</v>
      </c>
      <c r="O43" s="10" t="n">
        <v>1.48</v>
      </c>
      <c r="P43" s="10" t="n">
        <v>2.01</v>
      </c>
      <c r="Q43" s="10" t="n">
        <v>0.78</v>
      </c>
    </row>
    <row r="44">
      <c r="A44" s="6" t="inlineStr">
        <is>
          <t>2026-09-19</t>
        </is>
      </c>
      <c r="B44" s="6" t="inlineStr">
        <is>
          <t>Tottenham Hotspur</t>
        </is>
      </c>
      <c r="C44" s="6" t="inlineStr">
        <is>
          <t>Aston Villa</t>
        </is>
      </c>
      <c r="D44" s="6" t="n">
        <v>2</v>
      </c>
      <c r="E44" s="6" t="n">
        <v>3</v>
      </c>
      <c r="F44" s="9" t="n">
        <v>1.63</v>
      </c>
      <c r="G44" s="9" t="n">
        <v>1.15</v>
      </c>
      <c r="H44" s="9" t="n">
        <v>1.56</v>
      </c>
      <c r="I44" s="9" t="n">
        <v>1.26</v>
      </c>
      <c r="J44" s="9" t="n">
        <v>-0.07000000000000001</v>
      </c>
      <c r="K44" s="9" t="n">
        <v>0.11</v>
      </c>
      <c r="L44" s="9" t="n">
        <v>-0.18</v>
      </c>
      <c r="M44" s="9" t="n">
        <v>0.04</v>
      </c>
      <c r="N44" s="9" t="n">
        <v>1.58</v>
      </c>
      <c r="O44" s="9" t="n">
        <v>1.17</v>
      </c>
      <c r="P44" s="9" t="n">
        <v>1.7</v>
      </c>
      <c r="Q44" s="9" t="n">
        <v>1.05</v>
      </c>
    </row>
    <row r="45">
      <c r="A45" s="8" t="inlineStr">
        <is>
          <t>2026-09-19</t>
        </is>
      </c>
      <c r="B45" s="8" t="inlineStr">
        <is>
          <t>Brighton &amp; Hove Albion</t>
        </is>
      </c>
      <c r="C45" s="8" t="inlineStr">
        <is>
          <t>Arsenal</t>
        </is>
      </c>
      <c r="D45" s="8" t="n">
        <v>3</v>
      </c>
      <c r="E45" s="8" t="n">
        <v>0</v>
      </c>
      <c r="F45" s="10" t="n">
        <v>1</v>
      </c>
      <c r="G45" s="10" t="n">
        <v>1.87</v>
      </c>
      <c r="H45" s="10" t="n">
        <v>1.31</v>
      </c>
      <c r="I45" s="10" t="n">
        <v>1.63</v>
      </c>
      <c r="J45" s="10" t="n">
        <v>0.31</v>
      </c>
      <c r="K45" s="10" t="n">
        <v>-0.24</v>
      </c>
      <c r="L45" s="10" t="n">
        <v>0.55</v>
      </c>
      <c r="M45" s="10" t="n">
        <v>0.07000000000000001</v>
      </c>
      <c r="N45" s="10" t="n">
        <v>1.17</v>
      </c>
      <c r="O45" s="10" t="n">
        <v>1.59</v>
      </c>
      <c r="P45" s="10" t="n">
        <v>0.82</v>
      </c>
      <c r="Q45" s="10" t="n">
        <v>1.96</v>
      </c>
    </row>
    <row r="46">
      <c r="A46" s="6" t="inlineStr">
        <is>
          <t>2026-09-19</t>
        </is>
      </c>
      <c r="B46" s="6" t="inlineStr">
        <is>
          <t>Everton</t>
        </is>
      </c>
      <c r="C46" s="6" t="inlineStr">
        <is>
          <t>Ipswich</t>
        </is>
      </c>
      <c r="D46" s="6" t="n">
        <v>1</v>
      </c>
      <c r="E46" s="6" t="n">
        <v>0</v>
      </c>
      <c r="F46" s="9" t="n">
        <v>1.82</v>
      </c>
      <c r="G46" s="9" t="n">
        <v>1.06</v>
      </c>
      <c r="H46" s="9" t="n">
        <v>2.24</v>
      </c>
      <c r="I46" s="9" t="n">
        <v>1.44</v>
      </c>
      <c r="J46" s="9" t="n">
        <v>0.42</v>
      </c>
      <c r="K46" s="9" t="n">
        <v>0.38</v>
      </c>
      <c r="L46" s="9" t="n">
        <v>0.04</v>
      </c>
      <c r="M46" s="9" t="n">
        <v>0.79</v>
      </c>
      <c r="N46" s="9" t="n">
        <v>1.87</v>
      </c>
      <c r="O46" s="9" t="n">
        <v>0.93</v>
      </c>
      <c r="P46" s="9" t="n">
        <v>1.88</v>
      </c>
      <c r="Q46" s="9" t="n">
        <v>0.89</v>
      </c>
    </row>
    <row r="47">
      <c r="A47" s="8" t="inlineStr">
        <is>
          <t>2026-09-19</t>
        </is>
      </c>
      <c r="B47" s="8" t="inlineStr">
        <is>
          <t>Nottingham Forest</t>
        </is>
      </c>
      <c r="C47" s="8" t="inlineStr">
        <is>
          <t>Coventry</t>
        </is>
      </c>
      <c r="D47" s="8" t="n">
        <v>0</v>
      </c>
      <c r="E47" s="8" t="n">
        <v>1</v>
      </c>
      <c r="F47" s="10" t="n">
        <v>1.91</v>
      </c>
      <c r="G47" s="10" t="n">
        <v>0.91</v>
      </c>
      <c r="H47" s="10" t="n">
        <v>1.1</v>
      </c>
      <c r="I47" s="10" t="n">
        <v>0.67</v>
      </c>
      <c r="J47" s="10" t="n">
        <v>-0.8100000000000001</v>
      </c>
      <c r="K47" s="10" t="n">
        <v>-0.24</v>
      </c>
      <c r="L47" s="10" t="n">
        <v>-0.58</v>
      </c>
      <c r="M47" s="10" t="n">
        <v>-1.05</v>
      </c>
      <c r="N47" s="10" t="n">
        <v>1.69</v>
      </c>
      <c r="O47" s="10" t="n">
        <v>0.99</v>
      </c>
      <c r="P47" s="10" t="n">
        <v>2.05</v>
      </c>
      <c r="Q47" s="10" t="n">
        <v>0.73</v>
      </c>
    </row>
    <row r="48">
      <c r="A48" s="6" t="inlineStr">
        <is>
          <t>2026-09-20</t>
        </is>
      </c>
      <c r="B48" s="6" t="inlineStr">
        <is>
          <t>Fulham</t>
        </is>
      </c>
      <c r="C48" s="6" t="inlineStr">
        <is>
          <t>Manchester United</t>
        </is>
      </c>
      <c r="D48" s="6" t="n">
        <v>1</v>
      </c>
      <c r="E48" s="6" t="n">
        <v>1</v>
      </c>
      <c r="F48" s="9" t="n">
        <v>1.32</v>
      </c>
      <c r="G48" s="9" t="n">
        <v>1.8</v>
      </c>
      <c r="H48" s="9" t="n">
        <v>1.62</v>
      </c>
      <c r="I48" s="9" t="n">
        <v>1.6</v>
      </c>
      <c r="J48" s="9" t="n">
        <v>0.3</v>
      </c>
      <c r="K48" s="9" t="n">
        <v>-0.2</v>
      </c>
      <c r="L48" s="9" t="n">
        <v>0.5</v>
      </c>
      <c r="M48" s="9" t="n">
        <v>0.1</v>
      </c>
      <c r="N48" s="9" t="n">
        <v>1.4</v>
      </c>
      <c r="O48" s="9" t="n">
        <v>1.37</v>
      </c>
      <c r="P48" s="9" t="n">
        <v>1.08</v>
      </c>
      <c r="Q48" s="9" t="n">
        <v>1.69</v>
      </c>
    </row>
    <row r="49">
      <c r="A49" s="8" t="inlineStr">
        <is>
          <t>2026-09-20</t>
        </is>
      </c>
      <c r="B49" s="8" t="inlineStr">
        <is>
          <t>Manchester City</t>
        </is>
      </c>
      <c r="C49" s="8" t="inlineStr">
        <is>
          <t>Sunderland</t>
        </is>
      </c>
      <c r="D49" s="8" t="n">
        <v>5</v>
      </c>
      <c r="E49" s="8" t="n">
        <v>3</v>
      </c>
      <c r="F49" s="10" t="n">
        <v>2.35</v>
      </c>
      <c r="G49" s="10" t="n">
        <v>0.76</v>
      </c>
      <c r="H49" s="10" t="n">
        <v>2.82</v>
      </c>
      <c r="I49" s="10" t="n">
        <v>3.57</v>
      </c>
      <c r="J49" s="10" t="n">
        <v>0.46</v>
      </c>
      <c r="K49" s="10" t="n">
        <v>2.81</v>
      </c>
      <c r="L49" s="10" t="n">
        <v>-2.35</v>
      </c>
      <c r="M49" s="10" t="n">
        <v>3.28</v>
      </c>
      <c r="N49" s="10" t="n">
        <v>1.08</v>
      </c>
      <c r="O49" s="10" t="n">
        <v>1.76</v>
      </c>
      <c r="P49" s="10" t="n">
        <v>2.36</v>
      </c>
      <c r="Q49" s="10" t="n">
        <v>0.47</v>
      </c>
    </row>
    <row r="50">
      <c r="A50" s="6" t="inlineStr">
        <is>
          <t>2026-09-20</t>
        </is>
      </c>
      <c r="B50" s="6" t="inlineStr">
        <is>
          <t>Bournemouth</t>
        </is>
      </c>
      <c r="C50" s="6" t="inlineStr">
        <is>
          <t>Liverpool</t>
        </is>
      </c>
      <c r="D50" s="6" t="n">
        <v>0</v>
      </c>
      <c r="E50" s="6" t="n">
        <v>1</v>
      </c>
      <c r="F50" s="9" t="n">
        <v>1.43</v>
      </c>
      <c r="G50" s="9" t="n">
        <v>1.79</v>
      </c>
      <c r="H50" s="9" t="n">
        <v>0.79</v>
      </c>
      <c r="I50" s="9" t="n">
        <v>1.65</v>
      </c>
      <c r="J50" s="9" t="n">
        <v>-0.64</v>
      </c>
      <c r="K50" s="9" t="n">
        <v>-0.14</v>
      </c>
      <c r="L50" s="9" t="n">
        <v>-0.49</v>
      </c>
      <c r="M50" s="9" t="n">
        <v>-0.78</v>
      </c>
      <c r="N50" s="9" t="n">
        <v>0.78</v>
      </c>
      <c r="O50" s="9" t="n">
        <v>1.98</v>
      </c>
      <c r="P50" s="9" t="n">
        <v>1.15</v>
      </c>
      <c r="Q50" s="9" t="n">
        <v>1.62</v>
      </c>
    </row>
    <row r="51">
      <c r="A51" s="8" t="inlineStr">
        <is>
          <t>2026-09-20</t>
        </is>
      </c>
      <c r="B51" s="8" t="inlineStr">
        <is>
          <t>Leeds United</t>
        </is>
      </c>
      <c r="C51" s="8" t="inlineStr">
        <is>
          <t>Crystal Palace</t>
        </is>
      </c>
      <c r="D51" s="8" t="n">
        <v>0</v>
      </c>
      <c r="E51" s="8" t="n">
        <v>0</v>
      </c>
      <c r="F51" s="10" t="n">
        <v>1.83</v>
      </c>
      <c r="G51" s="10" t="n">
        <v>1.02</v>
      </c>
      <c r="H51" s="10" t="n">
        <v>1.31</v>
      </c>
      <c r="I51" s="10" t="n">
        <v>1.06</v>
      </c>
      <c r="J51" s="10" t="n">
        <v>-0.52</v>
      </c>
      <c r="K51" s="10" t="n">
        <v>0.04</v>
      </c>
      <c r="L51" s="10" t="n">
        <v>-0.5600000000000001</v>
      </c>
      <c r="M51" s="10" t="n">
        <v>-0.48</v>
      </c>
      <c r="N51" s="10" t="n">
        <v>1.54</v>
      </c>
      <c r="O51" s="10" t="n">
        <v>1.18</v>
      </c>
      <c r="P51" s="10" t="n">
        <v>1.92</v>
      </c>
      <c r="Q51" s="10" t="n">
        <v>0.85</v>
      </c>
    </row>
    <row r="52">
      <c r="A52" s="6" t="inlineStr">
        <is>
          <t>2026-10-10</t>
        </is>
      </c>
      <c r="B52" s="6" t="inlineStr">
        <is>
          <t>Aston Villa</t>
        </is>
      </c>
      <c r="C52" s="6" t="inlineStr">
        <is>
          <t>Brentford</t>
        </is>
      </c>
      <c r="D52" s="6" t="n">
        <v>2</v>
      </c>
      <c r="E52" s="6" t="n">
        <v>2</v>
      </c>
      <c r="F52" s="9" t="n">
        <v>1.45</v>
      </c>
      <c r="G52" s="9" t="n">
        <v>1.46</v>
      </c>
      <c r="H52" s="9" t="n">
        <v>2.28</v>
      </c>
      <c r="I52" s="9" t="n">
        <v>1.06</v>
      </c>
      <c r="J52" s="9" t="n">
        <v>0.83</v>
      </c>
      <c r="K52" s="9" t="n">
        <v>-0.4</v>
      </c>
      <c r="L52" s="9" t="n">
        <v>1.23</v>
      </c>
      <c r="M52" s="9" t="n">
        <v>0.42</v>
      </c>
      <c r="N52" s="9" t="n">
        <v>2.13</v>
      </c>
      <c r="O52" s="9" t="n">
        <v>0.68</v>
      </c>
      <c r="P52" s="9" t="n">
        <v>1.37</v>
      </c>
      <c r="Q52" s="9" t="n">
        <v>1.38</v>
      </c>
    </row>
    <row r="53">
      <c r="A53" s="8" t="inlineStr">
        <is>
          <t>2026-10-10</t>
        </is>
      </c>
      <c r="B53" s="8" t="inlineStr">
        <is>
          <t>Chelsea</t>
        </is>
      </c>
      <c r="C53" s="8" t="inlineStr">
        <is>
          <t>Bournemouth</t>
        </is>
      </c>
      <c r="D53" s="8" t="n">
        <v>5</v>
      </c>
      <c r="E53" s="8" t="n">
        <v>1</v>
      </c>
      <c r="F53" s="10" t="n">
        <v>2.1</v>
      </c>
      <c r="G53" s="10" t="n">
        <v>1.2</v>
      </c>
      <c r="H53" s="10" t="n">
        <v>1.1</v>
      </c>
      <c r="I53" s="10" t="n">
        <v>1.38</v>
      </c>
      <c r="J53" s="10" t="n">
        <v>-1</v>
      </c>
      <c r="K53" s="10" t="n">
        <v>0.18</v>
      </c>
      <c r="L53" s="10" t="n">
        <v>-1.17</v>
      </c>
      <c r="M53" s="10" t="n">
        <v>-0.82</v>
      </c>
      <c r="N53" s="10" t="n">
        <v>1.17</v>
      </c>
      <c r="O53" s="10" t="n">
        <v>1.57</v>
      </c>
      <c r="P53" s="10" t="n">
        <v>1.95</v>
      </c>
      <c r="Q53" s="10" t="n">
        <v>0.85</v>
      </c>
    </row>
    <row r="54">
      <c r="A54" s="6" t="inlineStr">
        <is>
          <t>2026-10-10</t>
        </is>
      </c>
      <c r="B54" s="6" t="inlineStr">
        <is>
          <t>Manchester United</t>
        </is>
      </c>
      <c r="C54" s="6" t="inlineStr">
        <is>
          <t>Tottenham Hotspur</t>
        </is>
      </c>
      <c r="D54" s="6" t="n">
        <v>1</v>
      </c>
      <c r="E54" s="6" t="n">
        <v>1</v>
      </c>
      <c r="F54" s="9" t="n">
        <v>2.05</v>
      </c>
      <c r="G54" s="9" t="n">
        <v>1.2</v>
      </c>
      <c r="H54" s="9" t="n">
        <v>0.8</v>
      </c>
      <c r="I54" s="9" t="n">
        <v>1.62</v>
      </c>
      <c r="J54" s="9" t="n">
        <v>-1.25</v>
      </c>
      <c r="K54" s="9" t="n">
        <v>0.42</v>
      </c>
      <c r="L54" s="9" t="n">
        <v>-1.67</v>
      </c>
      <c r="M54" s="9" t="n">
        <v>-0.83</v>
      </c>
      <c r="N54" s="9" t="n">
        <v>0.8</v>
      </c>
      <c r="O54" s="9" t="n">
        <v>1.95</v>
      </c>
      <c r="P54" s="9" t="n">
        <v>1.92</v>
      </c>
      <c r="Q54" s="9" t="n">
        <v>0.87</v>
      </c>
    </row>
    <row r="55">
      <c r="A55" s="8" t="inlineStr">
        <is>
          <t>2026-10-10</t>
        </is>
      </c>
      <c r="B55" s="8" t="inlineStr">
        <is>
          <t>Sunderland</t>
        </is>
      </c>
      <c r="C55" s="8" t="inlineStr">
        <is>
          <t>Brighton &amp; Hove Albion</t>
        </is>
      </c>
      <c r="D55" s="8" t="n">
        <v>0</v>
      </c>
      <c r="E55" s="8" t="n">
        <v>2</v>
      </c>
      <c r="F55" s="10" t="n">
        <v>1.27</v>
      </c>
      <c r="G55" s="10" t="n">
        <v>1.53</v>
      </c>
      <c r="H55" s="10" t="n">
        <v>0.72</v>
      </c>
      <c r="I55" s="10" t="n">
        <v>1.41</v>
      </c>
      <c r="J55" s="10" t="n">
        <v>-0.55</v>
      </c>
      <c r="K55" s="10" t="n">
        <v>-0.12</v>
      </c>
      <c r="L55" s="10" t="n">
        <v>-0.43</v>
      </c>
      <c r="M55" s="10" t="n">
        <v>-0.67</v>
      </c>
      <c r="N55" s="10" t="n">
        <v>0.85</v>
      </c>
      <c r="O55" s="10" t="n">
        <v>1.88</v>
      </c>
      <c r="P55" s="10" t="n">
        <v>1.2</v>
      </c>
      <c r="Q55" s="10" t="n">
        <v>1.55</v>
      </c>
    </row>
    <row r="56">
      <c r="A56" s="6" t="inlineStr">
        <is>
          <t>2026-10-10</t>
        </is>
      </c>
      <c r="B56" s="6" t="inlineStr">
        <is>
          <t>Arsenal</t>
        </is>
      </c>
      <c r="C56" s="6" t="inlineStr">
        <is>
          <t>Leeds United</t>
        </is>
      </c>
      <c r="D56" s="6" t="n">
        <v>2</v>
      </c>
      <c r="E56" s="6" t="n">
        <v>1</v>
      </c>
      <c r="F56" s="9" t="n">
        <v>2.07</v>
      </c>
      <c r="G56" s="9" t="n">
        <v>0.72</v>
      </c>
      <c r="H56" s="9" t="n">
        <v>2.33</v>
      </c>
      <c r="I56" s="9" t="n">
        <v>0.62</v>
      </c>
      <c r="J56" s="9" t="n">
        <v>0.26</v>
      </c>
      <c r="K56" s="9" t="n">
        <v>-0.1</v>
      </c>
      <c r="L56" s="9" t="n">
        <v>0.36</v>
      </c>
      <c r="M56" s="9" t="n">
        <v>0.16</v>
      </c>
      <c r="N56" s="9" t="n">
        <v>2.44</v>
      </c>
      <c r="O56" s="9" t="n">
        <v>0.41</v>
      </c>
      <c r="P56" s="9" t="n">
        <v>2.26</v>
      </c>
      <c r="Q56" s="9" t="n">
        <v>0.55</v>
      </c>
    </row>
    <row r="57">
      <c r="A57" s="8" t="inlineStr">
        <is>
          <t>2026-10-10</t>
        </is>
      </c>
      <c r="B57" s="8" t="inlineStr">
        <is>
          <t>Ipswich</t>
        </is>
      </c>
      <c r="C57" s="8" t="inlineStr">
        <is>
          <t>Fulham</t>
        </is>
      </c>
      <c r="D57" s="8" t="n">
        <v>2</v>
      </c>
      <c r="E57" s="8" t="n">
        <v>1</v>
      </c>
      <c r="F57" s="10" t="n">
        <v>1.38</v>
      </c>
      <c r="G57" s="10" t="n">
        <v>1.47</v>
      </c>
      <c r="H57" s="10" t="n">
        <v>1.15</v>
      </c>
      <c r="I57" s="10" t="n">
        <v>1.81</v>
      </c>
      <c r="J57" s="10" t="n">
        <v>-0.23</v>
      </c>
      <c r="K57" s="10" t="n">
        <v>0.34</v>
      </c>
      <c r="L57" s="10" t="n">
        <v>-0.57</v>
      </c>
      <c r="M57" s="10" t="n">
        <v>0.11</v>
      </c>
      <c r="N57" s="10" t="n">
        <v>0.95</v>
      </c>
      <c r="O57" s="10" t="n">
        <v>1.81</v>
      </c>
      <c r="P57" s="10" t="n">
        <v>1.31</v>
      </c>
      <c r="Q57" s="10" t="n">
        <v>1.44</v>
      </c>
    </row>
    <row r="58">
      <c r="A58" s="6" t="inlineStr">
        <is>
          <t>2026-10-11</t>
        </is>
      </c>
      <c r="B58" s="6" t="inlineStr">
        <is>
          <t>Liverpool</t>
        </is>
      </c>
      <c r="C58" s="6" t="inlineStr">
        <is>
          <t>Manchester City</t>
        </is>
      </c>
      <c r="D58" s="6" t="n">
        <v>0</v>
      </c>
      <c r="E58" s="6" t="n">
        <v>3</v>
      </c>
      <c r="F58" s="9" t="n">
        <v>1.52</v>
      </c>
      <c r="G58" s="9" t="n">
        <v>1.6</v>
      </c>
      <c r="H58" s="9" t="n">
        <v>0.9399999999999999</v>
      </c>
      <c r="I58" s="9" t="n">
        <v>1.28</v>
      </c>
      <c r="J58" s="9" t="n">
        <v>-0.58</v>
      </c>
      <c r="K58" s="9" t="n">
        <v>-0.32</v>
      </c>
      <c r="L58" s="9" t="n">
        <v>-0.26</v>
      </c>
      <c r="M58" s="9" t="n">
        <v>-0.91</v>
      </c>
      <c r="N58" s="9" t="n">
        <v>1.1</v>
      </c>
      <c r="O58" s="9" t="n">
        <v>1.61</v>
      </c>
      <c r="P58" s="9" t="n">
        <v>1.33</v>
      </c>
      <c r="Q58" s="9" t="n">
        <v>1.44</v>
      </c>
    </row>
    <row r="59">
      <c r="A59" s="8" t="inlineStr">
        <is>
          <t>2026-10-11</t>
        </is>
      </c>
      <c r="B59" s="8" t="inlineStr">
        <is>
          <t>Hull</t>
        </is>
      </c>
      <c r="C59" s="8" t="inlineStr">
        <is>
          <t>Everton</t>
        </is>
      </c>
      <c r="D59" s="8" t="n">
        <v>2</v>
      </c>
      <c r="E59" s="8" t="n">
        <v>2</v>
      </c>
      <c r="F59" s="10" t="n">
        <v>1.07</v>
      </c>
      <c r="G59" s="10" t="n">
        <v>1.51</v>
      </c>
      <c r="H59" s="10" t="n">
        <v>1.33</v>
      </c>
      <c r="I59" s="10" t="n">
        <v>1.68</v>
      </c>
      <c r="J59" s="10" t="n">
        <v>0.26</v>
      </c>
      <c r="K59" s="10" t="n">
        <v>0.17</v>
      </c>
      <c r="L59" s="10" t="n">
        <v>0.09</v>
      </c>
      <c r="M59" s="10" t="n">
        <v>0.43</v>
      </c>
      <c r="N59" s="10" t="n">
        <v>1.15</v>
      </c>
      <c r="O59" s="10" t="n">
        <v>1.61</v>
      </c>
      <c r="P59" s="10" t="n">
        <v>1.06</v>
      </c>
      <c r="Q59" s="10" t="n">
        <v>1.68</v>
      </c>
    </row>
    <row r="60">
      <c r="A60" s="6" t="inlineStr">
        <is>
          <t>2026-10-11</t>
        </is>
      </c>
      <c r="B60" s="6" t="inlineStr">
        <is>
          <t>Crystal Palace</t>
        </is>
      </c>
      <c r="C60" s="6" t="inlineStr">
        <is>
          <t>Nottingham Forest</t>
        </is>
      </c>
      <c r="D60" s="6" t="n">
        <v>3</v>
      </c>
      <c r="E60" s="6" t="n">
        <v>1</v>
      </c>
      <c r="F60" s="9" t="n">
        <v>1.33</v>
      </c>
      <c r="G60" s="9" t="n">
        <v>1.33</v>
      </c>
      <c r="H60" s="9" t="n">
        <v>2.41</v>
      </c>
      <c r="I60" s="9" t="n">
        <v>3.34</v>
      </c>
      <c r="J60" s="9" t="n">
        <v>1.08</v>
      </c>
      <c r="K60" s="9" t="n">
        <v>2.01</v>
      </c>
      <c r="L60" s="9" t="n">
        <v>-0.93</v>
      </c>
      <c r="M60" s="9" t="n">
        <v>3.09</v>
      </c>
      <c r="N60" s="9" t="n">
        <v>0.98</v>
      </c>
      <c r="O60" s="9" t="n">
        <v>1.86</v>
      </c>
      <c r="P60" s="9" t="n">
        <v>1.37</v>
      </c>
      <c r="Q60" s="9" t="n">
        <v>1.37</v>
      </c>
    </row>
    <row r="61">
      <c r="A61" s="8" t="inlineStr">
        <is>
          <t>2026-10-12</t>
        </is>
      </c>
      <c r="B61" s="8" t="inlineStr">
        <is>
          <t>Coventry</t>
        </is>
      </c>
      <c r="C61" s="8" t="inlineStr">
        <is>
          <t>Newcastle United</t>
        </is>
      </c>
      <c r="D61" s="8" t="n">
        <v>4</v>
      </c>
      <c r="E61" s="8" t="n">
        <v>1</v>
      </c>
      <c r="F61" s="10" t="n">
        <v>1.31</v>
      </c>
      <c r="G61" s="10" t="n">
        <v>1.68</v>
      </c>
      <c r="H61" s="10" t="n">
        <v>1.47</v>
      </c>
      <c r="I61" s="10" t="n">
        <v>1.84</v>
      </c>
      <c r="J61" s="10" t="n">
        <v>0.16</v>
      </c>
      <c r="K61" s="10" t="n">
        <v>0.16</v>
      </c>
      <c r="L61" s="10" t="n">
        <v>0.01</v>
      </c>
      <c r="M61" s="10" t="n">
        <v>0.32</v>
      </c>
      <c r="N61" s="10" t="n">
        <v>1.16</v>
      </c>
      <c r="O61" s="10" t="n">
        <v>1.62</v>
      </c>
      <c r="P61" s="10" t="n">
        <v>1.13</v>
      </c>
      <c r="Q61" s="10" t="n">
        <v>1.63</v>
      </c>
    </row>
    <row r="62">
      <c r="A62" s="6" t="inlineStr">
        <is>
          <t>2026-10-17</t>
        </is>
      </c>
      <c r="B62" s="6" t="inlineStr">
        <is>
          <t>Newcastle United</t>
        </is>
      </c>
      <c r="C62" s="6" t="inlineStr">
        <is>
          <t>Aston Villa</t>
        </is>
      </c>
      <c r="D62" s="6" t="n">
        <v>0</v>
      </c>
      <c r="E62" s="6" t="n">
        <v>1</v>
      </c>
      <c r="F62" s="9" t="n">
        <v>1.65</v>
      </c>
      <c r="G62" s="9" t="n">
        <v>1.41</v>
      </c>
      <c r="H62" s="9" t="n">
        <v>0.99</v>
      </c>
      <c r="I62" s="9" t="n">
        <v>1.57</v>
      </c>
      <c r="J62" s="9" t="n">
        <v>-0.66</v>
      </c>
      <c r="K62" s="9" t="n">
        <v>0.16</v>
      </c>
      <c r="L62" s="9" t="n">
        <v>-0.82</v>
      </c>
      <c r="M62" s="9" t="n">
        <v>-0.5</v>
      </c>
      <c r="N62" s="9" t="n">
        <v>0.97</v>
      </c>
      <c r="O62" s="9" t="n">
        <v>1.78</v>
      </c>
      <c r="P62" s="9" t="n">
        <v>1.54</v>
      </c>
      <c r="Q62" s="9" t="n">
        <v>1.22</v>
      </c>
    </row>
    <row r="63">
      <c r="A63" s="8" t="inlineStr">
        <is>
          <t>2026-10-17</t>
        </is>
      </c>
      <c r="B63" s="8" t="inlineStr">
        <is>
          <t>Fulham</t>
        </is>
      </c>
      <c r="C63" s="8" t="inlineStr">
        <is>
          <t>Hull</t>
        </is>
      </c>
      <c r="D63" s="8" t="n">
        <v>1</v>
      </c>
      <c r="E63" s="8" t="n">
        <v>0</v>
      </c>
      <c r="F63" s="10" t="n">
        <v>1.83</v>
      </c>
      <c r="G63" s="10" t="n">
        <v>1.05</v>
      </c>
      <c r="H63" s="10" t="n">
        <v>1.38</v>
      </c>
      <c r="I63" s="10" t="n">
        <v>0.16</v>
      </c>
      <c r="J63" s="10" t="n">
        <v>-0.45</v>
      </c>
      <c r="K63" s="10" t="n">
        <v>-0.89</v>
      </c>
      <c r="L63" s="10" t="n">
        <v>0.44</v>
      </c>
      <c r="M63" s="10" t="n">
        <v>-1.34</v>
      </c>
      <c r="N63" s="10" t="n">
        <v>2.35</v>
      </c>
      <c r="O63" s="10" t="n">
        <v>0.39</v>
      </c>
      <c r="P63" s="10" t="n">
        <v>1.9</v>
      </c>
      <c r="Q63" s="10" t="n">
        <v>0.88</v>
      </c>
    </row>
    <row r="64">
      <c r="A64" s="6" t="inlineStr">
        <is>
          <t>2026-10-17</t>
        </is>
      </c>
      <c r="B64" s="6" t="inlineStr">
        <is>
          <t>Everton</t>
        </is>
      </c>
      <c r="C64" s="6" t="inlineStr">
        <is>
          <t>Chelsea</t>
        </is>
      </c>
      <c r="D64" s="6" t="n">
        <v>0</v>
      </c>
      <c r="E64" s="6" t="n">
        <v>2</v>
      </c>
      <c r="F64" s="9" t="n">
        <v>1.31</v>
      </c>
      <c r="G64" s="9" t="n">
        <v>1.67</v>
      </c>
      <c r="H64" s="9" t="n">
        <v>0.43</v>
      </c>
      <c r="I64" s="9" t="n">
        <v>1.47</v>
      </c>
      <c r="J64" s="9" t="n">
        <v>-0.88</v>
      </c>
      <c r="K64" s="9" t="n">
        <v>-0.2</v>
      </c>
      <c r="L64" s="9" t="n">
        <v>-0.68</v>
      </c>
      <c r="M64" s="9" t="n">
        <v>-1.09</v>
      </c>
      <c r="N64" s="9" t="n">
        <v>0.58</v>
      </c>
      <c r="O64" s="9" t="n">
        <v>2.16</v>
      </c>
      <c r="P64" s="9" t="n">
        <v>1.14</v>
      </c>
      <c r="Q64" s="9" t="n">
        <v>1.62</v>
      </c>
    </row>
    <row r="65">
      <c r="A65" s="8" t="inlineStr">
        <is>
          <t>2026-10-17</t>
        </is>
      </c>
      <c r="B65" s="8" t="inlineStr">
        <is>
          <t>Brentford</t>
        </is>
      </c>
      <c r="C65" s="8" t="inlineStr">
        <is>
          <t>Liverpool</t>
        </is>
      </c>
      <c r="D65" s="8" t="n">
        <v>1</v>
      </c>
      <c r="E65" s="8" t="n">
        <v>2</v>
      </c>
      <c r="F65" s="10" t="n">
        <v>1.66</v>
      </c>
      <c r="G65" s="10" t="n">
        <v>1.46</v>
      </c>
      <c r="H65" s="10" t="n">
        <v>0.88</v>
      </c>
      <c r="I65" s="10" t="n">
        <v>1.64</v>
      </c>
      <c r="J65" s="10" t="n">
        <v>-0.78</v>
      </c>
      <c r="K65" s="10" t="n">
        <v>0.18</v>
      </c>
      <c r="L65" s="10" t="n">
        <v>-0.96</v>
      </c>
      <c r="M65" s="10" t="n">
        <v>-0.6</v>
      </c>
      <c r="N65" s="10" t="n">
        <v>0.85</v>
      </c>
      <c r="O65" s="10" t="n">
        <v>1.91</v>
      </c>
      <c r="P65" s="10" t="n">
        <v>1.51</v>
      </c>
      <c r="Q65" s="10" t="n">
        <v>1.26</v>
      </c>
    </row>
    <row r="66">
      <c r="A66" s="6" t="inlineStr">
        <is>
          <t>2026-10-17</t>
        </is>
      </c>
      <c r="B66" s="6" t="inlineStr">
        <is>
          <t>Manchester City</t>
        </is>
      </c>
      <c r="C66" s="6" t="inlineStr">
        <is>
          <t>Ipswich</t>
        </is>
      </c>
      <c r="D66" s="6" t="n">
        <v>3</v>
      </c>
      <c r="E66" s="6" t="n">
        <v>2</v>
      </c>
      <c r="F66" s="9" t="n">
        <v>2.76</v>
      </c>
      <c r="G66" s="9" t="n">
        <v>0.79</v>
      </c>
      <c r="H66" s="9" t="n">
        <v>3.35</v>
      </c>
      <c r="I66" s="9" t="n">
        <v>1.86</v>
      </c>
      <c r="J66" s="9" t="n">
        <v>0.59</v>
      </c>
      <c r="K66" s="9" t="n">
        <v>1.07</v>
      </c>
      <c r="L66" s="9" t="n">
        <v>-0.48</v>
      </c>
      <c r="M66" s="9" t="n">
        <v>1.66</v>
      </c>
      <c r="N66" s="9" t="n">
        <v>2.14</v>
      </c>
      <c r="O66" s="9" t="n">
        <v>0.71</v>
      </c>
      <c r="P66" s="9" t="n">
        <v>2.49</v>
      </c>
      <c r="Q66" s="9" t="n">
        <v>0.38</v>
      </c>
    </row>
    <row r="67">
      <c r="A67" s="8" t="inlineStr">
        <is>
          <t>2026-10-18</t>
        </is>
      </c>
      <c r="B67" s="8" t="inlineStr">
        <is>
          <t>Leeds United</t>
        </is>
      </c>
      <c r="C67" s="8" t="inlineStr">
        <is>
          <t>Manchester United</t>
        </is>
      </c>
      <c r="D67" s="8" t="n">
        <v>1</v>
      </c>
      <c r="E67" s="8" t="n">
        <v>1</v>
      </c>
      <c r="F67" s="10" t="n">
        <v>1.59</v>
      </c>
      <c r="G67" s="10" t="n">
        <v>1.41</v>
      </c>
      <c r="H67" s="10" t="n">
        <v>1.41</v>
      </c>
      <c r="I67" s="10" t="n">
        <v>0.92</v>
      </c>
      <c r="J67" s="10" t="n">
        <v>-0.18</v>
      </c>
      <c r="K67" s="10" t="n">
        <v>-0.49</v>
      </c>
      <c r="L67" s="10" t="n">
        <v>0.31</v>
      </c>
      <c r="M67" s="10" t="n">
        <v>-0.67</v>
      </c>
      <c r="N67" s="10" t="n">
        <v>1.72</v>
      </c>
      <c r="O67" s="10" t="n">
        <v>1.01</v>
      </c>
      <c r="P67" s="10" t="n">
        <v>1.5</v>
      </c>
      <c r="Q67" s="10" t="n">
        <v>1.26</v>
      </c>
    </row>
    <row r="68">
      <c r="A68" s="6" t="inlineStr">
        <is>
          <t>2026-10-18</t>
        </is>
      </c>
      <c r="B68" s="6" t="inlineStr">
        <is>
          <t>Bournemouth</t>
        </is>
      </c>
      <c r="C68" s="6" t="inlineStr">
        <is>
          <t>Sunderland</t>
        </is>
      </c>
      <c r="D68" s="6" t="n">
        <v>2</v>
      </c>
      <c r="E68" s="6" t="n">
        <v>0</v>
      </c>
      <c r="F68" s="9" t="n">
        <v>1.61</v>
      </c>
      <c r="G68" s="9" t="n">
        <v>1.17</v>
      </c>
      <c r="H68" s="9" t="n">
        <v>4.23</v>
      </c>
      <c r="I68" s="9" t="n">
        <v>0.07000000000000001</v>
      </c>
      <c r="J68" s="9" t="n">
        <v>2.62</v>
      </c>
      <c r="K68" s="9" t="n">
        <v>-1.1</v>
      </c>
      <c r="L68" s="9" t="n">
        <v>3.72</v>
      </c>
      <c r="M68" s="9" t="n">
        <v>1.52</v>
      </c>
      <c r="N68" s="9" t="n">
        <v>2.95</v>
      </c>
      <c r="O68" s="9" t="n">
        <v>0.02</v>
      </c>
      <c r="P68" s="9" t="n">
        <v>1.68</v>
      </c>
      <c r="Q68" s="9" t="n">
        <v>1.08</v>
      </c>
    </row>
    <row r="69">
      <c r="A69" s="8" t="inlineStr">
        <is>
          <t>2026-10-18</t>
        </is>
      </c>
      <c r="B69" s="8" t="inlineStr">
        <is>
          <t>Nottingham Forest</t>
        </is>
      </c>
      <c r="C69" s="8" t="inlineStr">
        <is>
          <t>Arsenal</t>
        </is>
      </c>
      <c r="D69" s="8" t="n">
        <v>0</v>
      </c>
      <c r="E69" s="8" t="n">
        <v>1</v>
      </c>
      <c r="F69" s="10" t="n">
        <v>0.84</v>
      </c>
      <c r="G69" s="10" t="n">
        <v>1.83</v>
      </c>
      <c r="H69" s="10" t="n">
        <v>0.9</v>
      </c>
      <c r="I69" s="10" t="n">
        <v>1.14</v>
      </c>
      <c r="J69" s="10" t="n">
        <v>0.06</v>
      </c>
      <c r="K69" s="10" t="n">
        <v>-0.6899999999999999</v>
      </c>
      <c r="L69" s="10" t="n">
        <v>0.75</v>
      </c>
      <c r="M69" s="10" t="n">
        <v>-0.63</v>
      </c>
      <c r="N69" s="10" t="n">
        <v>1.16</v>
      </c>
      <c r="O69" s="10" t="n">
        <v>1.54</v>
      </c>
      <c r="P69" s="10" t="n">
        <v>0.73</v>
      </c>
      <c r="Q69" s="10" t="n">
        <v>2.04</v>
      </c>
    </row>
    <row r="70">
      <c r="A70" s="6" t="inlineStr">
        <is>
          <t>2026-10-18</t>
        </is>
      </c>
      <c r="B70" s="6" t="inlineStr">
        <is>
          <t>Brighton &amp; Hove Albion</t>
        </is>
      </c>
      <c r="C70" s="6" t="inlineStr">
        <is>
          <t>Crystal Palace</t>
        </is>
      </c>
      <c r="D70" s="6" t="n">
        <v>5</v>
      </c>
      <c r="E70" s="6" t="n">
        <v>0</v>
      </c>
      <c r="F70" s="9" t="n">
        <v>2.12</v>
      </c>
      <c r="G70" s="9" t="n">
        <v>1.03</v>
      </c>
      <c r="H70" s="9" t="n">
        <v>2</v>
      </c>
      <c r="I70" s="9" t="n">
        <v>0.77</v>
      </c>
      <c r="J70" s="9" t="n">
        <v>-0.12</v>
      </c>
      <c r="K70" s="9" t="n">
        <v>-0.26</v>
      </c>
      <c r="L70" s="9" t="n">
        <v>0.13</v>
      </c>
      <c r="M70" s="9" t="n">
        <v>-0.38</v>
      </c>
      <c r="N70" s="9" t="n">
        <v>2.19</v>
      </c>
      <c r="O70" s="9" t="n">
        <v>0.61</v>
      </c>
      <c r="P70" s="9" t="n">
        <v>2.08</v>
      </c>
      <c r="Q70" s="9" t="n">
        <v>0.72</v>
      </c>
    </row>
    <row r="71">
      <c r="A71" s="8" t="inlineStr">
        <is>
          <t>2026-10-19</t>
        </is>
      </c>
      <c r="B71" s="8" t="inlineStr">
        <is>
          <t>Tottenham Hotspur</t>
        </is>
      </c>
      <c r="C71" s="8" t="inlineStr">
        <is>
          <t>Coventry</t>
        </is>
      </c>
      <c r="D71" s="8" t="n">
        <v>3</v>
      </c>
      <c r="E71" s="8" t="n">
        <v>1</v>
      </c>
      <c r="F71" s="10" t="n">
        <v>2.19</v>
      </c>
      <c r="G71" s="10" t="n">
        <v>0.92</v>
      </c>
      <c r="H71" s="10" t="n">
        <v>0.86</v>
      </c>
      <c r="I71" s="10" t="n">
        <v>0.77</v>
      </c>
      <c r="J71" s="10" t="n">
        <v>-1.33</v>
      </c>
      <c r="K71" s="10" t="n">
        <v>-0.15</v>
      </c>
      <c r="L71" s="10" t="n">
        <v>-1.18</v>
      </c>
      <c r="M71" s="10" t="n">
        <v>-1.48</v>
      </c>
      <c r="N71" s="10" t="n">
        <v>1.4</v>
      </c>
      <c r="O71" s="10" t="n">
        <v>1.25</v>
      </c>
      <c r="P71" s="10" t="n">
        <v>2.18</v>
      </c>
      <c r="Q71" s="10" t="n">
        <v>0.63</v>
      </c>
    </row>
    <row r="72">
      <c r="A72" s="6" t="inlineStr">
        <is>
          <t>2026-10-23</t>
        </is>
      </c>
      <c r="B72" s="6" t="inlineStr">
        <is>
          <t>Ipswich</t>
        </is>
      </c>
      <c r="C72" s="6" t="inlineStr">
        <is>
          <t>Nottingham Forest</t>
        </is>
      </c>
      <c r="D72" s="6" t="n">
        <v>1</v>
      </c>
      <c r="E72" s="6" t="n">
        <v>1</v>
      </c>
      <c r="F72" s="9" t="n">
        <v>1.31</v>
      </c>
      <c r="G72" s="9" t="n">
        <v>1.54</v>
      </c>
      <c r="H72" s="9" t="n">
        <v>0.46</v>
      </c>
      <c r="I72" s="9" t="n">
        <v>2.29</v>
      </c>
      <c r="J72" s="9" t="n">
        <v>-0.85</v>
      </c>
      <c r="K72" s="9" t="n">
        <v>0.75</v>
      </c>
      <c r="L72" s="9" t="n">
        <v>-1.6</v>
      </c>
      <c r="M72" s="9" t="n">
        <v>-0.1</v>
      </c>
      <c r="N72" s="9" t="n">
        <v>0.33</v>
      </c>
      <c r="O72" s="9" t="n">
        <v>2.52</v>
      </c>
      <c r="P72" s="9" t="n">
        <v>1.22</v>
      </c>
      <c r="Q72" s="9" t="n">
        <v>1.53</v>
      </c>
    </row>
    <row r="73">
      <c r="A73" s="8" t="inlineStr">
        <is>
          <t>2026-10-24</t>
        </is>
      </c>
      <c r="B73" s="8" t="inlineStr">
        <is>
          <t>Arsenal</t>
        </is>
      </c>
      <c r="C73" s="8" t="inlineStr">
        <is>
          <t>Everton</t>
        </is>
      </c>
      <c r="D73" s="8" t="n">
        <v>2</v>
      </c>
      <c r="E73" s="8" t="n">
        <v>0</v>
      </c>
      <c r="F73" s="10" t="n">
        <v>2.04</v>
      </c>
      <c r="G73" s="10" t="n">
        <v>0.72</v>
      </c>
      <c r="H73" s="10" t="n">
        <v>1.96</v>
      </c>
      <c r="I73" s="10" t="n">
        <v>0.63</v>
      </c>
      <c r="J73" s="10" t="n">
        <v>-0.08</v>
      </c>
      <c r="K73" s="10" t="n">
        <v>-0.09</v>
      </c>
      <c r="L73" s="10" t="n">
        <v>0</v>
      </c>
      <c r="M73" s="10" t="n">
        <v>-0.17</v>
      </c>
      <c r="N73" s="10" t="n">
        <v>2.27</v>
      </c>
      <c r="O73" s="10" t="n">
        <v>0.53</v>
      </c>
      <c r="P73" s="10" t="n">
        <v>2.25</v>
      </c>
      <c r="Q73" s="10" t="n">
        <v>0.5600000000000001</v>
      </c>
    </row>
    <row r="74">
      <c r="A74" s="6" t="inlineStr">
        <is>
          <t>2026-10-24</t>
        </is>
      </c>
      <c r="B74" s="6" t="inlineStr">
        <is>
          <t>Aston Villa</t>
        </is>
      </c>
      <c r="C74" s="6" t="inlineStr">
        <is>
          <t>Manchester City</t>
        </is>
      </c>
      <c r="D74" s="6" t="n">
        <v>2</v>
      </c>
      <c r="E74" s="6" t="n">
        <v>1</v>
      </c>
      <c r="F74" s="9" t="n">
        <v>1.13</v>
      </c>
      <c r="G74" s="9" t="n">
        <v>2.1</v>
      </c>
      <c r="H74" s="9" t="n">
        <v>0.61</v>
      </c>
      <c r="I74" s="9" t="n">
        <v>1.56</v>
      </c>
      <c r="J74" s="9" t="n">
        <v>-0.52</v>
      </c>
      <c r="K74" s="9" t="n">
        <v>-0.54</v>
      </c>
      <c r="L74" s="9" t="n">
        <v>0.02</v>
      </c>
      <c r="M74" s="9" t="n">
        <v>-1.06</v>
      </c>
      <c r="N74" s="9" t="n">
        <v>0.68</v>
      </c>
      <c r="O74" s="9" t="n">
        <v>2.07</v>
      </c>
      <c r="P74" s="9" t="n">
        <v>0.8</v>
      </c>
      <c r="Q74" s="9" t="n">
        <v>2</v>
      </c>
    </row>
    <row r="75">
      <c r="A75" s="8" t="inlineStr">
        <is>
          <t>2026-10-24</t>
        </is>
      </c>
      <c r="B75" s="8" t="inlineStr">
        <is>
          <t>Chelsea</t>
        </is>
      </c>
      <c r="C75" s="8" t="inlineStr">
        <is>
          <t>Tottenham Hotspur</t>
        </is>
      </c>
      <c r="D75" s="8" t="n">
        <v>0</v>
      </c>
      <c r="E75" s="8" t="n">
        <v>2</v>
      </c>
      <c r="F75" s="10" t="n">
        <v>2.02</v>
      </c>
      <c r="G75" s="10" t="n">
        <v>1.2</v>
      </c>
      <c r="H75" s="10" t="n">
        <v>0.47</v>
      </c>
      <c r="I75" s="10" t="n">
        <v>0.74</v>
      </c>
      <c r="J75" s="10" t="n">
        <v>-1.55</v>
      </c>
      <c r="K75" s="10" t="n">
        <v>-0.46</v>
      </c>
      <c r="L75" s="10" t="n">
        <v>-1.1</v>
      </c>
      <c r="M75" s="10" t="n">
        <v>-2.01</v>
      </c>
      <c r="N75" s="10" t="n">
        <v>1.04</v>
      </c>
      <c r="O75" s="10" t="n">
        <v>1.55</v>
      </c>
      <c r="P75" s="10" t="n">
        <v>1.91</v>
      </c>
      <c r="Q75" s="10" t="n">
        <v>0.88</v>
      </c>
    </row>
    <row r="76">
      <c r="A76" s="6" t="inlineStr">
        <is>
          <t>2026-10-24</t>
        </is>
      </c>
      <c r="B76" s="6" t="inlineStr">
        <is>
          <t>Coventry</t>
        </is>
      </c>
      <c r="C76" s="6" t="inlineStr">
        <is>
          <t>Fulham</t>
        </is>
      </c>
      <c r="D76" s="6" t="n">
        <v>0</v>
      </c>
      <c r="E76" s="6" t="n">
        <v>1</v>
      </c>
      <c r="F76" s="9" t="n">
        <v>1.29</v>
      </c>
      <c r="G76" s="9" t="n">
        <v>1.57</v>
      </c>
      <c r="H76" s="9" t="n">
        <v>0.51</v>
      </c>
      <c r="I76" s="9" t="n">
        <v>0.55</v>
      </c>
      <c r="J76" s="9" t="n">
        <v>-0.78</v>
      </c>
      <c r="K76" s="9" t="n">
        <v>-1.02</v>
      </c>
      <c r="L76" s="9" t="n">
        <v>0.24</v>
      </c>
      <c r="M76" s="9" t="n">
        <v>-1.8</v>
      </c>
      <c r="N76" s="9" t="n">
        <v>1.24</v>
      </c>
      <c r="O76" s="9" t="n">
        <v>1.31</v>
      </c>
      <c r="P76" s="9" t="n">
        <v>1.19</v>
      </c>
      <c r="Q76" s="9" t="n">
        <v>1.56</v>
      </c>
    </row>
    <row r="77">
      <c r="A77" s="8" t="inlineStr">
        <is>
          <t>2026-10-25</t>
        </is>
      </c>
      <c r="B77" s="8" t="inlineStr">
        <is>
          <t>Crystal Palace</t>
        </is>
      </c>
      <c r="C77" s="8" t="inlineStr">
        <is>
          <t>Newcastle United</t>
        </is>
      </c>
      <c r="D77" s="8" t="n">
        <v>0</v>
      </c>
      <c r="E77" s="8" t="n">
        <v>2</v>
      </c>
      <c r="F77" s="10" t="n">
        <v>1.44</v>
      </c>
      <c r="G77" s="10" t="n">
        <v>1.64</v>
      </c>
      <c r="H77" s="10" t="n">
        <v>1.59</v>
      </c>
      <c r="I77" s="10" t="n">
        <v>0.95</v>
      </c>
      <c r="J77" s="10" t="n">
        <v>0.15</v>
      </c>
      <c r="K77" s="10" t="n">
        <v>-0.6899999999999999</v>
      </c>
      <c r="L77" s="10" t="n">
        <v>0.84</v>
      </c>
      <c r="M77" s="10" t="n">
        <v>-0.54</v>
      </c>
      <c r="N77" s="10" t="n">
        <v>1.82</v>
      </c>
      <c r="O77" s="10" t="n">
        <v>0.93</v>
      </c>
      <c r="P77" s="10" t="n">
        <v>1.25</v>
      </c>
      <c r="Q77" s="10" t="n">
        <v>1.51</v>
      </c>
    </row>
    <row r="78">
      <c r="A78" s="6" t="inlineStr">
        <is>
          <t>2026-10-25</t>
        </is>
      </c>
      <c r="B78" s="6" t="inlineStr">
        <is>
          <t>Sunderland</t>
        </is>
      </c>
      <c r="C78" s="6" t="inlineStr">
        <is>
          <t>Leeds United</t>
        </is>
      </c>
      <c r="D78" s="6" t="n">
        <v>0</v>
      </c>
      <c r="E78" s="6" t="n">
        <v>0</v>
      </c>
      <c r="F78" s="9" t="n">
        <v>1.15</v>
      </c>
      <c r="G78" s="9" t="n">
        <v>1.33</v>
      </c>
      <c r="H78" s="9" t="n">
        <v>0.83</v>
      </c>
      <c r="I78" s="9" t="n">
        <v>0.76</v>
      </c>
      <c r="J78" s="9" t="n">
        <v>-0.32</v>
      </c>
      <c r="K78" s="9" t="n">
        <v>-0.57</v>
      </c>
      <c r="L78" s="9" t="n">
        <v>0.26</v>
      </c>
      <c r="M78" s="9" t="n">
        <v>-0.89</v>
      </c>
      <c r="N78" s="9" t="n">
        <v>1.38</v>
      </c>
      <c r="O78" s="9" t="n">
        <v>1.26</v>
      </c>
      <c r="P78" s="9" t="n">
        <v>1.23</v>
      </c>
      <c r="Q78" s="9" t="n">
        <v>1.5</v>
      </c>
    </row>
    <row r="79">
      <c r="A79" s="8" t="inlineStr">
        <is>
          <t>2026-10-25</t>
        </is>
      </c>
      <c r="B79" s="8" t="inlineStr">
        <is>
          <t>Hull</t>
        </is>
      </c>
      <c r="C79" s="8" t="inlineStr">
        <is>
          <t>Brentford</t>
        </is>
      </c>
      <c r="D79" s="8" t="n">
        <v>1</v>
      </c>
      <c r="E79" s="8" t="n">
        <v>1</v>
      </c>
      <c r="F79" s="10" t="n">
        <v>1.06</v>
      </c>
      <c r="G79" s="10" t="n">
        <v>1.91</v>
      </c>
      <c r="H79" s="10" t="n">
        <v>1.57</v>
      </c>
      <c r="I79" s="10" t="n">
        <v>1.74</v>
      </c>
      <c r="J79" s="10" t="n">
        <v>0.51</v>
      </c>
      <c r="K79" s="10" t="n">
        <v>-0.17</v>
      </c>
      <c r="L79" s="10" t="n">
        <v>0.68</v>
      </c>
      <c r="M79" s="10" t="n">
        <v>0.34</v>
      </c>
      <c r="N79" s="10" t="n">
        <v>1.28</v>
      </c>
      <c r="O79" s="10" t="n">
        <v>1.49</v>
      </c>
      <c r="P79" s="10" t="n">
        <v>0.84</v>
      </c>
      <c r="Q79" s="10" t="n">
        <v>1.94</v>
      </c>
    </row>
    <row r="80">
      <c r="A80" s="6" t="inlineStr">
        <is>
          <t>2026-10-25</t>
        </is>
      </c>
      <c r="B80" s="6" t="inlineStr">
        <is>
          <t>Manchester United</t>
        </is>
      </c>
      <c r="C80" s="6" t="inlineStr">
        <is>
          <t>Bournemouth</t>
        </is>
      </c>
      <c r="D80" s="6" t="n">
        <v>0</v>
      </c>
      <c r="E80" s="6" t="n">
        <v>3</v>
      </c>
      <c r="F80" s="9" t="n">
        <v>1.69</v>
      </c>
      <c r="G80" s="9" t="n">
        <v>1.34</v>
      </c>
      <c r="H80" s="9" t="n">
        <v>1.17</v>
      </c>
      <c r="I80" s="9" t="n">
        <v>2.15</v>
      </c>
      <c r="J80" s="9" t="n">
        <v>-0.52</v>
      </c>
      <c r="K80" s="9" t="n">
        <v>0.8</v>
      </c>
      <c r="L80" s="9" t="n">
        <v>-1.32</v>
      </c>
      <c r="M80" s="9" t="n">
        <v>0.29</v>
      </c>
      <c r="N80" s="9" t="n">
        <v>0.8</v>
      </c>
      <c r="O80" s="9" t="n">
        <v>2</v>
      </c>
      <c r="P80" s="9" t="n">
        <v>1.6</v>
      </c>
      <c r="Q80" s="9" t="n">
        <v>1.16</v>
      </c>
    </row>
    <row r="81">
      <c r="A81" s="8" t="inlineStr">
        <is>
          <t>2026-10-25</t>
        </is>
      </c>
      <c r="B81" s="8" t="inlineStr">
        <is>
          <t>Liverpool</t>
        </is>
      </c>
      <c r="C81" s="8" t="inlineStr">
        <is>
          <t>Brighton &amp; Hove Albion</t>
        </is>
      </c>
      <c r="D81" s="8" t="n">
        <v>2</v>
      </c>
      <c r="E81" s="8" t="n">
        <v>0</v>
      </c>
      <c r="F81" s="10" t="n">
        <v>1.77</v>
      </c>
      <c r="G81" s="10" t="n">
        <v>1.37</v>
      </c>
      <c r="H81" s="10" t="n">
        <v>1.2</v>
      </c>
      <c r="I81" s="10" t="n">
        <v>1.32</v>
      </c>
      <c r="J81" s="10" t="n">
        <v>-0.57</v>
      </c>
      <c r="K81" s="10" t="n">
        <v>-0.05</v>
      </c>
      <c r="L81" s="10" t="n">
        <v>-0.52</v>
      </c>
      <c r="M81" s="10" t="n">
        <v>-0.62</v>
      </c>
      <c r="N81" s="10" t="n">
        <v>1.28</v>
      </c>
      <c r="O81" s="10" t="n">
        <v>1.45</v>
      </c>
      <c r="P81" s="10" t="n">
        <v>1.64</v>
      </c>
      <c r="Q81" s="10" t="n">
        <v>1.13</v>
      </c>
    </row>
  </sheetData>
  <autoFilter ref="A1:Q81"/>
  <conditionalFormatting sqref="J2:J81">
    <cfRule type="colorScale" priority="1">
      <colorScale>
        <cfvo type="min"/>
        <cfvo type="num" val="0"/>
        <cfvo type="max"/>
        <color rgb="00F8696B"/>
        <color rgb="00FFFFFF"/>
        <color rgb="0063BE7B"/>
      </colorScale>
    </cfRule>
  </conditionalFormatting>
  <conditionalFormatting sqref="K2:K81">
    <cfRule type="colorScale" priority="2">
      <colorScale>
        <cfvo type="min"/>
        <cfvo type="num" val="0"/>
        <cfvo type="max"/>
        <color rgb="00F8696B"/>
        <color rgb="00FFFFFF"/>
        <color rgb="0063BE7B"/>
      </colorScale>
    </cfRule>
  </conditionalFormatting>
  <conditionalFormatting sqref="L2:L81">
    <cfRule type="colorScale" priority="3">
      <colorScale>
        <cfvo type="min"/>
        <cfvo type="num" val="0"/>
        <cfvo type="max"/>
        <color rgb="00F8696B"/>
        <color rgb="00FFFFFF"/>
        <color rgb="0063BE7B"/>
      </colorScale>
    </cfRule>
  </conditionalFormatting>
  <conditionalFormatting sqref="M2:M81">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5"/>
  <sheetViews>
    <sheetView showGridLines="0" workbookViewId="0">
      <pane ySplit="2" topLeftCell="A3" activePane="bottomLeft" state="frozen"/>
      <selection pane="bottomLeft" activeCell="A1" sqref="A1"/>
    </sheetView>
  </sheetViews>
  <sheetFormatPr baseColWidth="8" defaultRowHeight="15"/>
  <cols>
    <col width="23"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Bournemouth</t>
        </is>
      </c>
      <c r="B3" s="9" t="n">
        <v>0.93</v>
      </c>
      <c r="C3" s="9" t="n">
        <v>1.1</v>
      </c>
      <c r="D3" s="9" t="n">
        <v>1.07</v>
      </c>
      <c r="E3" s="9" t="n">
        <v>0.53</v>
      </c>
      <c r="F3" s="9" t="n">
        <v>0.79</v>
      </c>
      <c r="G3" s="9" t="n">
        <v>1.1</v>
      </c>
    </row>
    <row r="4">
      <c r="A4" s="8" t="inlineStr">
        <is>
          <t>Nottingham Forest</t>
        </is>
      </c>
      <c r="B4" s="10" t="n">
        <v>0.73</v>
      </c>
      <c r="C4" s="10" t="n">
        <v>0.84</v>
      </c>
      <c r="D4" s="10" t="n">
        <v>-0.04</v>
      </c>
      <c r="E4" s="10" t="n">
        <v>-0.16</v>
      </c>
      <c r="F4" s="10" t="n">
        <v>1.49</v>
      </c>
      <c r="G4" s="10" t="n">
        <v>1.64</v>
      </c>
    </row>
    <row r="5">
      <c r="A5" s="6" t="inlineStr">
        <is>
          <t>Brighton &amp; Hove Albion</t>
        </is>
      </c>
      <c r="B5" s="9" t="n">
        <v>0.51</v>
      </c>
      <c r="C5" s="9" t="n">
        <v>0.47</v>
      </c>
      <c r="D5" s="9" t="n">
        <v>0.76</v>
      </c>
      <c r="E5" s="9" t="n">
        <v>0.34</v>
      </c>
      <c r="F5" s="9" t="n">
        <v>0.25</v>
      </c>
      <c r="G5" s="9" t="n">
        <v>0.47</v>
      </c>
    </row>
    <row r="6">
      <c r="A6" s="8" t="inlineStr">
        <is>
          <t>Hull</t>
        </is>
      </c>
      <c r="B6" s="10" t="n">
        <v>0.47</v>
      </c>
      <c r="C6" s="10" t="n">
        <v>0.36</v>
      </c>
      <c r="D6" s="10" t="n">
        <v>0.17</v>
      </c>
      <c r="E6" s="10" t="n">
        <v>0.36</v>
      </c>
      <c r="F6" s="10" t="n">
        <v>0.77</v>
      </c>
      <c r="G6" s="10" t="n">
        <v>0.58</v>
      </c>
    </row>
    <row r="7">
      <c r="A7" s="6" t="inlineStr">
        <is>
          <t>Coventry</t>
        </is>
      </c>
      <c r="B7" s="9" t="n">
        <v>0.34</v>
      </c>
      <c r="C7" s="9" t="n">
        <v>0.26</v>
      </c>
      <c r="D7" s="9" t="n">
        <v>-0.17</v>
      </c>
      <c r="E7" s="9" t="n">
        <v>-0.01</v>
      </c>
      <c r="F7" s="9" t="n">
        <v>0.86</v>
      </c>
      <c r="G7" s="9" t="n">
        <v>0.88</v>
      </c>
    </row>
    <row r="8">
      <c r="A8" s="8" t="inlineStr">
        <is>
          <t>Fulham</t>
        </is>
      </c>
      <c r="B8" s="10" t="n">
        <v>0.21</v>
      </c>
      <c r="C8" s="10" t="n">
        <v>0.47</v>
      </c>
      <c r="D8" s="10" t="n">
        <v>0.37</v>
      </c>
      <c r="E8" s="10" t="n">
        <v>0.47</v>
      </c>
      <c r="F8" s="10" t="n">
        <v>0.04</v>
      </c>
      <c r="G8" s="10" t="n">
        <v>0.16</v>
      </c>
    </row>
    <row r="9">
      <c r="A9" s="6" t="inlineStr">
        <is>
          <t>Ipswich</t>
        </is>
      </c>
      <c r="B9" s="9" t="n">
        <v>0.12</v>
      </c>
      <c r="C9" s="9" t="n">
        <v>0.22</v>
      </c>
      <c r="D9" s="9" t="n">
        <v>0.05</v>
      </c>
      <c r="E9" s="9" t="n">
        <v>0.29</v>
      </c>
      <c r="F9" s="9" t="n">
        <v>0.18</v>
      </c>
      <c r="G9" s="9" t="n">
        <v>0.22</v>
      </c>
    </row>
    <row r="10">
      <c r="A10" s="8" t="inlineStr">
        <is>
          <t>Leeds United</t>
        </is>
      </c>
      <c r="B10" s="10" t="n">
        <v>0.09</v>
      </c>
      <c r="C10" s="10" t="n">
        <v>-0.1</v>
      </c>
      <c r="D10" s="10" t="n">
        <v>0.12</v>
      </c>
      <c r="E10" s="10" t="n">
        <v>0.04</v>
      </c>
      <c r="F10" s="10" t="n">
        <v>0.06</v>
      </c>
      <c r="G10" s="10" t="n">
        <v>-0.11</v>
      </c>
    </row>
    <row r="11">
      <c r="A11" s="6" t="inlineStr">
        <is>
          <t>Sunderland</t>
        </is>
      </c>
      <c r="B11" s="9" t="n">
        <v>0.09</v>
      </c>
      <c r="C11" s="9" t="n">
        <v>0.57</v>
      </c>
      <c r="D11" s="9" t="n">
        <v>0.45</v>
      </c>
      <c r="E11" s="9" t="n">
        <v>0.57</v>
      </c>
      <c r="F11" s="9" t="n">
        <v>-0.27</v>
      </c>
      <c r="G11" s="9" t="n">
        <v>0.14</v>
      </c>
    </row>
    <row r="12">
      <c r="A12" s="8" t="inlineStr">
        <is>
          <t>Brentford</t>
        </is>
      </c>
      <c r="B12" s="10" t="n">
        <v>-0.03</v>
      </c>
      <c r="C12" s="10" t="n">
        <v>-0.82</v>
      </c>
      <c r="D12" s="10" t="n">
        <v>0.66</v>
      </c>
      <c r="E12" s="10" t="n">
        <v>0.45</v>
      </c>
      <c r="F12" s="10" t="n">
        <v>-0.71</v>
      </c>
      <c r="G12" s="10" t="n">
        <v>-0.9399999999999999</v>
      </c>
    </row>
    <row r="13">
      <c r="A13" s="6" t="inlineStr">
        <is>
          <t>Everton</t>
        </is>
      </c>
      <c r="B13" s="9" t="n">
        <v>-0.03</v>
      </c>
      <c r="C13" s="9" t="n">
        <v>0.02</v>
      </c>
      <c r="D13" s="9" t="n">
        <v>-0.28</v>
      </c>
      <c r="E13" s="9" t="n">
        <v>-0.32</v>
      </c>
      <c r="F13" s="9" t="n">
        <v>0.23</v>
      </c>
      <c r="G13" s="9" t="n">
        <v>0.06</v>
      </c>
    </row>
    <row r="14">
      <c r="A14" s="8" t="inlineStr">
        <is>
          <t>Aston Villa</t>
        </is>
      </c>
      <c r="B14" s="10" t="n">
        <v>-0.2</v>
      </c>
      <c r="C14" s="10" t="n">
        <v>0.27</v>
      </c>
      <c r="D14" s="10" t="n">
        <v>-0.04</v>
      </c>
      <c r="E14" s="10" t="n">
        <v>0.19</v>
      </c>
      <c r="F14" s="10" t="n">
        <v>-0.37</v>
      </c>
      <c r="G14" s="10" t="n">
        <v>0.45</v>
      </c>
    </row>
    <row r="15">
      <c r="A15" s="6" t="inlineStr">
        <is>
          <t>Crystal Palace</t>
        </is>
      </c>
      <c r="B15" s="9" t="n">
        <v>-0.22</v>
      </c>
      <c r="C15" s="9" t="n">
        <v>-0.41</v>
      </c>
      <c r="D15" s="9" t="n">
        <v>-0.61</v>
      </c>
      <c r="E15" s="9" t="n">
        <v>-0.8100000000000001</v>
      </c>
      <c r="F15" s="9" t="n">
        <v>0.17</v>
      </c>
      <c r="G15" s="9" t="n">
        <v>0.22</v>
      </c>
    </row>
    <row r="16">
      <c r="A16" s="8" t="inlineStr">
        <is>
          <t>Arsenal</t>
        </is>
      </c>
      <c r="B16" s="10" t="n">
        <v>-0.24</v>
      </c>
      <c r="C16" s="10" t="n">
        <v>-0.32</v>
      </c>
      <c r="D16" s="10" t="n">
        <v>0.21</v>
      </c>
      <c r="E16" s="10" t="n">
        <v>0.18</v>
      </c>
      <c r="F16" s="10" t="n">
        <v>-0.6899999999999999</v>
      </c>
      <c r="G16" s="10" t="n">
        <v>-0.65</v>
      </c>
    </row>
    <row r="17">
      <c r="A17" s="6" t="inlineStr">
        <is>
          <t>Liverpool</t>
        </is>
      </c>
      <c r="B17" s="9" t="n">
        <v>-0.27</v>
      </c>
      <c r="C17" s="9" t="n">
        <v>-0.39</v>
      </c>
      <c r="D17" s="9" t="n">
        <v>-0.8</v>
      </c>
      <c r="E17" s="9" t="n">
        <v>-0.62</v>
      </c>
      <c r="F17" s="9" t="n">
        <v>0.25</v>
      </c>
      <c r="G17" s="9" t="n">
        <v>0.63</v>
      </c>
    </row>
    <row r="18">
      <c r="A18" s="8" t="inlineStr">
        <is>
          <t>Tottenham Hotspur</t>
        </is>
      </c>
      <c r="B18" s="10" t="n">
        <v>-0.27</v>
      </c>
      <c r="C18" s="10" t="n">
        <v>0</v>
      </c>
      <c r="D18" s="10" t="n">
        <v>-0.51</v>
      </c>
      <c r="E18" s="10" t="n">
        <v>-0.53</v>
      </c>
      <c r="F18" s="10" t="n">
        <v>-0.03</v>
      </c>
      <c r="G18" s="10" t="n">
        <v>0.7</v>
      </c>
    </row>
    <row r="19">
      <c r="A19" s="6" t="inlineStr">
        <is>
          <t>Manchester City</t>
        </is>
      </c>
      <c r="B19" s="9" t="n">
        <v>-0.4</v>
      </c>
      <c r="C19" s="9" t="n">
        <v>-0.15</v>
      </c>
      <c r="D19" s="9" t="n">
        <v>-0.96</v>
      </c>
      <c r="E19" s="9" t="n">
        <v>-0.93</v>
      </c>
      <c r="F19" s="9" t="n">
        <v>0.16</v>
      </c>
      <c r="G19" s="9" t="n">
        <v>0.12</v>
      </c>
    </row>
    <row r="20">
      <c r="A20" s="8" t="inlineStr">
        <is>
          <t>Manchester United</t>
        </is>
      </c>
      <c r="B20" s="10" t="n">
        <v>-0.43</v>
      </c>
      <c r="C20" s="10" t="n">
        <v>-0.57</v>
      </c>
      <c r="D20" s="10" t="n">
        <v>-0.33</v>
      </c>
      <c r="E20" s="10" t="n">
        <v>-0.52</v>
      </c>
      <c r="F20" s="10" t="n">
        <v>-0.54</v>
      </c>
      <c r="G20" s="10" t="n">
        <v>-0.57</v>
      </c>
    </row>
    <row r="21">
      <c r="A21" s="6" t="inlineStr">
        <is>
          <t>Chelsea</t>
        </is>
      </c>
      <c r="B21" s="9" t="n">
        <v>-0.67</v>
      </c>
      <c r="C21" s="9" t="n">
        <v>-0.9399999999999999</v>
      </c>
      <c r="D21" s="9" t="n">
        <v>-0.95</v>
      </c>
      <c r="E21" s="9" t="n">
        <v>-1.14</v>
      </c>
      <c r="F21" s="9" t="n">
        <v>-0.4</v>
      </c>
      <c r="G21" s="9" t="n">
        <v>-0.21</v>
      </c>
    </row>
    <row r="22">
      <c r="A22" s="8" t="inlineStr">
        <is>
          <t>Newcastle United</t>
        </is>
      </c>
      <c r="B22" s="10" t="n">
        <v>-0.72</v>
      </c>
      <c r="C22" s="10" t="n">
        <v>-0.83</v>
      </c>
      <c r="D22" s="10" t="n">
        <v>-0.9399999999999999</v>
      </c>
      <c r="E22" s="10" t="n">
        <v>-0.93</v>
      </c>
      <c r="F22" s="10" t="n">
        <v>-0.5</v>
      </c>
      <c r="G22" s="10" t="n">
        <v>-0.51</v>
      </c>
    </row>
    <row r="24">
      <c r="A24" s="13" t="inlineStr">
        <is>
          <t>Total Goals - Total / Home / Away</t>
        </is>
      </c>
    </row>
    <row r="25" ht="30" customHeight="1">
      <c r="A25" s="4" t="inlineStr">
        <is>
          <t>Team</t>
        </is>
      </c>
      <c r="B25" s="4" t="inlineStr">
        <is>
          <t>Total GF</t>
        </is>
      </c>
      <c r="C25" s="4" t="inlineStr">
        <is>
          <t>Total GA</t>
        </is>
      </c>
      <c r="D25" s="4" t="inlineStr">
        <is>
          <t>Home GF</t>
        </is>
      </c>
      <c r="E25" s="4" t="inlineStr">
        <is>
          <t>Home GA</t>
        </is>
      </c>
      <c r="F25" s="4" t="inlineStr">
        <is>
          <t>Away GF</t>
        </is>
      </c>
      <c r="G25" s="4" t="inlineStr">
        <is>
          <t>Away GA</t>
        </is>
      </c>
    </row>
    <row r="26">
      <c r="A26" s="6" t="inlineStr">
        <is>
          <t>Bournemouth</t>
        </is>
      </c>
      <c r="B26" s="6" t="n">
        <v>12</v>
      </c>
      <c r="C26" s="6" t="n">
        <v>13</v>
      </c>
      <c r="D26" s="6" t="n">
        <v>5</v>
      </c>
      <c r="E26" s="6" t="n">
        <v>4</v>
      </c>
      <c r="F26" s="6" t="n">
        <v>7</v>
      </c>
      <c r="G26" s="6" t="n">
        <v>9</v>
      </c>
    </row>
    <row r="27">
      <c r="A27" s="8" t="inlineStr">
        <is>
          <t>Nottingham Forest</t>
        </is>
      </c>
      <c r="B27" s="8" t="n">
        <v>6</v>
      </c>
      <c r="C27" s="8" t="n">
        <v>10</v>
      </c>
      <c r="D27" s="8" t="n">
        <v>0</v>
      </c>
      <c r="E27" s="8" t="n">
        <v>3</v>
      </c>
      <c r="F27" s="8" t="n">
        <v>6</v>
      </c>
      <c r="G27" s="8" t="n">
        <v>7</v>
      </c>
    </row>
    <row r="28">
      <c r="A28" s="6" t="inlineStr">
        <is>
          <t>Brighton &amp; Hove Albion</t>
        </is>
      </c>
      <c r="B28" s="6" t="n">
        <v>23</v>
      </c>
      <c r="C28" s="6" t="n">
        <v>7</v>
      </c>
      <c r="D28" s="6" t="n">
        <v>13</v>
      </c>
      <c r="E28" s="6" t="n">
        <v>1</v>
      </c>
      <c r="F28" s="6" t="n">
        <v>10</v>
      </c>
      <c r="G28" s="6" t="n">
        <v>6</v>
      </c>
    </row>
    <row r="29">
      <c r="A29" s="8" t="inlineStr">
        <is>
          <t>Hull</t>
        </is>
      </c>
      <c r="B29" s="8" t="n">
        <v>9</v>
      </c>
      <c r="C29" s="8" t="n">
        <v>8</v>
      </c>
      <c r="D29" s="8" t="n">
        <v>5</v>
      </c>
      <c r="E29" s="8" t="n">
        <v>3</v>
      </c>
      <c r="F29" s="8" t="n">
        <v>4</v>
      </c>
      <c r="G29" s="8" t="n">
        <v>5</v>
      </c>
    </row>
    <row r="30">
      <c r="A30" s="6" t="inlineStr">
        <is>
          <t>Coventry</t>
        </is>
      </c>
      <c r="B30" s="6" t="n">
        <v>6</v>
      </c>
      <c r="C30" s="6" t="n">
        <v>15</v>
      </c>
      <c r="D30" s="6" t="n">
        <v>4</v>
      </c>
      <c r="E30" s="6" t="n">
        <v>8</v>
      </c>
      <c r="F30" s="6" t="n">
        <v>2</v>
      </c>
      <c r="G30" s="6" t="n">
        <v>7</v>
      </c>
    </row>
    <row r="31">
      <c r="A31" s="8" t="inlineStr">
        <is>
          <t>Fulham</t>
        </is>
      </c>
      <c r="B31" s="8" t="n">
        <v>8</v>
      </c>
      <c r="C31" s="8" t="n">
        <v>10</v>
      </c>
      <c r="D31" s="8" t="n">
        <v>6</v>
      </c>
      <c r="E31" s="8" t="n">
        <v>7</v>
      </c>
      <c r="F31" s="8" t="n">
        <v>2</v>
      </c>
      <c r="G31" s="8" t="n">
        <v>3</v>
      </c>
    </row>
    <row r="32">
      <c r="A32" s="6" t="inlineStr">
        <is>
          <t>Ipswich</t>
        </is>
      </c>
      <c r="B32" s="6" t="n">
        <v>12</v>
      </c>
      <c r="C32" s="6" t="n">
        <v>16</v>
      </c>
      <c r="D32" s="6" t="n">
        <v>5</v>
      </c>
      <c r="E32" s="6" t="n">
        <v>5</v>
      </c>
      <c r="F32" s="6" t="n">
        <v>7</v>
      </c>
      <c r="G32" s="6" t="n">
        <v>11</v>
      </c>
    </row>
    <row r="33">
      <c r="A33" s="8" t="inlineStr">
        <is>
          <t>Leeds United</t>
        </is>
      </c>
      <c r="B33" s="8" t="n">
        <v>9</v>
      </c>
      <c r="C33" s="8" t="n">
        <v>6</v>
      </c>
      <c r="D33" s="8" t="n">
        <v>6</v>
      </c>
      <c r="E33" s="8" t="n">
        <v>3</v>
      </c>
      <c r="F33" s="8" t="n">
        <v>3</v>
      </c>
      <c r="G33" s="8" t="n">
        <v>3</v>
      </c>
    </row>
    <row r="34">
      <c r="A34" s="6" t="inlineStr">
        <is>
          <t>Sunderland</t>
        </is>
      </c>
      <c r="B34" s="6" t="n">
        <v>6</v>
      </c>
      <c r="C34" s="6" t="n">
        <v>14</v>
      </c>
      <c r="D34" s="6" t="n">
        <v>1</v>
      </c>
      <c r="E34" s="6" t="n">
        <v>4</v>
      </c>
      <c r="F34" s="6" t="n">
        <v>5</v>
      </c>
      <c r="G34" s="6" t="n">
        <v>10</v>
      </c>
    </row>
    <row r="35">
      <c r="A35" s="8" t="inlineStr">
        <is>
          <t>Brentford</t>
        </is>
      </c>
      <c r="B35" s="8" t="n">
        <v>14</v>
      </c>
      <c r="C35" s="8" t="n">
        <v>9</v>
      </c>
      <c r="D35" s="8" t="n">
        <v>8</v>
      </c>
      <c r="E35" s="8" t="n">
        <v>3</v>
      </c>
      <c r="F35" s="8" t="n">
        <v>6</v>
      </c>
      <c r="G35" s="8" t="n">
        <v>6</v>
      </c>
    </row>
    <row r="36">
      <c r="A36" s="6" t="inlineStr">
        <is>
          <t>Everton</t>
        </is>
      </c>
      <c r="B36" s="6" t="n">
        <v>8</v>
      </c>
      <c r="C36" s="6" t="n">
        <v>9</v>
      </c>
      <c r="D36" s="6" t="n">
        <v>5</v>
      </c>
      <c r="E36" s="6" t="n">
        <v>4</v>
      </c>
      <c r="F36" s="6" t="n">
        <v>3</v>
      </c>
      <c r="G36" s="6" t="n">
        <v>5</v>
      </c>
    </row>
    <row r="37">
      <c r="A37" s="8" t="inlineStr">
        <is>
          <t>Aston Villa</t>
        </is>
      </c>
      <c r="B37" s="8" t="n">
        <v>9</v>
      </c>
      <c r="C37" s="8" t="n">
        <v>12</v>
      </c>
      <c r="D37" s="8" t="n">
        <v>5</v>
      </c>
      <c r="E37" s="8" t="n">
        <v>6</v>
      </c>
      <c r="F37" s="8" t="n">
        <v>4</v>
      </c>
      <c r="G37" s="8" t="n">
        <v>6</v>
      </c>
    </row>
    <row r="38">
      <c r="A38" s="6" t="inlineStr">
        <is>
          <t>Crystal Palace</t>
        </is>
      </c>
      <c r="B38" s="6" t="n">
        <v>9</v>
      </c>
      <c r="C38" s="6" t="n">
        <v>19</v>
      </c>
      <c r="D38" s="6" t="n">
        <v>6</v>
      </c>
      <c r="E38" s="6" t="n">
        <v>10</v>
      </c>
      <c r="F38" s="6" t="n">
        <v>3</v>
      </c>
      <c r="G38" s="6" t="n">
        <v>9</v>
      </c>
    </row>
    <row r="39">
      <c r="A39" s="8" t="inlineStr">
        <is>
          <t>Arsenal</t>
        </is>
      </c>
      <c r="B39" s="8" t="n">
        <v>13</v>
      </c>
      <c r="C39" s="8" t="n">
        <v>5</v>
      </c>
      <c r="D39" s="8" t="n">
        <v>9</v>
      </c>
      <c r="E39" s="8" t="n">
        <v>2</v>
      </c>
      <c r="F39" s="8" t="n">
        <v>4</v>
      </c>
      <c r="G39" s="8" t="n">
        <v>3</v>
      </c>
    </row>
    <row r="40">
      <c r="A40" s="6" t="inlineStr">
        <is>
          <t>Liverpool</t>
        </is>
      </c>
      <c r="B40" s="6" t="n">
        <v>11</v>
      </c>
      <c r="C40" s="6" t="n">
        <v>8</v>
      </c>
      <c r="D40" s="6" t="n">
        <v>4</v>
      </c>
      <c r="E40" s="6" t="n">
        <v>5</v>
      </c>
      <c r="F40" s="6" t="n">
        <v>7</v>
      </c>
      <c r="G40" s="6" t="n">
        <v>3</v>
      </c>
    </row>
    <row r="41">
      <c r="A41" s="8" t="inlineStr">
        <is>
          <t>Tottenham Hotspur</t>
        </is>
      </c>
      <c r="B41" s="8" t="n">
        <v>8</v>
      </c>
      <c r="C41" s="8" t="n">
        <v>10</v>
      </c>
      <c r="D41" s="8" t="n">
        <v>5</v>
      </c>
      <c r="E41" s="8" t="n">
        <v>6</v>
      </c>
      <c r="F41" s="8" t="n">
        <v>3</v>
      </c>
      <c r="G41" s="8" t="n">
        <v>4</v>
      </c>
    </row>
    <row r="42">
      <c r="A42" s="6" t="inlineStr">
        <is>
          <t>Manchester City</t>
        </is>
      </c>
      <c r="B42" s="6" t="n">
        <v>20</v>
      </c>
      <c r="C42" s="6" t="n">
        <v>9</v>
      </c>
      <c r="D42" s="6" t="n">
        <v>11</v>
      </c>
      <c r="E42" s="6" t="n">
        <v>6</v>
      </c>
      <c r="F42" s="6" t="n">
        <v>9</v>
      </c>
      <c r="G42" s="6" t="n">
        <v>3</v>
      </c>
    </row>
    <row r="43">
      <c r="A43" s="8" t="inlineStr">
        <is>
          <t>Manchester United</t>
        </is>
      </c>
      <c r="B43" s="8" t="n">
        <v>10</v>
      </c>
      <c r="C43" s="8" t="n">
        <v>13</v>
      </c>
      <c r="D43" s="8" t="n">
        <v>6</v>
      </c>
      <c r="E43" s="8" t="n">
        <v>7</v>
      </c>
      <c r="F43" s="8" t="n">
        <v>4</v>
      </c>
      <c r="G43" s="8" t="n">
        <v>6</v>
      </c>
    </row>
    <row r="44">
      <c r="A44" s="6" t="inlineStr">
        <is>
          <t>Chelsea</t>
        </is>
      </c>
      <c r="B44" s="6" t="n">
        <v>17</v>
      </c>
      <c r="C44" s="6" t="n">
        <v>15</v>
      </c>
      <c r="D44" s="6" t="n">
        <v>11</v>
      </c>
      <c r="E44" s="6" t="n">
        <v>8</v>
      </c>
      <c r="F44" s="6" t="n">
        <v>6</v>
      </c>
      <c r="G44" s="6" t="n">
        <v>7</v>
      </c>
    </row>
    <row r="45">
      <c r="A45" s="8" t="inlineStr">
        <is>
          <t>Newcastle United</t>
        </is>
      </c>
      <c r="B45" s="8" t="n">
        <v>12</v>
      </c>
      <c r="C45" s="8" t="n">
        <v>14</v>
      </c>
      <c r="D45" s="8" t="n">
        <v>6</v>
      </c>
      <c r="E45" s="8" t="n">
        <v>6</v>
      </c>
      <c r="F45" s="8" t="n">
        <v>6</v>
      </c>
      <c r="G45" s="8" t="n">
        <v>8</v>
      </c>
    </row>
  </sheetData>
  <mergeCells count="2">
    <mergeCell ref="A24:G24"/>
    <mergeCell ref="A1:G1"/>
  </mergeCells>
  <conditionalFormatting sqref="B3:B22">
    <cfRule type="colorScale" priority="1">
      <colorScale>
        <cfvo type="min"/>
        <cfvo type="num" val="0"/>
        <cfvo type="max"/>
        <color rgb="00F8696B"/>
        <color rgb="00FFFFFF"/>
        <color rgb="0063BE7B"/>
      </colorScale>
    </cfRule>
  </conditionalFormatting>
  <conditionalFormatting sqref="C3:C22">
    <cfRule type="colorScale" priority="2">
      <colorScale>
        <cfvo type="min"/>
        <cfvo type="num" val="0"/>
        <cfvo type="max"/>
        <color rgb="00F8696B"/>
        <color rgb="00FFFFFF"/>
        <color rgb="0063BE7B"/>
      </colorScale>
    </cfRule>
  </conditionalFormatting>
  <conditionalFormatting sqref="D3:D22">
    <cfRule type="colorScale" priority="3">
      <colorScale>
        <cfvo type="min"/>
        <cfvo type="num" val="0"/>
        <cfvo type="max"/>
        <color rgb="00F8696B"/>
        <color rgb="00FFFFFF"/>
        <color rgb="0063BE7B"/>
      </colorScale>
    </cfRule>
  </conditionalFormatting>
  <conditionalFormatting sqref="E3:E22">
    <cfRule type="colorScale" priority="4">
      <colorScale>
        <cfvo type="min"/>
        <cfvo type="num" val="0"/>
        <cfvo type="max"/>
        <color rgb="00F8696B"/>
        <color rgb="00FFFFFF"/>
        <color rgb="0063BE7B"/>
      </colorScale>
    </cfRule>
  </conditionalFormatting>
  <conditionalFormatting sqref="F3:F22">
    <cfRule type="colorScale" priority="5">
      <colorScale>
        <cfvo type="min"/>
        <cfvo type="num" val="0"/>
        <cfvo type="max"/>
        <color rgb="00F8696B"/>
        <color rgb="00FFFFFF"/>
        <color rgb="0063BE7B"/>
      </colorScale>
    </cfRule>
  </conditionalFormatting>
  <conditionalFormatting sqref="G3:G22">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Bournemouth</t>
        </is>
      </c>
      <c r="B2" s="14">
        <f>'Bournemouth'!$E$23</f>
        <v/>
      </c>
      <c r="C2" s="9">
        <f>'Bournemouth'!$R$2</f>
        <v/>
      </c>
      <c r="D2" s="9">
        <f>'Bournemouth'!$R$3</f>
        <v/>
      </c>
      <c r="E2" s="9">
        <f>'Bournemouth'!$R$4</f>
        <v/>
      </c>
      <c r="F2" s="9">
        <f>'Bournemouth'!$R$5</f>
        <v/>
      </c>
      <c r="G2" s="9">
        <f>'Bournemouth'!$R$6</f>
        <v/>
      </c>
      <c r="H2" s="9">
        <f>'Bournemouth'!$R$7</f>
        <v/>
      </c>
      <c r="I2" s="9">
        <f>'Bournemouth'!$R$8</f>
        <v/>
      </c>
      <c r="J2" s="9">
        <f>'Bournemouth'!$R$9</f>
        <v/>
      </c>
    </row>
    <row r="3">
      <c r="A3" s="6" t="inlineStr">
        <is>
          <t>Nottingham Forest</t>
        </is>
      </c>
      <c r="B3" s="14">
        <f>'Nottingham Forest'!$E$23</f>
        <v/>
      </c>
      <c r="C3" s="9">
        <f>'Nottingham Forest'!$R$2</f>
        <v/>
      </c>
      <c r="D3" s="9">
        <f>'Nottingham Forest'!$R$3</f>
        <v/>
      </c>
      <c r="E3" s="9">
        <f>'Nottingham Forest'!$R$4</f>
        <v/>
      </c>
      <c r="F3" s="9">
        <f>'Nottingham Forest'!$R$5</f>
        <v/>
      </c>
      <c r="G3" s="9">
        <f>'Nottingham Forest'!$R$6</f>
        <v/>
      </c>
      <c r="H3" s="9">
        <f>'Nottingham Forest'!$R$7</f>
        <v/>
      </c>
      <c r="I3" s="9">
        <f>'Nottingham Forest'!$R$8</f>
        <v/>
      </c>
      <c r="J3" s="9">
        <f>'Nottingham Forest'!$R$9</f>
        <v/>
      </c>
    </row>
    <row r="4">
      <c r="A4" s="6" t="inlineStr">
        <is>
          <t>Brighton &amp; Hove Albion</t>
        </is>
      </c>
      <c r="B4" s="14">
        <f>'Brighton &amp; Hove Albion'!$E$23</f>
        <v/>
      </c>
      <c r="C4" s="9">
        <f>'Brighton &amp; Hove Albion'!$R$2</f>
        <v/>
      </c>
      <c r="D4" s="9">
        <f>'Brighton &amp; Hove Albion'!$R$3</f>
        <v/>
      </c>
      <c r="E4" s="9">
        <f>'Brighton &amp; Hove Albion'!$R$4</f>
        <v/>
      </c>
      <c r="F4" s="9">
        <f>'Brighton &amp; Hove Albion'!$R$5</f>
        <v/>
      </c>
      <c r="G4" s="9">
        <f>'Brighton &amp; Hove Albion'!$R$6</f>
        <v/>
      </c>
      <c r="H4" s="9">
        <f>'Brighton &amp; Hove Albion'!$R$7</f>
        <v/>
      </c>
      <c r="I4" s="9">
        <f>'Brighton &amp; Hove Albion'!$R$8</f>
        <v/>
      </c>
      <c r="J4" s="9">
        <f>'Brighton &amp; Hove Albion'!$R$9</f>
        <v/>
      </c>
    </row>
    <row r="5">
      <c r="A5" s="6" t="inlineStr">
        <is>
          <t>Hull</t>
        </is>
      </c>
      <c r="B5" s="14">
        <f>'Hull'!$E$23</f>
        <v/>
      </c>
      <c r="C5" s="9">
        <f>'Hull'!$R$2</f>
        <v/>
      </c>
      <c r="D5" s="9">
        <f>'Hull'!$R$3</f>
        <v/>
      </c>
      <c r="E5" s="9">
        <f>'Hull'!$R$4</f>
        <v/>
      </c>
      <c r="F5" s="9">
        <f>'Hull'!$R$5</f>
        <v/>
      </c>
      <c r="G5" s="9">
        <f>'Hull'!$R$6</f>
        <v/>
      </c>
      <c r="H5" s="9">
        <f>'Hull'!$R$7</f>
        <v/>
      </c>
      <c r="I5" s="9">
        <f>'Hull'!$R$8</f>
        <v/>
      </c>
      <c r="J5" s="9">
        <f>'Hull'!$R$9</f>
        <v/>
      </c>
    </row>
    <row r="6">
      <c r="A6" s="6" t="inlineStr">
        <is>
          <t>Coventry</t>
        </is>
      </c>
      <c r="B6" s="14">
        <f>'Coventry'!$E$23</f>
        <v/>
      </c>
      <c r="C6" s="9">
        <f>'Coventry'!$R$2</f>
        <v/>
      </c>
      <c r="D6" s="9">
        <f>'Coventry'!$R$3</f>
        <v/>
      </c>
      <c r="E6" s="9">
        <f>'Coventry'!$R$4</f>
        <v/>
      </c>
      <c r="F6" s="9">
        <f>'Coventry'!$R$5</f>
        <v/>
      </c>
      <c r="G6" s="9">
        <f>'Coventry'!$R$6</f>
        <v/>
      </c>
      <c r="H6" s="9">
        <f>'Coventry'!$R$7</f>
        <v/>
      </c>
      <c r="I6" s="9">
        <f>'Coventry'!$R$8</f>
        <v/>
      </c>
      <c r="J6" s="9">
        <f>'Coventry'!$R$9</f>
        <v/>
      </c>
    </row>
    <row r="7">
      <c r="A7" s="6" t="inlineStr">
        <is>
          <t>Fulham</t>
        </is>
      </c>
      <c r="B7" s="14">
        <f>'Fulham'!$E$23</f>
        <v/>
      </c>
      <c r="C7" s="9">
        <f>'Fulham'!$R$2</f>
        <v/>
      </c>
      <c r="D7" s="9">
        <f>'Fulham'!$R$3</f>
        <v/>
      </c>
      <c r="E7" s="9">
        <f>'Fulham'!$R$4</f>
        <v/>
      </c>
      <c r="F7" s="9">
        <f>'Fulham'!$R$5</f>
        <v/>
      </c>
      <c r="G7" s="9">
        <f>'Fulham'!$R$6</f>
        <v/>
      </c>
      <c r="H7" s="9">
        <f>'Fulham'!$R$7</f>
        <v/>
      </c>
      <c r="I7" s="9">
        <f>'Fulham'!$R$8</f>
        <v/>
      </c>
      <c r="J7" s="9">
        <f>'Fulham'!$R$9</f>
        <v/>
      </c>
    </row>
    <row r="8">
      <c r="A8" s="6" t="inlineStr">
        <is>
          <t>Ipswich</t>
        </is>
      </c>
      <c r="B8" s="14">
        <f>'Ipswich'!$E$23</f>
        <v/>
      </c>
      <c r="C8" s="9">
        <f>'Ipswich'!$R$2</f>
        <v/>
      </c>
      <c r="D8" s="9">
        <f>'Ipswich'!$R$3</f>
        <v/>
      </c>
      <c r="E8" s="9">
        <f>'Ipswich'!$R$4</f>
        <v/>
      </c>
      <c r="F8" s="9">
        <f>'Ipswich'!$R$5</f>
        <v/>
      </c>
      <c r="G8" s="9">
        <f>'Ipswich'!$R$6</f>
        <v/>
      </c>
      <c r="H8" s="9">
        <f>'Ipswich'!$R$7</f>
        <v/>
      </c>
      <c r="I8" s="9">
        <f>'Ipswich'!$R$8</f>
        <v/>
      </c>
      <c r="J8" s="9">
        <f>'Ipswich'!$R$9</f>
        <v/>
      </c>
    </row>
    <row r="9">
      <c r="A9" s="6" t="inlineStr">
        <is>
          <t>Leeds United</t>
        </is>
      </c>
      <c r="B9" s="14">
        <f>'Leeds United'!$E$23</f>
        <v/>
      </c>
      <c r="C9" s="9">
        <f>'Leeds United'!$R$2</f>
        <v/>
      </c>
      <c r="D9" s="9">
        <f>'Leeds United'!$R$3</f>
        <v/>
      </c>
      <c r="E9" s="9">
        <f>'Leeds United'!$R$4</f>
        <v/>
      </c>
      <c r="F9" s="9">
        <f>'Leeds United'!$R$5</f>
        <v/>
      </c>
      <c r="G9" s="9">
        <f>'Leeds United'!$R$6</f>
        <v/>
      </c>
      <c r="H9" s="9">
        <f>'Leeds United'!$R$7</f>
        <v/>
      </c>
      <c r="I9" s="9">
        <f>'Leeds United'!$R$8</f>
        <v/>
      </c>
      <c r="J9" s="9">
        <f>'Leeds United'!$R$9</f>
        <v/>
      </c>
    </row>
    <row r="10">
      <c r="A10" s="6" t="inlineStr">
        <is>
          <t>Sunderland</t>
        </is>
      </c>
      <c r="B10" s="14">
        <f>'Sunderland'!$E$23</f>
        <v/>
      </c>
      <c r="C10" s="9">
        <f>'Sunderland'!$R$2</f>
        <v/>
      </c>
      <c r="D10" s="9">
        <f>'Sunderland'!$R$3</f>
        <v/>
      </c>
      <c r="E10" s="9">
        <f>'Sunderland'!$R$4</f>
        <v/>
      </c>
      <c r="F10" s="9">
        <f>'Sunderland'!$R$5</f>
        <v/>
      </c>
      <c r="G10" s="9">
        <f>'Sunderland'!$R$6</f>
        <v/>
      </c>
      <c r="H10" s="9">
        <f>'Sunderland'!$R$7</f>
        <v/>
      </c>
      <c r="I10" s="9">
        <f>'Sunderland'!$R$8</f>
        <v/>
      </c>
      <c r="J10" s="9">
        <f>'Sunderland'!$R$9</f>
        <v/>
      </c>
    </row>
    <row r="11">
      <c r="A11" s="6" t="inlineStr">
        <is>
          <t>Brentford</t>
        </is>
      </c>
      <c r="B11" s="14">
        <f>'Brentford'!$E$23</f>
        <v/>
      </c>
      <c r="C11" s="9">
        <f>'Brentford'!$R$2</f>
        <v/>
      </c>
      <c r="D11" s="9">
        <f>'Brentford'!$R$3</f>
        <v/>
      </c>
      <c r="E11" s="9">
        <f>'Brentford'!$R$4</f>
        <v/>
      </c>
      <c r="F11" s="9">
        <f>'Brentford'!$R$5</f>
        <v/>
      </c>
      <c r="G11" s="9">
        <f>'Brentford'!$R$6</f>
        <v/>
      </c>
      <c r="H11" s="9">
        <f>'Brentford'!$R$7</f>
        <v/>
      </c>
      <c r="I11" s="9">
        <f>'Brentford'!$R$8</f>
        <v/>
      </c>
      <c r="J11" s="9">
        <f>'Brentford'!$R$9</f>
        <v/>
      </c>
    </row>
    <row r="12">
      <c r="A12" s="6" t="inlineStr">
        <is>
          <t>Everton</t>
        </is>
      </c>
      <c r="B12" s="14">
        <f>'Everton'!$E$23</f>
        <v/>
      </c>
      <c r="C12" s="9">
        <f>'Everton'!$R$2</f>
        <v/>
      </c>
      <c r="D12" s="9">
        <f>'Everton'!$R$3</f>
        <v/>
      </c>
      <c r="E12" s="9">
        <f>'Everton'!$R$4</f>
        <v/>
      </c>
      <c r="F12" s="9">
        <f>'Everton'!$R$5</f>
        <v/>
      </c>
      <c r="G12" s="9">
        <f>'Everton'!$R$6</f>
        <v/>
      </c>
      <c r="H12" s="9">
        <f>'Everton'!$R$7</f>
        <v/>
      </c>
      <c r="I12" s="9">
        <f>'Everton'!$R$8</f>
        <v/>
      </c>
      <c r="J12" s="9">
        <f>'Everton'!$R$9</f>
        <v/>
      </c>
    </row>
    <row r="13">
      <c r="A13" s="6" t="inlineStr">
        <is>
          <t>Aston Villa</t>
        </is>
      </c>
      <c r="B13" s="14">
        <f>'Aston Villa'!$E$23</f>
        <v/>
      </c>
      <c r="C13" s="9">
        <f>'Aston Villa'!$R$2</f>
        <v/>
      </c>
      <c r="D13" s="9">
        <f>'Aston Villa'!$R$3</f>
        <v/>
      </c>
      <c r="E13" s="9">
        <f>'Aston Villa'!$R$4</f>
        <v/>
      </c>
      <c r="F13" s="9">
        <f>'Aston Villa'!$R$5</f>
        <v/>
      </c>
      <c r="G13" s="9">
        <f>'Aston Villa'!$R$6</f>
        <v/>
      </c>
      <c r="H13" s="9">
        <f>'Aston Villa'!$R$7</f>
        <v/>
      </c>
      <c r="I13" s="9">
        <f>'Aston Villa'!$R$8</f>
        <v/>
      </c>
      <c r="J13" s="9">
        <f>'Aston Villa'!$R$9</f>
        <v/>
      </c>
    </row>
    <row r="14">
      <c r="A14" s="6" t="inlineStr">
        <is>
          <t>Crystal Palace</t>
        </is>
      </c>
      <c r="B14" s="14">
        <f>'Crystal Palace'!$E$23</f>
        <v/>
      </c>
      <c r="C14" s="9">
        <f>'Crystal Palace'!$R$2</f>
        <v/>
      </c>
      <c r="D14" s="9">
        <f>'Crystal Palace'!$R$3</f>
        <v/>
      </c>
      <c r="E14" s="9">
        <f>'Crystal Palace'!$R$4</f>
        <v/>
      </c>
      <c r="F14" s="9">
        <f>'Crystal Palace'!$R$5</f>
        <v/>
      </c>
      <c r="G14" s="9">
        <f>'Crystal Palace'!$R$6</f>
        <v/>
      </c>
      <c r="H14" s="9">
        <f>'Crystal Palace'!$R$7</f>
        <v/>
      </c>
      <c r="I14" s="9">
        <f>'Crystal Palace'!$R$8</f>
        <v/>
      </c>
      <c r="J14" s="9">
        <f>'Crystal Palace'!$R$9</f>
        <v/>
      </c>
    </row>
    <row r="15">
      <c r="A15" s="6" t="inlineStr">
        <is>
          <t>Arsenal</t>
        </is>
      </c>
      <c r="B15" s="14">
        <f>'Arsenal'!$E$23</f>
        <v/>
      </c>
      <c r="C15" s="9">
        <f>'Arsenal'!$R$2</f>
        <v/>
      </c>
      <c r="D15" s="9">
        <f>'Arsenal'!$R$3</f>
        <v/>
      </c>
      <c r="E15" s="9">
        <f>'Arsenal'!$R$4</f>
        <v/>
      </c>
      <c r="F15" s="9">
        <f>'Arsenal'!$R$5</f>
        <v/>
      </c>
      <c r="G15" s="9">
        <f>'Arsenal'!$R$6</f>
        <v/>
      </c>
      <c r="H15" s="9">
        <f>'Arsenal'!$R$7</f>
        <v/>
      </c>
      <c r="I15" s="9">
        <f>'Arsenal'!$R$8</f>
        <v/>
      </c>
      <c r="J15" s="9">
        <f>'Arsenal'!$R$9</f>
        <v/>
      </c>
    </row>
    <row r="16">
      <c r="A16" s="6" t="inlineStr">
        <is>
          <t>Liverpool</t>
        </is>
      </c>
      <c r="B16" s="14">
        <f>'Liverpool'!$E$23</f>
        <v/>
      </c>
      <c r="C16" s="9">
        <f>'Liverpool'!$R$2</f>
        <v/>
      </c>
      <c r="D16" s="9">
        <f>'Liverpool'!$R$3</f>
        <v/>
      </c>
      <c r="E16" s="9">
        <f>'Liverpool'!$R$4</f>
        <v/>
      </c>
      <c r="F16" s="9">
        <f>'Liverpool'!$R$5</f>
        <v/>
      </c>
      <c r="G16" s="9">
        <f>'Liverpool'!$R$6</f>
        <v/>
      </c>
      <c r="H16" s="9">
        <f>'Liverpool'!$R$7</f>
        <v/>
      </c>
      <c r="I16" s="9">
        <f>'Liverpool'!$R$8</f>
        <v/>
      </c>
      <c r="J16" s="9">
        <f>'Liverpool'!$R$9</f>
        <v/>
      </c>
    </row>
    <row r="17">
      <c r="A17" s="6" t="inlineStr">
        <is>
          <t>Tottenham Hotspur</t>
        </is>
      </c>
      <c r="B17" s="14">
        <f>'Tottenham Hotspur'!$E$23</f>
        <v/>
      </c>
      <c r="C17" s="9">
        <f>'Tottenham Hotspur'!$R$2</f>
        <v/>
      </c>
      <c r="D17" s="9">
        <f>'Tottenham Hotspur'!$R$3</f>
        <v/>
      </c>
      <c r="E17" s="9">
        <f>'Tottenham Hotspur'!$R$4</f>
        <v/>
      </c>
      <c r="F17" s="9">
        <f>'Tottenham Hotspur'!$R$5</f>
        <v/>
      </c>
      <c r="G17" s="9">
        <f>'Tottenham Hotspur'!$R$6</f>
        <v/>
      </c>
      <c r="H17" s="9">
        <f>'Tottenham Hotspur'!$R$7</f>
        <v/>
      </c>
      <c r="I17" s="9">
        <f>'Tottenham Hotspur'!$R$8</f>
        <v/>
      </c>
      <c r="J17" s="9">
        <f>'Tottenham Hotspur'!$R$9</f>
        <v/>
      </c>
    </row>
    <row r="18">
      <c r="A18" s="6" t="inlineStr">
        <is>
          <t>Manchester City</t>
        </is>
      </c>
      <c r="B18" s="14">
        <f>'Manchester City'!$E$23</f>
        <v/>
      </c>
      <c r="C18" s="9">
        <f>'Manchester City'!$R$2</f>
        <v/>
      </c>
      <c r="D18" s="9">
        <f>'Manchester City'!$R$3</f>
        <v/>
      </c>
      <c r="E18" s="9">
        <f>'Manchester City'!$R$4</f>
        <v/>
      </c>
      <c r="F18" s="9">
        <f>'Manchester City'!$R$5</f>
        <v/>
      </c>
      <c r="G18" s="9">
        <f>'Manchester City'!$R$6</f>
        <v/>
      </c>
      <c r="H18" s="9">
        <f>'Manchester City'!$R$7</f>
        <v/>
      </c>
      <c r="I18" s="9">
        <f>'Manchester City'!$R$8</f>
        <v/>
      </c>
      <c r="J18" s="9">
        <f>'Manchester City'!$R$9</f>
        <v/>
      </c>
    </row>
    <row r="19">
      <c r="A19" s="6" t="inlineStr">
        <is>
          <t>Manchester United</t>
        </is>
      </c>
      <c r="B19" s="14">
        <f>'Manchester United'!$E$23</f>
        <v/>
      </c>
      <c r="C19" s="9">
        <f>'Manchester United'!$R$2</f>
        <v/>
      </c>
      <c r="D19" s="9">
        <f>'Manchester United'!$R$3</f>
        <v/>
      </c>
      <c r="E19" s="9">
        <f>'Manchester United'!$R$4</f>
        <v/>
      </c>
      <c r="F19" s="9">
        <f>'Manchester United'!$R$5</f>
        <v/>
      </c>
      <c r="G19" s="9">
        <f>'Manchester United'!$R$6</f>
        <v/>
      </c>
      <c r="H19" s="9">
        <f>'Manchester United'!$R$7</f>
        <v/>
      </c>
      <c r="I19" s="9">
        <f>'Manchester United'!$R$8</f>
        <v/>
      </c>
      <c r="J19" s="9">
        <f>'Manchester United'!$R$9</f>
        <v/>
      </c>
    </row>
    <row r="20">
      <c r="A20" s="6" t="inlineStr">
        <is>
          <t>Chelsea</t>
        </is>
      </c>
      <c r="B20" s="14">
        <f>'Chelsea'!$E$23</f>
        <v/>
      </c>
      <c r="C20" s="9">
        <f>'Chelsea'!$R$2</f>
        <v/>
      </c>
      <c r="D20" s="9">
        <f>'Chelsea'!$R$3</f>
        <v/>
      </c>
      <c r="E20" s="9">
        <f>'Chelsea'!$R$4</f>
        <v/>
      </c>
      <c r="F20" s="9">
        <f>'Chelsea'!$R$5</f>
        <v/>
      </c>
      <c r="G20" s="9">
        <f>'Chelsea'!$R$6</f>
        <v/>
      </c>
      <c r="H20" s="9">
        <f>'Chelsea'!$R$7</f>
        <v/>
      </c>
      <c r="I20" s="9">
        <f>'Chelsea'!$R$8</f>
        <v/>
      </c>
      <c r="J20" s="9">
        <f>'Chelsea'!$R$9</f>
        <v/>
      </c>
    </row>
    <row r="21">
      <c r="A21" s="6" t="inlineStr">
        <is>
          <t>Newcastle United</t>
        </is>
      </c>
      <c r="B21" s="14">
        <f>'Newcastle United'!$E$23</f>
        <v/>
      </c>
      <c r="C21" s="9">
        <f>'Newcastle United'!$R$2</f>
        <v/>
      </c>
      <c r="D21" s="9">
        <f>'Newcastle United'!$R$3</f>
        <v/>
      </c>
      <c r="E21" s="9">
        <f>'Newcastle United'!$R$4</f>
        <v/>
      </c>
      <c r="F21" s="9">
        <f>'Newcastle United'!$R$5</f>
        <v/>
      </c>
      <c r="G21" s="9">
        <f>'Newcastle United'!$R$6</f>
        <v/>
      </c>
      <c r="H21" s="9">
        <f>'Newcastle United'!$R$7</f>
        <v/>
      </c>
      <c r="I21" s="9">
        <f>'Newcastle United'!$R$8</f>
        <v/>
      </c>
      <c r="J21" s="9">
        <f>'Newcastle United'!$R$9</f>
        <v/>
      </c>
    </row>
  </sheetData>
  <conditionalFormatting sqref="B2:J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Bournemouth</t>
        </is>
      </c>
      <c r="B2" s="14" t="n">
        <v>1.07</v>
      </c>
      <c r="C2" s="9" t="n">
        <v>-0.12</v>
      </c>
      <c r="D2" s="9" t="n">
        <v>1.19</v>
      </c>
      <c r="E2" s="9" t="n">
        <v>-0.49</v>
      </c>
      <c r="F2" s="9" t="n">
        <v>3.72</v>
      </c>
    </row>
    <row r="3">
      <c r="A3" s="6" t="inlineStr">
        <is>
          <t>Brighton &amp; Hove Albion</t>
        </is>
      </c>
      <c r="B3" s="14" t="n">
        <v>0.76</v>
      </c>
      <c r="C3" s="9" t="n">
        <v>3.2</v>
      </c>
      <c r="D3" s="9" t="n">
        <v>-0.83</v>
      </c>
      <c r="E3" s="9" t="n">
        <v>0.55</v>
      </c>
      <c r="F3" s="9" t="n">
        <v>0.13</v>
      </c>
    </row>
    <row r="4">
      <c r="A4" s="6" t="inlineStr">
        <is>
          <t>Brentford</t>
        </is>
      </c>
      <c r="B4" s="14" t="n">
        <v>0.66</v>
      </c>
      <c r="C4" s="9" t="n">
        <v>3.18</v>
      </c>
      <c r="D4" s="9" t="n">
        <v>-1.44</v>
      </c>
      <c r="E4" s="9" t="n">
        <v>1.85</v>
      </c>
      <c r="F4" s="9" t="n">
        <v>-0.96</v>
      </c>
    </row>
    <row r="5">
      <c r="A5" s="6" t="inlineStr">
        <is>
          <t>Sunderland</t>
        </is>
      </c>
      <c r="B5" s="14" t="n">
        <v>0.45</v>
      </c>
      <c r="C5" s="9" t="n">
        <v>0.88</v>
      </c>
      <c r="D5" s="9" t="n">
        <v>1.08</v>
      </c>
      <c r="E5" s="9" t="n">
        <v>-0.43</v>
      </c>
      <c r="F5" s="9" t="n">
        <v>0.26</v>
      </c>
    </row>
    <row r="6">
      <c r="A6" s="6" t="inlineStr">
        <is>
          <t>Fulham</t>
        </is>
      </c>
      <c r="B6" s="14" t="n">
        <v>0.37</v>
      </c>
      <c r="C6" s="9" t="n">
        <v>-0.37</v>
      </c>
      <c r="D6" s="9" t="n">
        <v>0.91</v>
      </c>
      <c r="E6" s="9" t="n">
        <v>0.5</v>
      </c>
      <c r="F6" s="9" t="n">
        <v>0.44</v>
      </c>
    </row>
    <row r="7">
      <c r="A7" s="6" t="inlineStr">
        <is>
          <t>Arsenal</t>
        </is>
      </c>
      <c r="B7" s="14" t="n">
        <v>0.21</v>
      </c>
      <c r="C7" s="9" t="n">
        <v>-0.28</v>
      </c>
      <c r="D7" s="9" t="n">
        <v>0.78</v>
      </c>
      <c r="E7" s="9" t="n">
        <v>0.36</v>
      </c>
      <c r="F7" s="9" t="n">
        <v>0</v>
      </c>
    </row>
    <row r="8">
      <c r="A8" s="6" t="inlineStr">
        <is>
          <t>Hull</t>
        </is>
      </c>
      <c r="B8" s="14" t="n">
        <v>0.17</v>
      </c>
      <c r="C8" s="9" t="n">
        <v>0.64</v>
      </c>
      <c r="D8" s="9" t="n">
        <v>-0.72</v>
      </c>
      <c r="E8" s="9" t="n">
        <v>0.09</v>
      </c>
      <c r="F8" s="9" t="n">
        <v>0.68</v>
      </c>
    </row>
    <row r="9">
      <c r="A9" s="6" t="inlineStr">
        <is>
          <t>Leeds United</t>
        </is>
      </c>
      <c r="B9" s="14" t="n">
        <v>0.12</v>
      </c>
      <c r="C9" s="9" t="n">
        <v>-0.24</v>
      </c>
      <c r="D9" s="9" t="n">
        <v>0.96</v>
      </c>
      <c r="E9" s="9" t="n">
        <v>-0.5600000000000001</v>
      </c>
      <c r="F9" s="9" t="n">
        <v>0.31</v>
      </c>
    </row>
    <row r="10">
      <c r="A10" s="6" t="inlineStr">
        <is>
          <t>Ipswich</t>
        </is>
      </c>
      <c r="B10" s="14" t="n">
        <v>0.05</v>
      </c>
      <c r="C10" s="9" t="n">
        <v>1.16</v>
      </c>
      <c r="D10" s="9" t="n">
        <v>1.21</v>
      </c>
      <c r="E10" s="9" t="n">
        <v>-0.57</v>
      </c>
      <c r="F10" s="9" t="n">
        <v>-1.6</v>
      </c>
    </row>
    <row r="11">
      <c r="A11" s="6" t="inlineStr">
        <is>
          <t>Aston Villa</t>
        </is>
      </c>
      <c r="B11" s="14" t="n">
        <v>-0.04</v>
      </c>
      <c r="C11" s="9" t="n">
        <v>0.36</v>
      </c>
      <c r="D11" s="9" t="n">
        <v>-1.76</v>
      </c>
      <c r="E11" s="9" t="n">
        <v>1.23</v>
      </c>
      <c r="F11" s="9" t="n">
        <v>0.02</v>
      </c>
    </row>
    <row r="12">
      <c r="A12" s="6" t="inlineStr">
        <is>
          <t>Nottingham Forest</t>
        </is>
      </c>
      <c r="B12" s="14" t="n">
        <v>-0.04</v>
      </c>
      <c r="C12" s="9" t="n">
        <v>-0.04</v>
      </c>
      <c r="D12" s="9" t="n">
        <v>-0.29</v>
      </c>
      <c r="E12" s="9" t="n">
        <v>-0.58</v>
      </c>
      <c r="F12" s="9" t="n">
        <v>0.75</v>
      </c>
    </row>
    <row r="13">
      <c r="A13" s="6" t="inlineStr">
        <is>
          <t>Coventry</t>
        </is>
      </c>
      <c r="B13" s="14" t="n">
        <v>-0.17</v>
      </c>
      <c r="C13" s="9" t="n">
        <v>-0.03</v>
      </c>
      <c r="D13" s="9" t="n">
        <v>-0.9</v>
      </c>
      <c r="E13" s="9" t="n">
        <v>0.01</v>
      </c>
      <c r="F13" s="9" t="n">
        <v>0.24</v>
      </c>
    </row>
    <row r="14">
      <c r="A14" s="6" t="inlineStr">
        <is>
          <t>Everton</t>
        </is>
      </c>
      <c r="B14" s="14" t="n">
        <v>-0.28</v>
      </c>
      <c r="C14" s="9" t="n">
        <v>-1.18</v>
      </c>
      <c r="D14" s="9" t="n">
        <v>0.6899999999999999</v>
      </c>
      <c r="E14" s="9" t="n">
        <v>0.04</v>
      </c>
      <c r="F14" s="9" t="n">
        <v>-0.68</v>
      </c>
    </row>
    <row r="15">
      <c r="A15" s="6" t="inlineStr">
        <is>
          <t>Manchester United</t>
        </is>
      </c>
      <c r="B15" s="14" t="n">
        <v>-0.33</v>
      </c>
      <c r="C15" s="9" t="n">
        <v>1.37</v>
      </c>
      <c r="D15" s="9" t="n">
        <v>0.28</v>
      </c>
      <c r="E15" s="9" t="n">
        <v>-1.67</v>
      </c>
      <c r="F15" s="9" t="n">
        <v>-1.32</v>
      </c>
    </row>
    <row r="16">
      <c r="A16" s="6" t="inlineStr">
        <is>
          <t>Tottenham Hotspur</t>
        </is>
      </c>
      <c r="B16" s="14" t="n">
        <v>-0.52</v>
      </c>
      <c r="C16" s="9" t="n">
        <v>0.18</v>
      </c>
      <c r="D16" s="9" t="n">
        <v>-0.88</v>
      </c>
      <c r="E16" s="9" t="n">
        <v>-0.18</v>
      </c>
      <c r="F16" s="9" t="n">
        <v>-1.18</v>
      </c>
    </row>
    <row r="17">
      <c r="A17" s="6" t="inlineStr">
        <is>
          <t>Crystal Palace</t>
        </is>
      </c>
      <c r="B17" s="14" t="n">
        <v>-0.61</v>
      </c>
      <c r="C17" s="9" t="n">
        <v>-0.68</v>
      </c>
      <c r="D17" s="9" t="n">
        <v>-1.67</v>
      </c>
      <c r="E17" s="9" t="n">
        <v>-0.93</v>
      </c>
      <c r="F17" s="9" t="n">
        <v>0.84</v>
      </c>
    </row>
    <row r="18">
      <c r="A18" s="6" t="inlineStr">
        <is>
          <t>Liverpool</t>
        </is>
      </c>
      <c r="B18" s="14" t="n">
        <v>-0.8</v>
      </c>
      <c r="C18" s="9" t="n">
        <v>-1.68</v>
      </c>
      <c r="D18" s="9" t="n">
        <v>-0.73</v>
      </c>
      <c r="E18" s="9" t="n">
        <v>-0.26</v>
      </c>
      <c r="F18" s="9" t="n">
        <v>-0.52</v>
      </c>
    </row>
    <row r="19">
      <c r="A19" s="6" t="inlineStr">
        <is>
          <t>Newcastle United</t>
        </is>
      </c>
      <c r="B19" s="14" t="n">
        <v>-0.9399999999999999</v>
      </c>
      <c r="C19" s="9" t="n">
        <v>-0.77</v>
      </c>
      <c r="D19" s="9" t="n">
        <v>-1.04</v>
      </c>
      <c r="E19" s="9" t="n">
        <v>-1.12</v>
      </c>
      <c r="F19" s="9" t="n">
        <v>-0.82</v>
      </c>
    </row>
    <row r="20">
      <c r="A20" s="6" t="inlineStr">
        <is>
          <t>Chelsea</t>
        </is>
      </c>
      <c r="B20" s="14" t="n">
        <v>-0.95</v>
      </c>
      <c r="C20" s="9" t="n">
        <v>0.86</v>
      </c>
      <c r="D20" s="9" t="n">
        <v>-2.38</v>
      </c>
      <c r="E20" s="9" t="n">
        <v>-1.17</v>
      </c>
      <c r="F20" s="9" t="n">
        <v>-1.1</v>
      </c>
    </row>
    <row r="21">
      <c r="A21" s="6" t="inlineStr">
        <is>
          <t>Manchester City</t>
        </is>
      </c>
      <c r="B21" s="14" t="n">
        <v>-0.96</v>
      </c>
      <c r="C21" s="9" t="n">
        <v>0.37</v>
      </c>
      <c r="D21" s="9" t="n">
        <v>-1.39</v>
      </c>
      <c r="E21" s="9" t="n">
        <v>-2.35</v>
      </c>
      <c r="F21" s="9" t="n">
        <v>-0.48</v>
      </c>
    </row>
  </sheetData>
  <conditionalFormatting sqref="B2:F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Nottingham Forest</t>
        </is>
      </c>
      <c r="B2" s="14" t="n">
        <v>1.49</v>
      </c>
      <c r="C2" s="9" t="n">
        <v>1.68</v>
      </c>
      <c r="D2" s="9" t="n">
        <v>1.76</v>
      </c>
      <c r="E2" s="9" t="n">
        <v>0.93</v>
      </c>
      <c r="F2" s="9" t="n">
        <v>1.6</v>
      </c>
    </row>
    <row r="3">
      <c r="A3" s="6" t="inlineStr">
        <is>
          <t>Coventry</t>
        </is>
      </c>
      <c r="B3" s="14" t="n">
        <v>0.86</v>
      </c>
      <c r="C3" s="9" t="n">
        <v>0.28</v>
      </c>
      <c r="D3" s="9" t="n">
        <v>1.39</v>
      </c>
      <c r="E3" s="9" t="n">
        <v>0.58</v>
      </c>
      <c r="F3" s="9" t="n">
        <v>1.18</v>
      </c>
    </row>
    <row r="4">
      <c r="A4" s="6" t="inlineStr">
        <is>
          <t>Bournemouth</t>
        </is>
      </c>
      <c r="B4" s="14" t="n">
        <v>0.79</v>
      </c>
      <c r="C4" s="9" t="n">
        <v>-0.37</v>
      </c>
      <c r="D4" s="9" t="n">
        <v>1.04</v>
      </c>
      <c r="E4" s="9" t="n">
        <v>1.17</v>
      </c>
      <c r="F4" s="9" t="n">
        <v>1.32</v>
      </c>
    </row>
    <row r="5">
      <c r="A5" s="6" t="inlineStr">
        <is>
          <t>Hull</t>
        </is>
      </c>
      <c r="B5" s="14" t="n">
        <v>0.77</v>
      </c>
      <c r="C5" s="9" t="n">
        <v>0.03</v>
      </c>
      <c r="D5" s="9" t="n">
        <v>2.38</v>
      </c>
      <c r="E5" s="9" t="n">
        <v>1.12</v>
      </c>
      <c r="F5" s="9" t="n">
        <v>-0.44</v>
      </c>
    </row>
    <row r="6">
      <c r="A6" s="6" t="inlineStr">
        <is>
          <t>Brighton &amp; Hove Albion</t>
        </is>
      </c>
      <c r="B6" s="14" t="n">
        <v>0.25</v>
      </c>
      <c r="C6" s="9" t="n">
        <v>-0.86</v>
      </c>
      <c r="D6" s="9" t="n">
        <v>0.9</v>
      </c>
      <c r="E6" s="9" t="n">
        <v>0.43</v>
      </c>
      <c r="F6" s="9" t="n">
        <v>0.52</v>
      </c>
    </row>
    <row r="7">
      <c r="A7" s="6" t="inlineStr">
        <is>
          <t>Liverpool</t>
        </is>
      </c>
      <c r="B7" s="14" t="n">
        <v>0.25</v>
      </c>
      <c r="C7" s="9" t="n">
        <v>0.77</v>
      </c>
      <c r="D7" s="9" t="n">
        <v>-1.21</v>
      </c>
      <c r="E7" s="9" t="n">
        <v>0.49</v>
      </c>
      <c r="F7" s="9" t="n">
        <v>0.96</v>
      </c>
    </row>
    <row r="8">
      <c r="A8" s="6" t="inlineStr">
        <is>
          <t>Everton</t>
        </is>
      </c>
      <c r="B8" s="14" t="n">
        <v>0.23</v>
      </c>
      <c r="C8" s="9" t="n">
        <v>0.12</v>
      </c>
      <c r="D8" s="9" t="n">
        <v>0.88</v>
      </c>
      <c r="E8" s="9" t="n">
        <v>-0.09</v>
      </c>
      <c r="F8" s="9" t="n">
        <v>-0</v>
      </c>
    </row>
    <row r="9">
      <c r="A9" s="6" t="inlineStr">
        <is>
          <t>Ipswich</t>
        </is>
      </c>
      <c r="B9" s="14" t="n">
        <v>0.18</v>
      </c>
      <c r="C9" s="9" t="n">
        <v>-1.37</v>
      </c>
      <c r="D9" s="9" t="n">
        <v>1.67</v>
      </c>
      <c r="E9" s="9" t="n">
        <v>-0.04</v>
      </c>
      <c r="F9" s="9" t="n">
        <v>0.48</v>
      </c>
    </row>
    <row r="10">
      <c r="A10" s="6" t="inlineStr">
        <is>
          <t>Crystal Palace</t>
        </is>
      </c>
      <c r="B10" s="14" t="n">
        <v>0.17</v>
      </c>
      <c r="C10" s="9" t="n">
        <v>1.18</v>
      </c>
      <c r="D10" s="9" t="n">
        <v>-0.91</v>
      </c>
      <c r="E10" s="9" t="n">
        <v>0.5600000000000001</v>
      </c>
      <c r="F10" s="9" t="n">
        <v>-0.13</v>
      </c>
    </row>
    <row r="11">
      <c r="A11" s="6" t="inlineStr">
        <is>
          <t>Manchester City</t>
        </is>
      </c>
      <c r="B11" s="14" t="n">
        <v>0.16</v>
      </c>
      <c r="C11" s="9" t="n">
        <v>0.68</v>
      </c>
      <c r="D11" s="9" t="n">
        <v>-0.28</v>
      </c>
      <c r="E11" s="9" t="n">
        <v>0.26</v>
      </c>
      <c r="F11" s="9" t="n">
        <v>-0.02</v>
      </c>
    </row>
    <row r="12">
      <c r="A12" s="6" t="inlineStr">
        <is>
          <t>Leeds United</t>
        </is>
      </c>
      <c r="B12" s="14" t="n">
        <v>0.06</v>
      </c>
      <c r="C12" s="9" t="n">
        <v>0.04</v>
      </c>
      <c r="D12" s="9" t="n">
        <v>0.83</v>
      </c>
      <c r="E12" s="9" t="n">
        <v>-0.36</v>
      </c>
      <c r="F12" s="9" t="n">
        <v>-0.26</v>
      </c>
    </row>
    <row r="13">
      <c r="A13" s="6" t="inlineStr">
        <is>
          <t>Fulham</t>
        </is>
      </c>
      <c r="B13" s="14" t="n">
        <v>0.04</v>
      </c>
      <c r="C13" s="9" t="n">
        <v>-0.88</v>
      </c>
      <c r="D13" s="9" t="n">
        <v>0.73</v>
      </c>
      <c r="E13" s="9" t="n">
        <v>0.57</v>
      </c>
      <c r="F13" s="9" t="n">
        <v>-0.24</v>
      </c>
    </row>
    <row r="14">
      <c r="A14" s="6" t="inlineStr">
        <is>
          <t>Tottenham Hotspur</t>
        </is>
      </c>
      <c r="B14" s="14" t="n">
        <v>-0.03</v>
      </c>
      <c r="C14" s="9" t="n">
        <v>-3.18</v>
      </c>
      <c r="D14" s="9" t="n">
        <v>0.29</v>
      </c>
      <c r="E14" s="9" t="n">
        <v>1.67</v>
      </c>
      <c r="F14" s="9" t="n">
        <v>1.1</v>
      </c>
    </row>
    <row r="15">
      <c r="A15" s="6" t="inlineStr">
        <is>
          <t>Sunderland</t>
        </is>
      </c>
      <c r="B15" s="14" t="n">
        <v>-0.27</v>
      </c>
      <c r="C15" s="9" t="n">
        <v>-1.16</v>
      </c>
      <c r="D15" s="9" t="n">
        <v>1.44</v>
      </c>
      <c r="E15" s="9" t="n">
        <v>2.35</v>
      </c>
      <c r="F15" s="9" t="n">
        <v>-3.72</v>
      </c>
    </row>
    <row r="16">
      <c r="A16" s="6" t="inlineStr">
        <is>
          <t>Aston Villa</t>
        </is>
      </c>
      <c r="B16" s="14" t="n">
        <v>-0.37</v>
      </c>
      <c r="C16" s="9" t="n">
        <v>-3.2</v>
      </c>
      <c r="D16" s="9" t="n">
        <v>0.72</v>
      </c>
      <c r="E16" s="9" t="n">
        <v>0.18</v>
      </c>
      <c r="F16" s="9" t="n">
        <v>0.82</v>
      </c>
    </row>
    <row r="17">
      <c r="A17" s="6" t="inlineStr">
        <is>
          <t>Chelsea</t>
        </is>
      </c>
      <c r="B17" s="14" t="n">
        <v>-0.4</v>
      </c>
      <c r="C17" s="9" t="n">
        <v>0.37</v>
      </c>
      <c r="D17" s="9" t="n">
        <v>-0.78</v>
      </c>
      <c r="E17" s="9" t="n">
        <v>-1.85</v>
      </c>
      <c r="F17" s="9" t="n">
        <v>0.68</v>
      </c>
    </row>
    <row r="18">
      <c r="A18" s="6" t="inlineStr">
        <is>
          <t>Newcastle United</t>
        </is>
      </c>
      <c r="B18" s="14" t="n">
        <v>-0.5</v>
      </c>
      <c r="C18" s="9" t="n">
        <v>-0.18</v>
      </c>
      <c r="D18" s="9" t="n">
        <v>-0.96</v>
      </c>
      <c r="E18" s="9" t="n">
        <v>-0.01</v>
      </c>
      <c r="F18" s="9" t="n">
        <v>-0.84</v>
      </c>
    </row>
    <row r="19">
      <c r="A19" s="6" t="inlineStr">
        <is>
          <t>Manchester United</t>
        </is>
      </c>
      <c r="B19" s="14" t="n">
        <v>-0.54</v>
      </c>
      <c r="C19" s="9" t="n">
        <v>-0.64</v>
      </c>
      <c r="D19" s="9" t="n">
        <v>-0.6899999999999999</v>
      </c>
      <c r="E19" s="9" t="n">
        <v>-0.5</v>
      </c>
      <c r="F19" s="9" t="n">
        <v>-0.31</v>
      </c>
    </row>
    <row r="20">
      <c r="A20" s="6" t="inlineStr">
        <is>
          <t>Arsenal</t>
        </is>
      </c>
      <c r="B20" s="14" t="n">
        <v>-0.6899999999999999</v>
      </c>
      <c r="C20" s="9" t="n">
        <v>-0.36</v>
      </c>
      <c r="D20" s="9" t="n">
        <v>-1.08</v>
      </c>
      <c r="E20" s="9" t="n">
        <v>-0.55</v>
      </c>
      <c r="F20" s="9" t="n">
        <v>-0.75</v>
      </c>
    </row>
    <row r="21">
      <c r="A21" s="6" t="inlineStr">
        <is>
          <t>Brentford</t>
        </is>
      </c>
      <c r="B21" s="14" t="n">
        <v>-0.71</v>
      </c>
      <c r="C21" s="9" t="n">
        <v>0.24</v>
      </c>
      <c r="D21" s="9" t="n">
        <v>-1.19</v>
      </c>
      <c r="E21" s="9" t="n">
        <v>-1.23</v>
      </c>
      <c r="F21" s="9" t="n">
        <v>-0.68</v>
      </c>
    </row>
  </sheetData>
  <conditionalFormatting sqref="B2:F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K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Sunderland</t>
        </is>
      </c>
      <c r="B2" s="14">
        <f>'Sunderland'!$E$25</f>
        <v/>
      </c>
      <c r="C2" s="9">
        <f>'Sunderland'!$S$2</f>
        <v/>
      </c>
      <c r="D2" s="9">
        <f>'Sunderland'!$S$3</f>
        <v/>
      </c>
      <c r="E2" s="9">
        <f>'Sunderland'!$S$4</f>
        <v/>
      </c>
      <c r="F2" s="9">
        <f>'Sunderland'!$S$5</f>
        <v/>
      </c>
      <c r="G2" s="9">
        <f>'Sunderland'!$S$6</f>
        <v/>
      </c>
      <c r="H2" s="9">
        <f>'Sunderland'!$S$7</f>
        <v/>
      </c>
      <c r="I2" s="9">
        <f>'Sunderland'!$S$8</f>
        <v/>
      </c>
      <c r="J2" s="9">
        <f>'Sunderland'!$S$9</f>
        <v/>
      </c>
      <c r="K2" s="14">
        <f>'Sunderland'!$E$26</f>
        <v/>
      </c>
    </row>
    <row r="3">
      <c r="A3" s="6" t="inlineStr">
        <is>
          <t>Brighton &amp; Hove Albion</t>
        </is>
      </c>
      <c r="B3" s="14">
        <f>'Brighton &amp; Hove Albion'!$E$25</f>
        <v/>
      </c>
      <c r="C3" s="9">
        <f>'Brighton &amp; Hove Albion'!$S$2</f>
        <v/>
      </c>
      <c r="D3" s="9">
        <f>'Brighton &amp; Hove Albion'!$S$3</f>
        <v/>
      </c>
      <c r="E3" s="9">
        <f>'Brighton &amp; Hove Albion'!$S$4</f>
        <v/>
      </c>
      <c r="F3" s="9">
        <f>'Brighton &amp; Hove Albion'!$S$5</f>
        <v/>
      </c>
      <c r="G3" s="9">
        <f>'Brighton &amp; Hove Albion'!$S$6</f>
        <v/>
      </c>
      <c r="H3" s="9">
        <f>'Brighton &amp; Hove Albion'!$S$7</f>
        <v/>
      </c>
      <c r="I3" s="9">
        <f>'Brighton &amp; Hove Albion'!$S$8</f>
        <v/>
      </c>
      <c r="J3" s="9">
        <f>'Brighton &amp; Hove Albion'!$S$9</f>
        <v/>
      </c>
      <c r="K3" s="14">
        <f>'Brighton &amp; Hove Albion'!$E$26</f>
        <v/>
      </c>
    </row>
    <row r="4">
      <c r="A4" s="6" t="inlineStr">
        <is>
          <t>Crystal Palace</t>
        </is>
      </c>
      <c r="B4" s="14">
        <f>'Crystal Palace'!$E$25</f>
        <v/>
      </c>
      <c r="C4" s="9">
        <f>'Crystal Palace'!$S$2</f>
        <v/>
      </c>
      <c r="D4" s="9">
        <f>'Crystal Palace'!$S$3</f>
        <v/>
      </c>
      <c r="E4" s="9">
        <f>'Crystal Palace'!$S$4</f>
        <v/>
      </c>
      <c r="F4" s="9">
        <f>'Crystal Palace'!$S$5</f>
        <v/>
      </c>
      <c r="G4" s="9">
        <f>'Crystal Palace'!$S$6</f>
        <v/>
      </c>
      <c r="H4" s="9">
        <f>'Crystal Palace'!$S$7</f>
        <v/>
      </c>
      <c r="I4" s="9">
        <f>'Crystal Palace'!$S$8</f>
        <v/>
      </c>
      <c r="J4" s="9">
        <f>'Crystal Palace'!$S$9</f>
        <v/>
      </c>
      <c r="K4" s="14">
        <f>'Crystal Palace'!$E$26</f>
        <v/>
      </c>
    </row>
    <row r="5">
      <c r="A5" s="6" t="inlineStr">
        <is>
          <t>Ipswich</t>
        </is>
      </c>
      <c r="B5" s="14">
        <f>'Ipswich'!$E$25</f>
        <v/>
      </c>
      <c r="C5" s="9">
        <f>'Ipswich'!$S$2</f>
        <v/>
      </c>
      <c r="D5" s="9">
        <f>'Ipswich'!$S$3</f>
        <v/>
      </c>
      <c r="E5" s="9">
        <f>'Ipswich'!$S$4</f>
        <v/>
      </c>
      <c r="F5" s="9">
        <f>'Ipswich'!$S$5</f>
        <v/>
      </c>
      <c r="G5" s="9">
        <f>'Ipswich'!$S$6</f>
        <v/>
      </c>
      <c r="H5" s="9">
        <f>'Ipswich'!$S$7</f>
        <v/>
      </c>
      <c r="I5" s="9">
        <f>'Ipswich'!$S$8</f>
        <v/>
      </c>
      <c r="J5" s="9">
        <f>'Ipswich'!$S$9</f>
        <v/>
      </c>
      <c r="K5" s="14">
        <f>'Ipswich'!$E$26</f>
        <v/>
      </c>
    </row>
    <row r="6">
      <c r="A6" s="6" t="inlineStr">
        <is>
          <t>Brentford</t>
        </is>
      </c>
      <c r="B6" s="14">
        <f>'Brentford'!$E$25</f>
        <v/>
      </c>
      <c r="C6" s="9">
        <f>'Brentford'!$S$2</f>
        <v/>
      </c>
      <c r="D6" s="9">
        <f>'Brentford'!$S$3</f>
        <v/>
      </c>
      <c r="E6" s="9">
        <f>'Brentford'!$S$4</f>
        <v/>
      </c>
      <c r="F6" s="9">
        <f>'Brentford'!$S$5</f>
        <v/>
      </c>
      <c r="G6" s="9">
        <f>'Brentford'!$S$6</f>
        <v/>
      </c>
      <c r="H6" s="9">
        <f>'Brentford'!$S$7</f>
        <v/>
      </c>
      <c r="I6" s="9">
        <f>'Brentford'!$S$8</f>
        <v/>
      </c>
      <c r="J6" s="9">
        <f>'Brentford'!$S$9</f>
        <v/>
      </c>
      <c r="K6" s="14">
        <f>'Brentford'!$E$26</f>
        <v/>
      </c>
    </row>
    <row r="7">
      <c r="A7" s="6" t="inlineStr">
        <is>
          <t>Manchester City</t>
        </is>
      </c>
      <c r="B7" s="14">
        <f>'Manchester City'!$E$25</f>
        <v/>
      </c>
      <c r="C7" s="9">
        <f>'Manchester City'!$S$2</f>
        <v/>
      </c>
      <c r="D7" s="9">
        <f>'Manchester City'!$S$3</f>
        <v/>
      </c>
      <c r="E7" s="9">
        <f>'Manchester City'!$S$4</f>
        <v/>
      </c>
      <c r="F7" s="9">
        <f>'Manchester City'!$S$5</f>
        <v/>
      </c>
      <c r="G7" s="9">
        <f>'Manchester City'!$S$6</f>
        <v/>
      </c>
      <c r="H7" s="9">
        <f>'Manchester City'!$S$7</f>
        <v/>
      </c>
      <c r="I7" s="9">
        <f>'Manchester City'!$S$8</f>
        <v/>
      </c>
      <c r="J7" s="9">
        <f>'Manchester City'!$S$9</f>
        <v/>
      </c>
      <c r="K7" s="14">
        <f>'Manchester City'!$E$26</f>
        <v/>
      </c>
    </row>
    <row r="8">
      <c r="A8" s="6" t="inlineStr">
        <is>
          <t>Nottingham Forest</t>
        </is>
      </c>
      <c r="B8" s="14">
        <f>'Nottingham Forest'!$E$25</f>
        <v/>
      </c>
      <c r="C8" s="9">
        <f>'Nottingham Forest'!$S$2</f>
        <v/>
      </c>
      <c r="D8" s="9">
        <f>'Nottingham Forest'!$S$3</f>
        <v/>
      </c>
      <c r="E8" s="9">
        <f>'Nottingham Forest'!$S$4</f>
        <v/>
      </c>
      <c r="F8" s="9">
        <f>'Nottingham Forest'!$S$5</f>
        <v/>
      </c>
      <c r="G8" s="9">
        <f>'Nottingham Forest'!$S$6</f>
        <v/>
      </c>
      <c r="H8" s="9">
        <f>'Nottingham Forest'!$S$7</f>
        <v/>
      </c>
      <c r="I8" s="9">
        <f>'Nottingham Forest'!$S$8</f>
        <v/>
      </c>
      <c r="J8" s="9">
        <f>'Nottingham Forest'!$S$9</f>
        <v/>
      </c>
      <c r="K8" s="14">
        <f>'Nottingham Forest'!$E$26</f>
        <v/>
      </c>
    </row>
    <row r="9">
      <c r="A9" s="6" t="inlineStr">
        <is>
          <t>Manchester United</t>
        </is>
      </c>
      <c r="B9" s="14">
        <f>'Manchester United'!$E$25</f>
        <v/>
      </c>
      <c r="C9" s="9">
        <f>'Manchester United'!$S$2</f>
        <v/>
      </c>
      <c r="D9" s="9">
        <f>'Manchester United'!$S$3</f>
        <v/>
      </c>
      <c r="E9" s="9">
        <f>'Manchester United'!$S$4</f>
        <v/>
      </c>
      <c r="F9" s="9">
        <f>'Manchester United'!$S$5</f>
        <v/>
      </c>
      <c r="G9" s="9">
        <f>'Manchester United'!$S$6</f>
        <v/>
      </c>
      <c r="H9" s="9">
        <f>'Manchester United'!$S$7</f>
        <v/>
      </c>
      <c r="I9" s="9">
        <f>'Manchester United'!$S$8</f>
        <v/>
      </c>
      <c r="J9" s="9">
        <f>'Manchester United'!$S$9</f>
        <v/>
      </c>
      <c r="K9" s="14">
        <f>'Manchester United'!$E$26</f>
        <v/>
      </c>
    </row>
    <row r="10">
      <c r="A10" s="6" t="inlineStr">
        <is>
          <t>Everton</t>
        </is>
      </c>
      <c r="B10" s="14">
        <f>'Everton'!$E$25</f>
        <v/>
      </c>
      <c r="C10" s="9">
        <f>'Everton'!$S$2</f>
        <v/>
      </c>
      <c r="D10" s="9">
        <f>'Everton'!$S$3</f>
        <v/>
      </c>
      <c r="E10" s="9">
        <f>'Everton'!$S$4</f>
        <v/>
      </c>
      <c r="F10" s="9">
        <f>'Everton'!$S$5</f>
        <v/>
      </c>
      <c r="G10" s="9">
        <f>'Everton'!$S$6</f>
        <v/>
      </c>
      <c r="H10" s="9">
        <f>'Everton'!$S$7</f>
        <v/>
      </c>
      <c r="I10" s="9">
        <f>'Everton'!$S$8</f>
        <v/>
      </c>
      <c r="J10" s="9">
        <f>'Everton'!$S$9</f>
        <v/>
      </c>
      <c r="K10" s="14">
        <f>'Everton'!$E$26</f>
        <v/>
      </c>
    </row>
    <row r="11">
      <c r="A11" s="6" t="inlineStr">
        <is>
          <t>Bournemouth</t>
        </is>
      </c>
      <c r="B11" s="14">
        <f>'Bournemouth'!$E$25</f>
        <v/>
      </c>
      <c r="C11" s="9">
        <f>'Bournemouth'!$S$2</f>
        <v/>
      </c>
      <c r="D11" s="9">
        <f>'Bournemouth'!$S$3</f>
        <v/>
      </c>
      <c r="E11" s="9">
        <f>'Bournemouth'!$S$4</f>
        <v/>
      </c>
      <c r="F11" s="9">
        <f>'Bournemouth'!$S$5</f>
        <v/>
      </c>
      <c r="G11" s="9">
        <f>'Bournemouth'!$S$6</f>
        <v/>
      </c>
      <c r="H11" s="9">
        <f>'Bournemouth'!$S$7</f>
        <v/>
      </c>
      <c r="I11" s="9">
        <f>'Bournemouth'!$S$8</f>
        <v/>
      </c>
      <c r="J11" s="9">
        <f>'Bournemouth'!$S$9</f>
        <v/>
      </c>
      <c r="K11" s="14">
        <f>'Bournemouth'!$E$26</f>
        <v/>
      </c>
    </row>
    <row r="12">
      <c r="A12" s="6" t="inlineStr">
        <is>
          <t>Fulham</t>
        </is>
      </c>
      <c r="B12" s="14">
        <f>'Fulham'!$E$25</f>
        <v/>
      </c>
      <c r="C12" s="9">
        <f>'Fulham'!$S$2</f>
        <v/>
      </c>
      <c r="D12" s="9">
        <f>'Fulham'!$S$3</f>
        <v/>
      </c>
      <c r="E12" s="9">
        <f>'Fulham'!$S$4</f>
        <v/>
      </c>
      <c r="F12" s="9">
        <f>'Fulham'!$S$5</f>
        <v/>
      </c>
      <c r="G12" s="9">
        <f>'Fulham'!$S$6</f>
        <v/>
      </c>
      <c r="H12" s="9">
        <f>'Fulham'!$S$7</f>
        <v/>
      </c>
      <c r="I12" s="9">
        <f>'Fulham'!$S$8</f>
        <v/>
      </c>
      <c r="J12" s="9">
        <f>'Fulham'!$S$9</f>
        <v/>
      </c>
      <c r="K12" s="14">
        <f>'Fulham'!$E$26</f>
        <v/>
      </c>
    </row>
    <row r="13">
      <c r="A13" s="6" t="inlineStr">
        <is>
          <t>Leeds United</t>
        </is>
      </c>
      <c r="B13" s="14">
        <f>'Leeds United'!$E$25</f>
        <v/>
      </c>
      <c r="C13" s="9">
        <f>'Leeds United'!$S$2</f>
        <v/>
      </c>
      <c r="D13" s="9">
        <f>'Leeds United'!$S$3</f>
        <v/>
      </c>
      <c r="E13" s="9">
        <f>'Leeds United'!$S$4</f>
        <v/>
      </c>
      <c r="F13" s="9">
        <f>'Leeds United'!$S$5</f>
        <v/>
      </c>
      <c r="G13" s="9">
        <f>'Leeds United'!$S$6</f>
        <v/>
      </c>
      <c r="H13" s="9">
        <f>'Leeds United'!$S$7</f>
        <v/>
      </c>
      <c r="I13" s="9">
        <f>'Leeds United'!$S$8</f>
        <v/>
      </c>
      <c r="J13" s="9">
        <f>'Leeds United'!$S$9</f>
        <v/>
      </c>
      <c r="K13" s="14">
        <f>'Leeds United'!$E$26</f>
        <v/>
      </c>
    </row>
    <row r="14">
      <c r="A14" s="6" t="inlineStr">
        <is>
          <t>Aston Villa</t>
        </is>
      </c>
      <c r="B14" s="14">
        <f>'Aston Villa'!$E$25</f>
        <v/>
      </c>
      <c r="C14" s="9">
        <f>'Aston Villa'!$S$2</f>
        <v/>
      </c>
      <c r="D14" s="9">
        <f>'Aston Villa'!$S$3</f>
        <v/>
      </c>
      <c r="E14" s="9">
        <f>'Aston Villa'!$S$4</f>
        <v/>
      </c>
      <c r="F14" s="9">
        <f>'Aston Villa'!$S$5</f>
        <v/>
      </c>
      <c r="G14" s="9">
        <f>'Aston Villa'!$S$6</f>
        <v/>
      </c>
      <c r="H14" s="9">
        <f>'Aston Villa'!$S$7</f>
        <v/>
      </c>
      <c r="I14" s="9">
        <f>'Aston Villa'!$S$8</f>
        <v/>
      </c>
      <c r="J14" s="9">
        <f>'Aston Villa'!$S$9</f>
        <v/>
      </c>
      <c r="K14" s="14">
        <f>'Aston Villa'!$E$26</f>
        <v/>
      </c>
    </row>
    <row r="15">
      <c r="A15" s="6" t="inlineStr">
        <is>
          <t>Newcastle United</t>
        </is>
      </c>
      <c r="B15" s="14">
        <f>'Newcastle United'!$E$25</f>
        <v/>
      </c>
      <c r="C15" s="9">
        <f>'Newcastle United'!$S$2</f>
        <v/>
      </c>
      <c r="D15" s="9">
        <f>'Newcastle United'!$S$3</f>
        <v/>
      </c>
      <c r="E15" s="9">
        <f>'Newcastle United'!$S$4</f>
        <v/>
      </c>
      <c r="F15" s="9">
        <f>'Newcastle United'!$S$5</f>
        <v/>
      </c>
      <c r="G15" s="9">
        <f>'Newcastle United'!$S$6</f>
        <v/>
      </c>
      <c r="H15" s="9">
        <f>'Newcastle United'!$S$7</f>
        <v/>
      </c>
      <c r="I15" s="9">
        <f>'Newcastle United'!$S$8</f>
        <v/>
      </c>
      <c r="J15" s="9">
        <f>'Newcastle United'!$S$9</f>
        <v/>
      </c>
      <c r="K15" s="14">
        <f>'Newcastle United'!$E$26</f>
        <v/>
      </c>
    </row>
    <row r="16">
      <c r="A16" s="6" t="inlineStr">
        <is>
          <t>Arsenal</t>
        </is>
      </c>
      <c r="B16" s="14">
        <f>'Arsenal'!$E$25</f>
        <v/>
      </c>
      <c r="C16" s="9">
        <f>'Arsenal'!$S$2</f>
        <v/>
      </c>
      <c r="D16" s="9">
        <f>'Arsenal'!$S$3</f>
        <v/>
      </c>
      <c r="E16" s="9">
        <f>'Arsenal'!$S$4</f>
        <v/>
      </c>
      <c r="F16" s="9">
        <f>'Arsenal'!$S$5</f>
        <v/>
      </c>
      <c r="G16" s="9">
        <f>'Arsenal'!$S$6</f>
        <v/>
      </c>
      <c r="H16" s="9">
        <f>'Arsenal'!$S$7</f>
        <v/>
      </c>
      <c r="I16" s="9">
        <f>'Arsenal'!$S$8</f>
        <v/>
      </c>
      <c r="J16" s="9">
        <f>'Arsenal'!$S$9</f>
        <v/>
      </c>
      <c r="K16" s="14">
        <f>'Arsenal'!$E$26</f>
        <v/>
      </c>
    </row>
    <row r="17">
      <c r="A17" s="6" t="inlineStr">
        <is>
          <t>Hull</t>
        </is>
      </c>
      <c r="B17" s="14">
        <f>'Hull'!$E$25</f>
        <v/>
      </c>
      <c r="C17" s="9">
        <f>'Hull'!$S$2</f>
        <v/>
      </c>
      <c r="D17" s="9">
        <f>'Hull'!$S$3</f>
        <v/>
      </c>
      <c r="E17" s="9">
        <f>'Hull'!$S$4</f>
        <v/>
      </c>
      <c r="F17" s="9">
        <f>'Hull'!$S$5</f>
        <v/>
      </c>
      <c r="G17" s="9">
        <f>'Hull'!$S$6</f>
        <v/>
      </c>
      <c r="H17" s="9">
        <f>'Hull'!$S$7</f>
        <v/>
      </c>
      <c r="I17" s="9">
        <f>'Hull'!$S$8</f>
        <v/>
      </c>
      <c r="J17" s="9">
        <f>'Hull'!$S$9</f>
        <v/>
      </c>
      <c r="K17" s="14">
        <f>'Hull'!$E$26</f>
        <v/>
      </c>
    </row>
    <row r="18">
      <c r="A18" s="6" t="inlineStr">
        <is>
          <t>Chelsea</t>
        </is>
      </c>
      <c r="B18" s="14">
        <f>'Chelsea'!$E$25</f>
        <v/>
      </c>
      <c r="C18" s="9">
        <f>'Chelsea'!$S$2</f>
        <v/>
      </c>
      <c r="D18" s="9">
        <f>'Chelsea'!$S$3</f>
        <v/>
      </c>
      <c r="E18" s="9">
        <f>'Chelsea'!$S$4</f>
        <v/>
      </c>
      <c r="F18" s="9">
        <f>'Chelsea'!$S$5</f>
        <v/>
      </c>
      <c r="G18" s="9">
        <f>'Chelsea'!$S$6</f>
        <v/>
      </c>
      <c r="H18" s="9">
        <f>'Chelsea'!$S$7</f>
        <v/>
      </c>
      <c r="I18" s="9">
        <f>'Chelsea'!$S$8</f>
        <v/>
      </c>
      <c r="J18" s="9">
        <f>'Chelsea'!$S$9</f>
        <v/>
      </c>
      <c r="K18" s="14">
        <f>'Chelsea'!$E$26</f>
        <v/>
      </c>
    </row>
    <row r="19">
      <c r="A19" s="6" t="inlineStr">
        <is>
          <t>Liverpool</t>
        </is>
      </c>
      <c r="B19" s="14">
        <f>'Liverpool'!$E$25</f>
        <v/>
      </c>
      <c r="C19" s="9">
        <f>'Liverpool'!$S$2</f>
        <v/>
      </c>
      <c r="D19" s="9">
        <f>'Liverpool'!$S$3</f>
        <v/>
      </c>
      <c r="E19" s="9">
        <f>'Liverpool'!$S$4</f>
        <v/>
      </c>
      <c r="F19" s="9">
        <f>'Liverpool'!$S$5</f>
        <v/>
      </c>
      <c r="G19" s="9">
        <f>'Liverpool'!$S$6</f>
        <v/>
      </c>
      <c r="H19" s="9">
        <f>'Liverpool'!$S$7</f>
        <v/>
      </c>
      <c r="I19" s="9">
        <f>'Liverpool'!$S$8</f>
        <v/>
      </c>
      <c r="J19" s="9">
        <f>'Liverpool'!$S$9</f>
        <v/>
      </c>
      <c r="K19" s="14">
        <f>'Liverpool'!$E$26</f>
        <v/>
      </c>
    </row>
    <row r="20">
      <c r="A20" s="6" t="inlineStr">
        <is>
          <t>Coventry</t>
        </is>
      </c>
      <c r="B20" s="14">
        <f>'Coventry'!$E$25</f>
        <v/>
      </c>
      <c r="C20" s="9">
        <f>'Coventry'!$S$2</f>
        <v/>
      </c>
      <c r="D20" s="9">
        <f>'Coventry'!$S$3</f>
        <v/>
      </c>
      <c r="E20" s="9">
        <f>'Coventry'!$S$4</f>
        <v/>
      </c>
      <c r="F20" s="9">
        <f>'Coventry'!$S$5</f>
        <v/>
      </c>
      <c r="G20" s="9">
        <f>'Coventry'!$S$6</f>
        <v/>
      </c>
      <c r="H20" s="9">
        <f>'Coventry'!$S$7</f>
        <v/>
      </c>
      <c r="I20" s="9">
        <f>'Coventry'!$S$8</f>
        <v/>
      </c>
      <c r="J20" s="9">
        <f>'Coventry'!$S$9</f>
        <v/>
      </c>
      <c r="K20" s="14">
        <f>'Coventry'!$E$26</f>
        <v/>
      </c>
    </row>
    <row r="21">
      <c r="A21" s="6" t="inlineStr">
        <is>
          <t>Tottenham Hotspur</t>
        </is>
      </c>
      <c r="B21" s="14">
        <f>'Tottenham Hotspur'!$E$25</f>
        <v/>
      </c>
      <c r="C21" s="9">
        <f>'Tottenham Hotspur'!$S$2</f>
        <v/>
      </c>
      <c r="D21" s="9">
        <f>'Tottenham Hotspur'!$S$3</f>
        <v/>
      </c>
      <c r="E21" s="9">
        <f>'Tottenham Hotspur'!$S$4</f>
        <v/>
      </c>
      <c r="F21" s="9">
        <f>'Tottenham Hotspur'!$S$5</f>
        <v/>
      </c>
      <c r="G21" s="9">
        <f>'Tottenham Hotspur'!$S$6</f>
        <v/>
      </c>
      <c r="H21" s="9">
        <f>'Tottenham Hotspur'!$S$7</f>
        <v/>
      </c>
      <c r="I21" s="9">
        <f>'Tottenham Hotspur'!$S$8</f>
        <v/>
      </c>
      <c r="J21" s="9">
        <f>'Tottenham Hotspur'!$S$9</f>
        <v/>
      </c>
      <c r="K21" s="14">
        <f>'Tottenham Hotspur'!$E$26</f>
        <v/>
      </c>
    </row>
  </sheetData>
  <conditionalFormatting sqref="B2:K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J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3"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Bournemouth</t>
        </is>
      </c>
      <c r="B2" s="14">
        <f>'Bournemouth'!$E$33</f>
        <v/>
      </c>
      <c r="C2" s="9">
        <f>'Bournemouth'!$V$2</f>
        <v/>
      </c>
      <c r="D2" s="9">
        <f>'Bournemouth'!$V$3</f>
        <v/>
      </c>
      <c r="E2" s="9">
        <f>'Bournemouth'!$V$4</f>
        <v/>
      </c>
      <c r="F2" s="9">
        <f>'Bournemouth'!$V$5</f>
        <v/>
      </c>
      <c r="G2" s="9">
        <f>'Bournemouth'!$V$6</f>
        <v/>
      </c>
      <c r="H2" s="9">
        <f>'Bournemouth'!$V$7</f>
        <v/>
      </c>
      <c r="I2" s="9">
        <f>'Bournemouth'!$V$8</f>
        <v/>
      </c>
      <c r="J2" s="9">
        <f>'Bournemouth'!$V$9</f>
        <v/>
      </c>
    </row>
    <row r="3">
      <c r="A3" s="6" t="inlineStr">
        <is>
          <t>Nottingham Forest</t>
        </is>
      </c>
      <c r="B3" s="14">
        <f>'Nottingham Forest'!$E$33</f>
        <v/>
      </c>
      <c r="C3" s="9">
        <f>'Nottingham Forest'!$V$2</f>
        <v/>
      </c>
      <c r="D3" s="9">
        <f>'Nottingham Forest'!$V$3</f>
        <v/>
      </c>
      <c r="E3" s="9">
        <f>'Nottingham Forest'!$V$4</f>
        <v/>
      </c>
      <c r="F3" s="9">
        <f>'Nottingham Forest'!$V$5</f>
        <v/>
      </c>
      <c r="G3" s="9">
        <f>'Nottingham Forest'!$V$6</f>
        <v/>
      </c>
      <c r="H3" s="9">
        <f>'Nottingham Forest'!$V$7</f>
        <v/>
      </c>
      <c r="I3" s="9">
        <f>'Nottingham Forest'!$V$8</f>
        <v/>
      </c>
      <c r="J3" s="9">
        <f>'Nottingham Forest'!$V$9</f>
        <v/>
      </c>
    </row>
    <row r="4">
      <c r="A4" s="6" t="inlineStr">
        <is>
          <t>Brighton &amp; Hove Albion</t>
        </is>
      </c>
      <c r="B4" s="14">
        <f>'Brighton &amp; Hove Albion'!$E$33</f>
        <v/>
      </c>
      <c r="C4" s="9">
        <f>'Brighton &amp; Hove Albion'!$V$2</f>
        <v/>
      </c>
      <c r="D4" s="9">
        <f>'Brighton &amp; Hove Albion'!$V$3</f>
        <v/>
      </c>
      <c r="E4" s="9">
        <f>'Brighton &amp; Hove Albion'!$V$4</f>
        <v/>
      </c>
      <c r="F4" s="9">
        <f>'Brighton &amp; Hove Albion'!$V$5</f>
        <v/>
      </c>
      <c r="G4" s="9">
        <f>'Brighton &amp; Hove Albion'!$V$6</f>
        <v/>
      </c>
      <c r="H4" s="9">
        <f>'Brighton &amp; Hove Albion'!$V$7</f>
        <v/>
      </c>
      <c r="I4" s="9">
        <f>'Brighton &amp; Hove Albion'!$V$8</f>
        <v/>
      </c>
      <c r="J4" s="9">
        <f>'Brighton &amp; Hove Albion'!$V$9</f>
        <v/>
      </c>
    </row>
    <row r="5">
      <c r="A5" s="6" t="inlineStr">
        <is>
          <t>Hull</t>
        </is>
      </c>
      <c r="B5" s="14">
        <f>'Hull'!$E$33</f>
        <v/>
      </c>
      <c r="C5" s="9">
        <f>'Hull'!$V$2</f>
        <v/>
      </c>
      <c r="D5" s="9">
        <f>'Hull'!$V$3</f>
        <v/>
      </c>
      <c r="E5" s="9">
        <f>'Hull'!$V$4</f>
        <v/>
      </c>
      <c r="F5" s="9">
        <f>'Hull'!$V$5</f>
        <v/>
      </c>
      <c r="G5" s="9">
        <f>'Hull'!$V$6</f>
        <v/>
      </c>
      <c r="H5" s="9">
        <f>'Hull'!$V$7</f>
        <v/>
      </c>
      <c r="I5" s="9">
        <f>'Hull'!$V$8</f>
        <v/>
      </c>
      <c r="J5" s="9">
        <f>'Hull'!$V$9</f>
        <v/>
      </c>
    </row>
    <row r="6">
      <c r="A6" s="6" t="inlineStr">
        <is>
          <t>Ipswich</t>
        </is>
      </c>
      <c r="B6" s="14">
        <f>'Ipswich'!$E$33</f>
        <v/>
      </c>
      <c r="C6" s="9">
        <f>'Ipswich'!$V$2</f>
        <v/>
      </c>
      <c r="D6" s="9">
        <f>'Ipswich'!$V$3</f>
        <v/>
      </c>
      <c r="E6" s="9">
        <f>'Ipswich'!$V$4</f>
        <v/>
      </c>
      <c r="F6" s="9">
        <f>'Ipswich'!$V$5</f>
        <v/>
      </c>
      <c r="G6" s="9">
        <f>'Ipswich'!$V$6</f>
        <v/>
      </c>
      <c r="H6" s="9">
        <f>'Ipswich'!$V$7</f>
        <v/>
      </c>
      <c r="I6" s="9">
        <f>'Ipswich'!$V$8</f>
        <v/>
      </c>
      <c r="J6" s="9">
        <f>'Ipswich'!$V$9</f>
        <v/>
      </c>
    </row>
    <row r="7">
      <c r="A7" s="6" t="inlineStr">
        <is>
          <t>Sunderland</t>
        </is>
      </c>
      <c r="B7" s="14">
        <f>'Sunderland'!$E$33</f>
        <v/>
      </c>
      <c r="C7" s="9">
        <f>'Sunderland'!$V$2</f>
        <v/>
      </c>
      <c r="D7" s="9">
        <f>'Sunderland'!$V$3</f>
        <v/>
      </c>
      <c r="E7" s="9">
        <f>'Sunderland'!$V$4</f>
        <v/>
      </c>
      <c r="F7" s="9">
        <f>'Sunderland'!$V$5</f>
        <v/>
      </c>
      <c r="G7" s="9">
        <f>'Sunderland'!$V$6</f>
        <v/>
      </c>
      <c r="H7" s="9">
        <f>'Sunderland'!$V$7</f>
        <v/>
      </c>
      <c r="I7" s="9">
        <f>'Sunderland'!$V$8</f>
        <v/>
      </c>
      <c r="J7" s="9">
        <f>'Sunderland'!$V$9</f>
        <v/>
      </c>
    </row>
    <row r="8">
      <c r="A8" s="6" t="inlineStr">
        <is>
          <t>Coventry</t>
        </is>
      </c>
      <c r="B8" s="14">
        <f>'Coventry'!$E$33</f>
        <v/>
      </c>
      <c r="C8" s="9">
        <f>'Coventry'!$V$2</f>
        <v/>
      </c>
      <c r="D8" s="9">
        <f>'Coventry'!$V$3</f>
        <v/>
      </c>
      <c r="E8" s="9">
        <f>'Coventry'!$V$4</f>
        <v/>
      </c>
      <c r="F8" s="9">
        <f>'Coventry'!$V$5</f>
        <v/>
      </c>
      <c r="G8" s="9">
        <f>'Coventry'!$V$6</f>
        <v/>
      </c>
      <c r="H8" s="9">
        <f>'Coventry'!$V$7</f>
        <v/>
      </c>
      <c r="I8" s="9">
        <f>'Coventry'!$V$8</f>
        <v/>
      </c>
      <c r="J8" s="9">
        <f>'Coventry'!$V$9</f>
        <v/>
      </c>
    </row>
    <row r="9">
      <c r="A9" s="6" t="inlineStr">
        <is>
          <t>Fulham</t>
        </is>
      </c>
      <c r="B9" s="14">
        <f>'Fulham'!$E$33</f>
        <v/>
      </c>
      <c r="C9" s="9">
        <f>'Fulham'!$V$2</f>
        <v/>
      </c>
      <c r="D9" s="9">
        <f>'Fulham'!$V$3</f>
        <v/>
      </c>
      <c r="E9" s="9">
        <f>'Fulham'!$V$4</f>
        <v/>
      </c>
      <c r="F9" s="9">
        <f>'Fulham'!$V$5</f>
        <v/>
      </c>
      <c r="G9" s="9">
        <f>'Fulham'!$V$6</f>
        <v/>
      </c>
      <c r="H9" s="9">
        <f>'Fulham'!$V$7</f>
        <v/>
      </c>
      <c r="I9" s="9">
        <f>'Fulham'!$V$8</f>
        <v/>
      </c>
      <c r="J9" s="9">
        <f>'Fulham'!$V$9</f>
        <v/>
      </c>
    </row>
    <row r="10">
      <c r="A10" s="6" t="inlineStr">
        <is>
          <t>Leeds United</t>
        </is>
      </c>
      <c r="B10" s="14">
        <f>'Leeds United'!$E$33</f>
        <v/>
      </c>
      <c r="C10" s="9">
        <f>'Leeds United'!$V$2</f>
        <v/>
      </c>
      <c r="D10" s="9">
        <f>'Leeds United'!$V$3</f>
        <v/>
      </c>
      <c r="E10" s="9">
        <f>'Leeds United'!$V$4</f>
        <v/>
      </c>
      <c r="F10" s="9">
        <f>'Leeds United'!$V$5</f>
        <v/>
      </c>
      <c r="G10" s="9">
        <f>'Leeds United'!$V$6</f>
        <v/>
      </c>
      <c r="H10" s="9">
        <f>'Leeds United'!$V$7</f>
        <v/>
      </c>
      <c r="I10" s="9">
        <f>'Leeds United'!$V$8</f>
        <v/>
      </c>
      <c r="J10" s="9">
        <f>'Leeds United'!$V$9</f>
        <v/>
      </c>
    </row>
    <row r="11">
      <c r="A11" s="6" t="inlineStr">
        <is>
          <t>Everton</t>
        </is>
      </c>
      <c r="B11" s="14">
        <f>'Everton'!$E$33</f>
        <v/>
      </c>
      <c r="C11" s="9">
        <f>'Everton'!$V$2</f>
        <v/>
      </c>
      <c r="D11" s="9">
        <f>'Everton'!$V$3</f>
        <v/>
      </c>
      <c r="E11" s="9">
        <f>'Everton'!$V$4</f>
        <v/>
      </c>
      <c r="F11" s="9">
        <f>'Everton'!$V$5</f>
        <v/>
      </c>
      <c r="G11" s="9">
        <f>'Everton'!$V$6</f>
        <v/>
      </c>
      <c r="H11" s="9">
        <f>'Everton'!$V$7</f>
        <v/>
      </c>
      <c r="I11" s="9">
        <f>'Everton'!$V$8</f>
        <v/>
      </c>
      <c r="J11" s="9">
        <f>'Everton'!$V$9</f>
        <v/>
      </c>
    </row>
    <row r="12">
      <c r="A12" s="6" t="inlineStr">
        <is>
          <t>Aston Villa</t>
        </is>
      </c>
      <c r="B12" s="14">
        <f>'Aston Villa'!$E$33</f>
        <v/>
      </c>
      <c r="C12" s="9">
        <f>'Aston Villa'!$V$2</f>
        <v/>
      </c>
      <c r="D12" s="9">
        <f>'Aston Villa'!$V$3</f>
        <v/>
      </c>
      <c r="E12" s="9">
        <f>'Aston Villa'!$V$4</f>
        <v/>
      </c>
      <c r="F12" s="9">
        <f>'Aston Villa'!$V$5</f>
        <v/>
      </c>
      <c r="G12" s="9">
        <f>'Aston Villa'!$V$6</f>
        <v/>
      </c>
      <c r="H12" s="9">
        <f>'Aston Villa'!$V$7</f>
        <v/>
      </c>
      <c r="I12" s="9">
        <f>'Aston Villa'!$V$8</f>
        <v/>
      </c>
      <c r="J12" s="9">
        <f>'Aston Villa'!$V$9</f>
        <v/>
      </c>
    </row>
    <row r="13">
      <c r="A13" s="6" t="inlineStr">
        <is>
          <t>Crystal Palace</t>
        </is>
      </c>
      <c r="B13" s="14">
        <f>'Crystal Palace'!$E$33</f>
        <v/>
      </c>
      <c r="C13" s="9">
        <f>'Crystal Palace'!$V$2</f>
        <v/>
      </c>
      <c r="D13" s="9">
        <f>'Crystal Palace'!$V$3</f>
        <v/>
      </c>
      <c r="E13" s="9">
        <f>'Crystal Palace'!$V$4</f>
        <v/>
      </c>
      <c r="F13" s="9">
        <f>'Crystal Palace'!$V$5</f>
        <v/>
      </c>
      <c r="G13" s="9">
        <f>'Crystal Palace'!$V$6</f>
        <v/>
      </c>
      <c r="H13" s="9">
        <f>'Crystal Palace'!$V$7</f>
        <v/>
      </c>
      <c r="I13" s="9">
        <f>'Crystal Palace'!$V$8</f>
        <v/>
      </c>
      <c r="J13" s="9">
        <f>'Crystal Palace'!$V$9</f>
        <v/>
      </c>
    </row>
    <row r="14">
      <c r="A14" s="6" t="inlineStr">
        <is>
          <t>Tottenham Hotspur</t>
        </is>
      </c>
      <c r="B14" s="14">
        <f>'Tottenham Hotspur'!$E$33</f>
        <v/>
      </c>
      <c r="C14" s="9">
        <f>'Tottenham Hotspur'!$V$2</f>
        <v/>
      </c>
      <c r="D14" s="9">
        <f>'Tottenham Hotspur'!$V$3</f>
        <v/>
      </c>
      <c r="E14" s="9">
        <f>'Tottenham Hotspur'!$V$4</f>
        <v/>
      </c>
      <c r="F14" s="9">
        <f>'Tottenham Hotspur'!$V$5</f>
        <v/>
      </c>
      <c r="G14" s="9">
        <f>'Tottenham Hotspur'!$V$6</f>
        <v/>
      </c>
      <c r="H14" s="9">
        <f>'Tottenham Hotspur'!$V$7</f>
        <v/>
      </c>
      <c r="I14" s="9">
        <f>'Tottenham Hotspur'!$V$8</f>
        <v/>
      </c>
      <c r="J14" s="9">
        <f>'Tottenham Hotspur'!$V$9</f>
        <v/>
      </c>
    </row>
    <row r="15">
      <c r="A15" s="6" t="inlineStr">
        <is>
          <t>Brentford</t>
        </is>
      </c>
      <c r="B15" s="14">
        <f>'Brentford'!$E$33</f>
        <v/>
      </c>
      <c r="C15" s="9">
        <f>'Brentford'!$V$2</f>
        <v/>
      </c>
      <c r="D15" s="9">
        <f>'Brentford'!$V$3</f>
        <v/>
      </c>
      <c r="E15" s="9">
        <f>'Brentford'!$V$4</f>
        <v/>
      </c>
      <c r="F15" s="9">
        <f>'Brentford'!$V$5</f>
        <v/>
      </c>
      <c r="G15" s="9">
        <f>'Brentford'!$V$6</f>
        <v/>
      </c>
      <c r="H15" s="9">
        <f>'Brentford'!$V$7</f>
        <v/>
      </c>
      <c r="I15" s="9">
        <f>'Brentford'!$V$8</f>
        <v/>
      </c>
      <c r="J15" s="9">
        <f>'Brentford'!$V$9</f>
        <v/>
      </c>
    </row>
    <row r="16">
      <c r="A16" s="6" t="inlineStr">
        <is>
          <t>Arsenal</t>
        </is>
      </c>
      <c r="B16" s="14">
        <f>'Arsenal'!$E$33</f>
        <v/>
      </c>
      <c r="C16" s="9">
        <f>'Arsenal'!$V$2</f>
        <v/>
      </c>
      <c r="D16" s="9">
        <f>'Arsenal'!$V$3</f>
        <v/>
      </c>
      <c r="E16" s="9">
        <f>'Arsenal'!$V$4</f>
        <v/>
      </c>
      <c r="F16" s="9">
        <f>'Arsenal'!$V$5</f>
        <v/>
      </c>
      <c r="G16" s="9">
        <f>'Arsenal'!$V$6</f>
        <v/>
      </c>
      <c r="H16" s="9">
        <f>'Arsenal'!$V$7</f>
        <v/>
      </c>
      <c r="I16" s="9">
        <f>'Arsenal'!$V$8</f>
        <v/>
      </c>
      <c r="J16" s="9">
        <f>'Arsenal'!$V$9</f>
        <v/>
      </c>
    </row>
    <row r="17">
      <c r="A17" s="6" t="inlineStr">
        <is>
          <t>Liverpool</t>
        </is>
      </c>
      <c r="B17" s="14">
        <f>'Liverpool'!$E$33</f>
        <v/>
      </c>
      <c r="C17" s="9">
        <f>'Liverpool'!$V$2</f>
        <v/>
      </c>
      <c r="D17" s="9">
        <f>'Liverpool'!$V$3</f>
        <v/>
      </c>
      <c r="E17" s="9">
        <f>'Liverpool'!$V$4</f>
        <v/>
      </c>
      <c r="F17" s="9">
        <f>'Liverpool'!$V$5</f>
        <v/>
      </c>
      <c r="G17" s="9">
        <f>'Liverpool'!$V$6</f>
        <v/>
      </c>
      <c r="H17" s="9">
        <f>'Liverpool'!$V$7</f>
        <v/>
      </c>
      <c r="I17" s="9">
        <f>'Liverpool'!$V$8</f>
        <v/>
      </c>
      <c r="J17" s="9">
        <f>'Liverpool'!$V$9</f>
        <v/>
      </c>
    </row>
    <row r="18">
      <c r="A18" s="6" t="inlineStr">
        <is>
          <t>Manchester City</t>
        </is>
      </c>
      <c r="B18" s="14">
        <f>'Manchester City'!$E$33</f>
        <v/>
      </c>
      <c r="C18" s="9">
        <f>'Manchester City'!$V$2</f>
        <v/>
      </c>
      <c r="D18" s="9">
        <f>'Manchester City'!$V$3</f>
        <v/>
      </c>
      <c r="E18" s="9">
        <f>'Manchester City'!$V$4</f>
        <v/>
      </c>
      <c r="F18" s="9">
        <f>'Manchester City'!$V$5</f>
        <v/>
      </c>
      <c r="G18" s="9">
        <f>'Manchester City'!$V$6</f>
        <v/>
      </c>
      <c r="H18" s="9">
        <f>'Manchester City'!$V$7</f>
        <v/>
      </c>
      <c r="I18" s="9">
        <f>'Manchester City'!$V$8</f>
        <v/>
      </c>
      <c r="J18" s="9">
        <f>'Manchester City'!$V$9</f>
        <v/>
      </c>
    </row>
    <row r="19">
      <c r="A19" s="6" t="inlineStr">
        <is>
          <t>Manchester United</t>
        </is>
      </c>
      <c r="B19" s="14">
        <f>'Manchester United'!$E$33</f>
        <v/>
      </c>
      <c r="C19" s="9">
        <f>'Manchester United'!$V$2</f>
        <v/>
      </c>
      <c r="D19" s="9">
        <f>'Manchester United'!$V$3</f>
        <v/>
      </c>
      <c r="E19" s="9">
        <f>'Manchester United'!$V$4</f>
        <v/>
      </c>
      <c r="F19" s="9">
        <f>'Manchester United'!$V$5</f>
        <v/>
      </c>
      <c r="G19" s="9">
        <f>'Manchester United'!$V$6</f>
        <v/>
      </c>
      <c r="H19" s="9">
        <f>'Manchester United'!$V$7</f>
        <v/>
      </c>
      <c r="I19" s="9">
        <f>'Manchester United'!$V$8</f>
        <v/>
      </c>
      <c r="J19" s="9">
        <f>'Manchester United'!$V$9</f>
        <v/>
      </c>
    </row>
    <row r="20">
      <c r="A20" s="6" t="inlineStr">
        <is>
          <t>Chelsea</t>
        </is>
      </c>
      <c r="B20" s="14">
        <f>'Chelsea'!$E$33</f>
        <v/>
      </c>
      <c r="C20" s="9">
        <f>'Chelsea'!$V$2</f>
        <v/>
      </c>
      <c r="D20" s="9">
        <f>'Chelsea'!$V$3</f>
        <v/>
      </c>
      <c r="E20" s="9">
        <f>'Chelsea'!$V$4</f>
        <v/>
      </c>
      <c r="F20" s="9">
        <f>'Chelsea'!$V$5</f>
        <v/>
      </c>
      <c r="G20" s="9">
        <f>'Chelsea'!$V$6</f>
        <v/>
      </c>
      <c r="H20" s="9">
        <f>'Chelsea'!$V$7</f>
        <v/>
      </c>
      <c r="I20" s="9">
        <f>'Chelsea'!$V$8</f>
        <v/>
      </c>
      <c r="J20" s="9">
        <f>'Chelsea'!$V$9</f>
        <v/>
      </c>
    </row>
    <row r="21">
      <c r="A21" s="6" t="inlineStr">
        <is>
          <t>Newcastle United</t>
        </is>
      </c>
      <c r="B21" s="14">
        <f>'Newcastle United'!$E$33</f>
        <v/>
      </c>
      <c r="C21" s="9">
        <f>'Newcastle United'!$V$2</f>
        <v/>
      </c>
      <c r="D21" s="9">
        <f>'Newcastle United'!$V$3</f>
        <v/>
      </c>
      <c r="E21" s="9">
        <f>'Newcastle United'!$V$4</f>
        <v/>
      </c>
      <c r="F21" s="9">
        <f>'Newcastle United'!$V$5</f>
        <v/>
      </c>
      <c r="G21" s="9">
        <f>'Newcastle United'!$V$6</f>
        <v/>
      </c>
      <c r="H21" s="9">
        <f>'Newcastle United'!$V$7</f>
        <v/>
      </c>
      <c r="I21" s="9">
        <f>'Newcastle United'!$V$8</f>
        <v/>
      </c>
      <c r="J21" s="9">
        <f>'Newcastle United'!$V$9</f>
        <v/>
      </c>
    </row>
  </sheetData>
  <conditionalFormatting sqref="B2:J21">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2026-08-21</t>
        </is>
      </c>
      <c r="B2" s="6" t="inlineStr">
        <is>
          <t>Coventry</t>
        </is>
      </c>
      <c r="C2" s="6" t="inlineStr">
        <is>
          <t>Home</t>
        </is>
      </c>
      <c r="D2" s="6" t="n">
        <v>3</v>
      </c>
      <c r="E2" s="6" t="n">
        <v>0</v>
      </c>
      <c r="F2" s="9" t="n">
        <v>2.55</v>
      </c>
      <c r="G2" s="9" t="n">
        <v>0.59</v>
      </c>
      <c r="H2" s="9" t="n">
        <v>1.88</v>
      </c>
      <c r="I2" s="9" t="n">
        <v>0.2</v>
      </c>
      <c r="J2" s="9" t="n">
        <v>-0.67</v>
      </c>
      <c r="K2" s="9" t="n">
        <v>-0.39</v>
      </c>
      <c r="L2" s="9" t="n">
        <v>-0.67</v>
      </c>
      <c r="M2" s="9" t="n">
        <v>-0.39</v>
      </c>
      <c r="N2" s="9" t="n">
        <v>-0.24</v>
      </c>
      <c r="O2" s="9" t="n">
        <v>-0.31</v>
      </c>
      <c r="P2" s="9" t="n">
        <v>-0.24</v>
      </c>
      <c r="Q2" s="9" t="n">
        <v>-0.31</v>
      </c>
      <c r="R2" s="9">
        <f>(H2-I2)-(F2-G2)</f>
        <v/>
      </c>
      <c r="S2" s="9">
        <f>(H2+I2)-(F2+G2)</f>
        <v/>
      </c>
      <c r="T2" s="9" t="n">
        <v>2.55</v>
      </c>
      <c r="U2" s="9" t="n">
        <v>2.53</v>
      </c>
      <c r="V2" s="9" t="n">
        <v>0.02</v>
      </c>
      <c r="W2" s="9" t="n">
        <v>2.55</v>
      </c>
      <c r="X2" s="9" t="n">
        <v>2.53</v>
      </c>
      <c r="Z2" s="12" t="inlineStr">
        <is>
          <t>Expected = the pre-match market xG (what the odds implied) for each side.</t>
        </is>
      </c>
    </row>
    <row r="3">
      <c r="A3" s="8" t="inlineStr">
        <is>
          <t>2026-08-31</t>
        </is>
      </c>
      <c r="B3" s="8" t="inlineStr">
        <is>
          <t>Aston Villa</t>
        </is>
      </c>
      <c r="C3" s="8" t="inlineStr">
        <is>
          <t>Away</t>
        </is>
      </c>
      <c r="D3" s="8" t="n">
        <v>1</v>
      </c>
      <c r="E3" s="8" t="n">
        <v>0</v>
      </c>
      <c r="F3" s="10" t="n">
        <v>1.94</v>
      </c>
      <c r="G3" s="10" t="n">
        <v>0.88</v>
      </c>
      <c r="H3" s="10" t="n">
        <v>1.04</v>
      </c>
      <c r="I3" s="10" t="n">
        <v>0.33</v>
      </c>
      <c r="J3" s="10" t="n">
        <v>-0.9</v>
      </c>
      <c r="K3" s="10" t="n">
        <v>-0.55</v>
      </c>
      <c r="L3" s="10" t="n">
        <v>-0.79</v>
      </c>
      <c r="M3" s="10" t="n">
        <v>-0.47</v>
      </c>
      <c r="N3" s="10" t="n">
        <v>-1.06</v>
      </c>
      <c r="O3" s="10" t="n">
        <v>-0.42</v>
      </c>
      <c r="P3" s="10" t="n">
        <v>-0.65</v>
      </c>
      <c r="Q3" s="10" t="n">
        <v>-0.37</v>
      </c>
      <c r="R3" s="10">
        <f>(H3-I3)-(F3-G3)</f>
        <v/>
      </c>
      <c r="S3" s="10">
        <f>(H3+I3)-(F3+G3)</f>
        <v/>
      </c>
      <c r="T3" s="10" t="n">
        <v>1.95</v>
      </c>
      <c r="U3" s="10" t="n">
        <v>2.08</v>
      </c>
      <c r="V3" s="10" t="n">
        <v>-0.13</v>
      </c>
      <c r="W3" s="10" t="n">
        <v>4.5</v>
      </c>
      <c r="X3" s="10" t="n">
        <v>4.62</v>
      </c>
      <c r="Z3" s="4" t="inlineStr">
        <is>
          <t>Games vs expected</t>
        </is>
      </c>
      <c r="AA3" s="4" t="inlineStr">
        <is>
          <t>Above</t>
        </is>
      </c>
      <c r="AB3" s="4" t="inlineStr">
        <is>
          <t>Below</t>
        </is>
      </c>
    </row>
    <row r="4">
      <c r="A4" s="6" t="inlineStr">
        <is>
          <t>2026-09-06</t>
        </is>
      </c>
      <c r="B4" s="6" t="inlineStr">
        <is>
          <t>Chelsea</t>
        </is>
      </c>
      <c r="C4" s="6" t="inlineStr">
        <is>
          <t>Home</t>
        </is>
      </c>
      <c r="D4" s="6" t="n">
        <v>2</v>
      </c>
      <c r="E4" s="6" t="n">
        <v>1</v>
      </c>
      <c r="F4" s="9" t="n">
        <v>1.85</v>
      </c>
      <c r="G4" s="9" t="n">
        <v>0.98</v>
      </c>
      <c r="H4" s="9" t="n">
        <v>2.05</v>
      </c>
      <c r="I4" s="9" t="n">
        <v>0.39</v>
      </c>
      <c r="J4" s="9" t="n">
        <v>0.2</v>
      </c>
      <c r="K4" s="9" t="n">
        <v>-0.59</v>
      </c>
      <c r="L4" s="9" t="n">
        <v>-0.46</v>
      </c>
      <c r="M4" s="9" t="n">
        <v>-0.51</v>
      </c>
      <c r="N4" s="9" t="n">
        <v>0.08</v>
      </c>
      <c r="O4" s="9" t="n">
        <v>-0.04</v>
      </c>
      <c r="P4" s="9" t="n">
        <v>-0.41</v>
      </c>
      <c r="Q4" s="9" t="n">
        <v>-0.26</v>
      </c>
      <c r="R4" s="9">
        <f>(H4-I4)-(F4-G4)</f>
        <v/>
      </c>
      <c r="S4" s="9">
        <f>(H4+I4)-(F4+G4)</f>
        <v/>
      </c>
      <c r="T4" s="9" t="n">
        <v>2.48</v>
      </c>
      <c r="U4" s="9" t="n">
        <v>1.96</v>
      </c>
      <c r="V4" s="9" t="n">
        <v>0.52</v>
      </c>
      <c r="W4" s="9" t="n">
        <v>6.98</v>
      </c>
      <c r="X4" s="9" t="n">
        <v>6.58</v>
      </c>
      <c r="Z4" s="6" t="inlineStr">
        <is>
          <t>xG For vs expected</t>
        </is>
      </c>
      <c r="AA4" s="5">
        <f>COUNTIF($J$2:$J$9,"&gt;0")</f>
        <v/>
      </c>
      <c r="AB4" s="5">
        <f>COUNTIF($J$2:$J$9,"&lt;0")</f>
        <v/>
      </c>
    </row>
    <row r="5">
      <c r="A5" s="8" t="inlineStr">
        <is>
          <t>2026-09-12</t>
        </is>
      </c>
      <c r="B5" s="8" t="inlineStr">
        <is>
          <t>Sunderland</t>
        </is>
      </c>
      <c r="C5" s="8" t="inlineStr">
        <is>
          <t>Away</t>
        </is>
      </c>
      <c r="D5" s="8" t="n">
        <v>2</v>
      </c>
      <c r="E5" s="8" t="n">
        <v>0</v>
      </c>
      <c r="F5" s="10" t="n">
        <v>1.85</v>
      </c>
      <c r="G5" s="10" t="n">
        <v>0.6899999999999999</v>
      </c>
      <c r="H5" s="10" t="n">
        <v>1.88</v>
      </c>
      <c r="I5" s="10" t="n">
        <v>1.8</v>
      </c>
      <c r="J5" s="10" t="n">
        <v>0.03</v>
      </c>
      <c r="K5" s="10" t="n">
        <v>1.11</v>
      </c>
      <c r="L5" s="10" t="n">
        <v>-0.34</v>
      </c>
      <c r="M5" s="10" t="n">
        <v>-0.1</v>
      </c>
      <c r="N5" s="10" t="n">
        <v>-0.26</v>
      </c>
      <c r="O5" s="10" t="n">
        <v>0.87</v>
      </c>
      <c r="P5" s="10" t="n">
        <v>-0.37</v>
      </c>
      <c r="Q5" s="10" t="n">
        <v>0.02</v>
      </c>
      <c r="R5" s="10">
        <f>(H5-I5)-(F5-G5)</f>
        <v/>
      </c>
      <c r="S5" s="10">
        <f>(H5+I5)-(F5+G5)</f>
        <v/>
      </c>
      <c r="T5" s="10" t="n">
        <v>1.44</v>
      </c>
      <c r="U5" s="10" t="n">
        <v>2.17</v>
      </c>
      <c r="V5" s="10" t="n">
        <v>-0.73</v>
      </c>
      <c r="W5" s="10" t="n">
        <v>8.42</v>
      </c>
      <c r="X5" s="10" t="n">
        <v>8.75</v>
      </c>
      <c r="Z5" s="6" t="inlineStr">
        <is>
          <t>xG Against vs expected</t>
        </is>
      </c>
      <c r="AA5" s="5">
        <f>COUNTIF($K$2:$K$9,"&gt;0")</f>
        <v/>
      </c>
      <c r="AB5" s="5">
        <f>COUNTIF($K$2:$K$9,"&lt;0")</f>
        <v/>
      </c>
    </row>
    <row r="6">
      <c r="A6" s="6" t="inlineStr">
        <is>
          <t>2026-09-19</t>
        </is>
      </c>
      <c r="B6" s="6" t="inlineStr">
        <is>
          <t>Brighton &amp; Hove Albion</t>
        </is>
      </c>
      <c r="C6" s="6" t="inlineStr">
        <is>
          <t>Away</t>
        </is>
      </c>
      <c r="D6" s="6" t="n">
        <v>0</v>
      </c>
      <c r="E6" s="6" t="n">
        <v>3</v>
      </c>
      <c r="F6" s="9" t="n">
        <v>1.87</v>
      </c>
      <c r="G6" s="9" t="n">
        <v>1</v>
      </c>
      <c r="H6" s="9" t="n">
        <v>1.63</v>
      </c>
      <c r="I6" s="9" t="n">
        <v>1.31</v>
      </c>
      <c r="J6" s="9" t="n">
        <v>-0.24</v>
      </c>
      <c r="K6" s="9" t="n">
        <v>0.31</v>
      </c>
      <c r="L6" s="9" t="n">
        <v>-0.32</v>
      </c>
      <c r="M6" s="9" t="n">
        <v>-0.02</v>
      </c>
      <c r="N6" s="9" t="n">
        <v>-0.28</v>
      </c>
      <c r="O6" s="9" t="n">
        <v>-0.23</v>
      </c>
      <c r="P6" s="9" t="n">
        <v>-0.35</v>
      </c>
      <c r="Q6" s="9" t="n">
        <v>-0.03</v>
      </c>
      <c r="R6" s="9">
        <f>(H6-I6)-(F6-G6)</f>
        <v/>
      </c>
      <c r="S6" s="9">
        <f>(H6+I6)-(F6+G6)</f>
        <v/>
      </c>
      <c r="T6" s="9" t="n">
        <v>1.59</v>
      </c>
      <c r="U6" s="9" t="n">
        <v>1.96</v>
      </c>
      <c r="V6" s="9" t="n">
        <v>-0.36</v>
      </c>
      <c r="W6" s="9" t="n">
        <v>10.01</v>
      </c>
      <c r="X6" s="9" t="n">
        <v>10.7</v>
      </c>
      <c r="Z6" s="6" t="inlineStr">
        <is>
          <t>Goals For vs expected</t>
        </is>
      </c>
      <c r="AA6" s="5">
        <f>SUMPRODUCT(--($D$2:$D$9&gt;$F$2:$F$9))</f>
        <v/>
      </c>
      <c r="AB6" s="5">
        <f>SUMPRODUCT(--($D$2:$D$9&lt;$F$2:$F$9))</f>
        <v/>
      </c>
    </row>
    <row r="7">
      <c r="A7" s="8" t="inlineStr">
        <is>
          <t>2026-10-10</t>
        </is>
      </c>
      <c r="B7" s="8" t="inlineStr">
        <is>
          <t>Leeds United</t>
        </is>
      </c>
      <c r="C7" s="8" t="inlineStr">
        <is>
          <t>Home</t>
        </is>
      </c>
      <c r="D7" s="8" t="n">
        <v>2</v>
      </c>
      <c r="E7" s="8" t="n">
        <v>1</v>
      </c>
      <c r="F7" s="10" t="n">
        <v>2.07</v>
      </c>
      <c r="G7" s="10" t="n">
        <v>0.72</v>
      </c>
      <c r="H7" s="10" t="n">
        <v>2.33</v>
      </c>
      <c r="I7" s="10" t="n">
        <v>0.62</v>
      </c>
      <c r="J7" s="10" t="n">
        <v>0.26</v>
      </c>
      <c r="K7" s="10" t="n">
        <v>-0.1</v>
      </c>
      <c r="L7" s="10" t="n">
        <v>-0.22</v>
      </c>
      <c r="M7" s="10" t="n">
        <v>-0.03</v>
      </c>
      <c r="N7" s="10" t="n">
        <v>0.41</v>
      </c>
      <c r="O7" s="10" t="n">
        <v>-0.1</v>
      </c>
      <c r="P7" s="10" t="n">
        <v>-0.22</v>
      </c>
      <c r="Q7" s="10" t="n">
        <v>-0.04</v>
      </c>
      <c r="R7" s="10">
        <f>(H7-I7)-(F7-G7)</f>
        <v/>
      </c>
      <c r="S7" s="10">
        <f>(H7+I7)-(F7+G7)</f>
        <v/>
      </c>
      <c r="T7" s="10" t="n">
        <v>2.44</v>
      </c>
      <c r="U7" s="10" t="n">
        <v>2.26</v>
      </c>
      <c r="V7" s="10" t="n">
        <v>0.18</v>
      </c>
      <c r="W7" s="10" t="n">
        <v>12.45</v>
      </c>
      <c r="X7" s="10" t="n">
        <v>12.96</v>
      </c>
      <c r="Z7" s="6" t="inlineStr">
        <is>
          <t>Goals Against vs expected</t>
        </is>
      </c>
      <c r="AA7" s="5">
        <f>SUMPRODUCT(--($E$2:$E$9&gt;$G$2:$G$9))</f>
        <v/>
      </c>
      <c r="AB7" s="5">
        <f>SUMPRODUCT(--($E$2:$E$9&lt;$G$2:$G$9))</f>
        <v/>
      </c>
    </row>
    <row r="8">
      <c r="A8" s="6" t="inlineStr">
        <is>
          <t>2026-10-18</t>
        </is>
      </c>
      <c r="B8" s="6" t="inlineStr">
        <is>
          <t>Nottingham Forest</t>
        </is>
      </c>
      <c r="C8" s="6" t="inlineStr">
        <is>
          <t>Away</t>
        </is>
      </c>
      <c r="D8" s="6" t="n">
        <v>1</v>
      </c>
      <c r="E8" s="6" t="n">
        <v>0</v>
      </c>
      <c r="F8" s="9" t="n">
        <v>1.83</v>
      </c>
      <c r="G8" s="9" t="n">
        <v>0.84</v>
      </c>
      <c r="H8" s="9" t="n">
        <v>1.14</v>
      </c>
      <c r="I8" s="9" t="n">
        <v>0.9</v>
      </c>
      <c r="J8" s="9" t="n">
        <v>-0.6899999999999999</v>
      </c>
      <c r="K8" s="9" t="n">
        <v>0.06</v>
      </c>
      <c r="L8" s="9" t="n">
        <v>-0.22</v>
      </c>
      <c r="M8" s="9" t="n">
        <v>0.04</v>
      </c>
      <c r="N8" s="9" t="n">
        <v>-0.42</v>
      </c>
      <c r="O8" s="9" t="n">
        <v>-0.4</v>
      </c>
      <c r="P8" s="9" t="n">
        <v>-0.25</v>
      </c>
      <c r="Q8" s="9" t="n">
        <v>-0.05</v>
      </c>
      <c r="R8" s="9">
        <f>(H8-I8)-(F8-G8)</f>
        <v/>
      </c>
      <c r="S8" s="9">
        <f>(H8+I8)-(F8+G8)</f>
        <v/>
      </c>
      <c r="T8" s="9" t="n">
        <v>1.54</v>
      </c>
      <c r="U8" s="9" t="n">
        <v>2.04</v>
      </c>
      <c r="V8" s="9" t="n">
        <v>-0.51</v>
      </c>
      <c r="W8" s="9" t="n">
        <v>13.98</v>
      </c>
      <c r="X8" s="9" t="n">
        <v>15.01</v>
      </c>
      <c r="Z8" s="12" t="inlineStr">
        <is>
          <t>For: Above = beat expectation. Against: Above = conceded more than expected (worse).</t>
        </is>
      </c>
    </row>
    <row r="9">
      <c r="A9" s="8" t="inlineStr">
        <is>
          <t>2026-10-24</t>
        </is>
      </c>
      <c r="B9" s="8" t="inlineStr">
        <is>
          <t>Everton</t>
        </is>
      </c>
      <c r="C9" s="8" t="inlineStr">
        <is>
          <t>Home</t>
        </is>
      </c>
      <c r="D9" s="8" t="n">
        <v>2</v>
      </c>
      <c r="E9" s="8" t="n">
        <v>0</v>
      </c>
      <c r="F9" s="10" t="n">
        <v>2.04</v>
      </c>
      <c r="G9" s="10" t="n">
        <v>0.72</v>
      </c>
      <c r="H9" s="10" t="n">
        <v>1.96</v>
      </c>
      <c r="I9" s="10" t="n">
        <v>0.63</v>
      </c>
      <c r="J9" s="10" t="n">
        <v>-0.08</v>
      </c>
      <c r="K9" s="10" t="n">
        <v>-0.09</v>
      </c>
      <c r="L9" s="10" t="n">
        <v>-0.09</v>
      </c>
      <c r="M9" s="10" t="n">
        <v>0.12</v>
      </c>
      <c r="N9" s="10" t="n">
        <v>-0.09</v>
      </c>
      <c r="O9" s="10" t="n">
        <v>-0.06</v>
      </c>
      <c r="P9" s="10" t="n">
        <v>-0.09</v>
      </c>
      <c r="Q9" s="10" t="n">
        <v>0.01</v>
      </c>
      <c r="R9" s="10">
        <f>(H9-I9)-(F9-G9)</f>
        <v/>
      </c>
      <c r="S9" s="10">
        <f>(H9+I9)-(F9+G9)</f>
        <v/>
      </c>
      <c r="T9" s="10" t="n">
        <v>2.27</v>
      </c>
      <c r="U9" s="10" t="n">
        <v>2.25</v>
      </c>
      <c r="V9" s="10" t="n">
        <v>0.02</v>
      </c>
      <c r="W9" s="10" t="n">
        <v>16.25</v>
      </c>
      <c r="X9" s="10" t="n">
        <v>17.25</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9</v>
      </c>
      <c r="D37" s="16" t="n">
        <v>2</v>
      </c>
      <c r="E37" s="20" t="n">
        <v>0.21</v>
      </c>
      <c r="F37" s="20" t="n">
        <v>0.18</v>
      </c>
      <c r="G37" s="20" t="n">
        <v>-0.37</v>
      </c>
      <c r="H37" s="20" t="n">
        <v>-0.28</v>
      </c>
      <c r="AF37" s="11" t="inlineStr">
        <is>
          <t>Arsenal: closing odds to win, by opponent (league table order)</t>
        </is>
      </c>
    </row>
    <row r="38">
      <c r="A38" s="16" t="inlineStr">
        <is>
          <t>Away</t>
        </is>
      </c>
      <c r="B38" s="16" t="n">
        <v>4</v>
      </c>
      <c r="C38" s="16" t="n">
        <v>4</v>
      </c>
      <c r="D38" s="16" t="n">
        <v>3</v>
      </c>
      <c r="E38" s="20" t="n">
        <v>-0.6899999999999999</v>
      </c>
      <c r="F38" s="20" t="n">
        <v>-0.65</v>
      </c>
      <c r="G38" s="20" t="n">
        <v>-0.22</v>
      </c>
      <c r="H38" s="20" t="n">
        <v>-0.28</v>
      </c>
      <c r="AF38" s="4" t="inlineStr">
        <is>
          <t>League Table</t>
        </is>
      </c>
      <c r="AG38" s="4" t="inlineStr">
        <is>
          <t>Home Odds</t>
        </is>
      </c>
      <c r="AH38" s="4" t="inlineStr">
        <is>
          <t>Away Odds</t>
        </is>
      </c>
    </row>
    <row r="39">
      <c r="A39" s="21" t="inlineStr">
        <is>
          <t>Total</t>
        </is>
      </c>
      <c r="B39" s="21" t="n">
        <v>8</v>
      </c>
      <c r="C39" s="21" t="n">
        <v>13</v>
      </c>
      <c r="D39" s="21" t="n">
        <v>5</v>
      </c>
      <c r="E39" s="22" t="n">
        <v>-0.24</v>
      </c>
      <c r="F39" s="22" t="n">
        <v>-0.32</v>
      </c>
      <c r="G39" s="22" t="n">
        <v>-0.29</v>
      </c>
      <c r="H39" s="22" t="n">
        <v>-0.28</v>
      </c>
      <c r="AF39" s="6" t="inlineStr">
        <is>
          <t>1. Manchester City</t>
        </is>
      </c>
      <c r="AG39" s="15" t="n"/>
      <c r="AH39" s="15" t="n"/>
    </row>
    <row r="40">
      <c r="AF40" s="23" t="inlineStr">
        <is>
          <t>2. Arsenal</t>
        </is>
      </c>
      <c r="AG40" s="24" t="n"/>
      <c r="AH40" s="24" t="n"/>
    </row>
    <row r="41">
      <c r="AF41" s="6" t="inlineStr">
        <is>
          <t>3. Brighton &amp; Hove Albion</t>
        </is>
      </c>
      <c r="AG41" s="15" t="n"/>
      <c r="AH41" s="25" t="n">
        <v>1.67</v>
      </c>
    </row>
    <row r="42">
      <c r="AF42" s="6" t="inlineStr">
        <is>
          <t>4. Liverpool</t>
        </is>
      </c>
      <c r="AG42" s="15" t="n"/>
      <c r="AH42" s="15" t="n"/>
    </row>
    <row r="43">
      <c r="AF43" s="6" t="inlineStr">
        <is>
          <t>5. Chelsea</t>
        </is>
      </c>
      <c r="AG43" s="26" t="n">
        <v>1.67</v>
      </c>
      <c r="AH43" s="15" t="n"/>
    </row>
    <row r="44">
      <c r="AF44" s="6" t="inlineStr">
        <is>
          <t>6. Brentford</t>
        </is>
      </c>
      <c r="AG44" s="15" t="n"/>
      <c r="AH44" s="15" t="n"/>
    </row>
    <row r="45">
      <c r="AF45" s="6" t="inlineStr">
        <is>
          <t>7. Leeds United</t>
        </is>
      </c>
      <c r="AG45" s="26" t="n">
        <v>1.4</v>
      </c>
      <c r="AH45" s="15" t="n"/>
    </row>
    <row r="46">
      <c r="AF46" s="6" t="inlineStr">
        <is>
          <t>8. Newcastle United</t>
        </is>
      </c>
      <c r="AG46" s="15" t="n"/>
      <c r="AH46" s="15" t="n"/>
    </row>
    <row r="47">
      <c r="AF47" s="6" t="inlineStr">
        <is>
          <t>9. Aston Villa</t>
        </is>
      </c>
      <c r="AG47" s="15" t="n"/>
      <c r="AH47" s="26" t="n">
        <v>1.44</v>
      </c>
    </row>
    <row r="48">
      <c r="AF48" s="6" t="inlineStr">
        <is>
          <t>10. Hull</t>
        </is>
      </c>
      <c r="AG48" s="15" t="n"/>
      <c r="AH48" s="15" t="n"/>
    </row>
    <row r="49">
      <c r="AF49" s="6" t="inlineStr">
        <is>
          <t>11. Everton</t>
        </is>
      </c>
      <c r="AG49" s="26" t="n">
        <v>1.33</v>
      </c>
      <c r="AH49" s="15" t="n"/>
    </row>
    <row r="50">
      <c r="AF50" s="6" t="inlineStr">
        <is>
          <t>12. Ipswich</t>
        </is>
      </c>
      <c r="AG50" s="15" t="n"/>
      <c r="AH50" s="15" t="n"/>
    </row>
    <row r="51">
      <c r="AF51" s="6" t="inlineStr">
        <is>
          <t>13. Bournemouth</t>
        </is>
      </c>
      <c r="AG51" s="15" t="n"/>
      <c r="AH51" s="15" t="n"/>
    </row>
    <row r="52">
      <c r="AF52" s="6" t="inlineStr">
        <is>
          <t>14. Tottenham Hotspur</t>
        </is>
      </c>
      <c r="AG52" s="15" t="n"/>
      <c r="AH52" s="15" t="n"/>
    </row>
    <row r="53">
      <c r="AF53" s="6" t="inlineStr">
        <is>
          <t>15. Fulham</t>
        </is>
      </c>
      <c r="AG53" s="15" t="n"/>
      <c r="AH53" s="15" t="n"/>
    </row>
    <row r="54">
      <c r="AF54" s="6" t="inlineStr">
        <is>
          <t>16. Manchester United</t>
        </is>
      </c>
      <c r="AG54" s="15" t="n"/>
      <c r="AH54" s="15" t="n"/>
    </row>
    <row r="55">
      <c r="AF55" s="6" t="inlineStr">
        <is>
          <t>17. Crystal Palace</t>
        </is>
      </c>
      <c r="AG55" s="15" t="n"/>
      <c r="AH55" s="15" t="n"/>
    </row>
    <row r="56">
      <c r="AF56" s="6" t="inlineStr">
        <is>
          <t>18. Nottingham Forest</t>
        </is>
      </c>
      <c r="AG56" s="15" t="n"/>
      <c r="AH56" s="26" t="n">
        <v>1.44</v>
      </c>
    </row>
    <row r="57">
      <c r="AF57" s="6" t="inlineStr">
        <is>
          <t>19. Coventry</t>
        </is>
      </c>
      <c r="AG57" s="26" t="n">
        <v>1.17</v>
      </c>
      <c r="AH57" s="15" t="n"/>
    </row>
    <row r="58">
      <c r="AF58" s="6" t="inlineStr">
        <is>
          <t>20. Sunderland</t>
        </is>
      </c>
      <c r="AG58" s="15" t="n"/>
      <c r="AH58" s="26" t="n">
        <v>1.62</v>
      </c>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Brighton &amp; Hove Albion</t>
        </is>
      </c>
      <c r="C2" s="6" t="inlineStr">
        <is>
          <t>Away</t>
        </is>
      </c>
      <c r="D2" s="6" t="n">
        <v>0</v>
      </c>
      <c r="E2" s="6" t="n">
        <v>4</v>
      </c>
      <c r="F2" s="9" t="n">
        <v>1.34</v>
      </c>
      <c r="G2" s="9" t="n">
        <v>1.62</v>
      </c>
      <c r="H2" s="9" t="n">
        <v>0.29</v>
      </c>
      <c r="I2" s="9" t="n">
        <v>3.77</v>
      </c>
      <c r="J2" s="9" t="n">
        <v>-1.05</v>
      </c>
      <c r="K2" s="9" t="n">
        <v>2.15</v>
      </c>
      <c r="L2" s="9" t="n">
        <v>-1.05</v>
      </c>
      <c r="M2" s="9" t="n">
        <v>2.15</v>
      </c>
      <c r="N2" s="9" t="n">
        <v>-1.2</v>
      </c>
      <c r="O2" s="9" t="n">
        <v>1.88</v>
      </c>
      <c r="P2" s="9" t="n">
        <v>-1.2</v>
      </c>
      <c r="Q2" s="9" t="n">
        <v>1.88</v>
      </c>
      <c r="R2" s="9">
        <f>(H2-I2)-(F2-G2)</f>
        <v/>
      </c>
      <c r="S2" s="9">
        <f>(H2+I2)-(F2+G2)</f>
        <v/>
      </c>
      <c r="T2" s="9" t="n">
        <v>0.07000000000000001</v>
      </c>
      <c r="U2" s="9" t="n">
        <v>1.19</v>
      </c>
      <c r="V2" s="9" t="n">
        <v>-1.12</v>
      </c>
      <c r="W2" s="9" t="n">
        <v>0.07000000000000001</v>
      </c>
      <c r="X2" s="9" t="n">
        <v>1.19</v>
      </c>
      <c r="Z2" s="12" t="inlineStr">
        <is>
          <t>Expected = the pre-match market xG (what the odds implied) for each side.</t>
        </is>
      </c>
    </row>
    <row r="3">
      <c r="A3" s="8" t="inlineStr">
        <is>
          <t>2026-08-31</t>
        </is>
      </c>
      <c r="B3" s="8" t="inlineStr">
        <is>
          <t>Arsenal</t>
        </is>
      </c>
      <c r="C3" s="8" t="inlineStr">
        <is>
          <t>Home</t>
        </is>
      </c>
      <c r="D3" s="8" t="n">
        <v>0</v>
      </c>
      <c r="E3" s="8" t="n">
        <v>1</v>
      </c>
      <c r="F3" s="10" t="n">
        <v>0.88</v>
      </c>
      <c r="G3" s="10" t="n">
        <v>1.94</v>
      </c>
      <c r="H3" s="10" t="n">
        <v>0.33</v>
      </c>
      <c r="I3" s="10" t="n">
        <v>1.04</v>
      </c>
      <c r="J3" s="10" t="n">
        <v>-0.55</v>
      </c>
      <c r="K3" s="10" t="n">
        <v>-0.9</v>
      </c>
      <c r="L3" s="10" t="n">
        <v>-0.8</v>
      </c>
      <c r="M3" s="10" t="n">
        <v>0.63</v>
      </c>
      <c r="N3" s="10" t="n">
        <v>-0.59</v>
      </c>
      <c r="O3" s="10" t="n">
        <v>-0.73</v>
      </c>
      <c r="P3" s="10" t="n">
        <v>-0.9</v>
      </c>
      <c r="Q3" s="10" t="n">
        <v>0.57</v>
      </c>
      <c r="R3" s="10">
        <f>(H3-I3)-(F3-G3)</f>
        <v/>
      </c>
      <c r="S3" s="10">
        <f>(H3+I3)-(F3+G3)</f>
        <v/>
      </c>
      <c r="T3" s="10" t="n">
        <v>0.7</v>
      </c>
      <c r="U3" s="10" t="n">
        <v>0.7</v>
      </c>
      <c r="V3" s="10" t="n">
        <v>-0</v>
      </c>
      <c r="W3" s="10" t="n">
        <v>0.77</v>
      </c>
      <c r="X3" s="10" t="n">
        <v>1.9</v>
      </c>
      <c r="Z3" s="4" t="inlineStr">
        <is>
          <t>Games vs expected</t>
        </is>
      </c>
      <c r="AA3" s="4" t="inlineStr">
        <is>
          <t>Above</t>
        </is>
      </c>
      <c r="AB3" s="4" t="inlineStr">
        <is>
          <t>Below</t>
        </is>
      </c>
    </row>
    <row r="4">
      <c r="A4" s="6" t="inlineStr">
        <is>
          <t>2026-09-05</t>
        </is>
      </c>
      <c r="B4" s="6" t="inlineStr">
        <is>
          <t>Hull</t>
        </is>
      </c>
      <c r="C4" s="6" t="inlineStr">
        <is>
          <t>Away</t>
        </is>
      </c>
      <c r="D4" s="6" t="n">
        <v>0</v>
      </c>
      <c r="E4" s="6" t="n">
        <v>0</v>
      </c>
      <c r="F4" s="9" t="n">
        <v>1.68</v>
      </c>
      <c r="G4" s="9" t="n">
        <v>1.04</v>
      </c>
      <c r="H4" s="9" t="n">
        <v>1.93</v>
      </c>
      <c r="I4" s="9" t="n">
        <v>0.57</v>
      </c>
      <c r="J4" s="9" t="n">
        <v>0.25</v>
      </c>
      <c r="K4" s="9" t="n">
        <v>-0.47</v>
      </c>
      <c r="L4" s="9" t="n">
        <v>-0.45</v>
      </c>
      <c r="M4" s="9" t="n">
        <v>0.26</v>
      </c>
      <c r="N4" s="9" t="n">
        <v>0.76</v>
      </c>
      <c r="O4" s="9" t="n">
        <v>-0.61</v>
      </c>
      <c r="P4" s="9" t="n">
        <v>-0.34</v>
      </c>
      <c r="Q4" s="9" t="n">
        <v>0.18</v>
      </c>
      <c r="R4" s="9">
        <f>(H4-I4)-(F4-G4)</f>
        <v/>
      </c>
      <c r="S4" s="9">
        <f>(H4+I4)-(F4+G4)</f>
        <v/>
      </c>
      <c r="T4" s="9" t="n">
        <v>2.3</v>
      </c>
      <c r="U4" s="9" t="n">
        <v>1.81</v>
      </c>
      <c r="V4" s="9" t="n">
        <v>0.49</v>
      </c>
      <c r="W4" s="9" t="n">
        <v>3.07</v>
      </c>
      <c r="X4" s="9" t="n">
        <v>3.7</v>
      </c>
      <c r="Z4" s="6" t="inlineStr">
        <is>
          <t>xG For vs expected</t>
        </is>
      </c>
      <c r="AA4" s="5">
        <f>COUNTIF($J$2:$J$9,"&gt;0")</f>
        <v/>
      </c>
      <c r="AB4" s="5">
        <f>COUNTIF($J$2:$J$9,"&lt;0")</f>
        <v/>
      </c>
    </row>
    <row r="5">
      <c r="A5" s="8" t="inlineStr">
        <is>
          <t>2026-09-12</t>
        </is>
      </c>
      <c r="B5" s="8" t="inlineStr">
        <is>
          <t>Nottingham Forest</t>
        </is>
      </c>
      <c r="C5" s="8" t="inlineStr">
        <is>
          <t>Home</t>
        </is>
      </c>
      <c r="D5" s="8" t="n">
        <v>1</v>
      </c>
      <c r="E5" s="8" t="n">
        <v>2</v>
      </c>
      <c r="F5" s="10" t="n">
        <v>1.47</v>
      </c>
      <c r="G5" s="10" t="n">
        <v>1.17</v>
      </c>
      <c r="H5" s="10" t="n">
        <v>0.82</v>
      </c>
      <c r="I5" s="10" t="n">
        <v>2.28</v>
      </c>
      <c r="J5" s="10" t="n">
        <v>-0.65</v>
      </c>
      <c r="K5" s="10" t="n">
        <v>1.11</v>
      </c>
      <c r="L5" s="10" t="n">
        <v>-0.5</v>
      </c>
      <c r="M5" s="10" t="n">
        <v>0.47</v>
      </c>
      <c r="N5" s="10" t="n">
        <v>-0.38</v>
      </c>
      <c r="O5" s="10" t="n">
        <v>0.8100000000000001</v>
      </c>
      <c r="P5" s="10" t="n">
        <v>-0.35</v>
      </c>
      <c r="Q5" s="10" t="n">
        <v>0.34</v>
      </c>
      <c r="R5" s="10">
        <f>(H5-I5)-(F5-G5)</f>
        <v/>
      </c>
      <c r="S5" s="10">
        <f>(H5+I5)-(F5+G5)</f>
        <v/>
      </c>
      <c r="T5" s="10" t="n">
        <v>0.54</v>
      </c>
      <c r="U5" s="10" t="n">
        <v>1.58</v>
      </c>
      <c r="V5" s="10" t="n">
        <v>-1.04</v>
      </c>
      <c r="W5" s="10" t="n">
        <v>3.6</v>
      </c>
      <c r="X5" s="10" t="n">
        <v>5.28</v>
      </c>
      <c r="Z5" s="6" t="inlineStr">
        <is>
          <t>xG Against vs expected</t>
        </is>
      </c>
      <c r="AA5" s="5">
        <f>COUNTIF($K$2:$K$9,"&gt;0")</f>
        <v/>
      </c>
      <c r="AB5" s="5">
        <f>COUNTIF($K$2:$K$9,"&lt;0")</f>
        <v/>
      </c>
    </row>
    <row r="6">
      <c r="A6" s="6" t="inlineStr">
        <is>
          <t>2026-09-19</t>
        </is>
      </c>
      <c r="B6" s="6" t="inlineStr">
        <is>
          <t>Tottenham Hotspur</t>
        </is>
      </c>
      <c r="C6" s="6" t="inlineStr">
        <is>
          <t>Away</t>
        </is>
      </c>
      <c r="D6" s="6" t="n">
        <v>3</v>
      </c>
      <c r="E6" s="6" t="n">
        <v>2</v>
      </c>
      <c r="F6" s="9" t="n">
        <v>1.15</v>
      </c>
      <c r="G6" s="9" t="n">
        <v>1.63</v>
      </c>
      <c r="H6" s="9" t="n">
        <v>1.26</v>
      </c>
      <c r="I6" s="9" t="n">
        <v>1.56</v>
      </c>
      <c r="J6" s="9" t="n">
        <v>0.11</v>
      </c>
      <c r="K6" s="9" t="n">
        <v>-0.07000000000000001</v>
      </c>
      <c r="L6" s="9" t="n">
        <v>-0.38</v>
      </c>
      <c r="M6" s="9" t="n">
        <v>0.36</v>
      </c>
      <c r="N6" s="9" t="n">
        <v>0.36</v>
      </c>
      <c r="O6" s="9" t="n">
        <v>0.47</v>
      </c>
      <c r="P6" s="9" t="n">
        <v>-0.21</v>
      </c>
      <c r="Q6" s="9" t="n">
        <v>0.36</v>
      </c>
      <c r="R6" s="9">
        <f>(H6-I6)-(F6-G6)</f>
        <v/>
      </c>
      <c r="S6" s="9">
        <f>(H6+I6)-(F6+G6)</f>
        <v/>
      </c>
      <c r="T6" s="9" t="n">
        <v>1.17</v>
      </c>
      <c r="U6" s="9" t="n">
        <v>1.05</v>
      </c>
      <c r="V6" s="9" t="n">
        <v>0.12</v>
      </c>
      <c r="W6" s="9" t="n">
        <v>4.77</v>
      </c>
      <c r="X6" s="9" t="n">
        <v>6.34</v>
      </c>
      <c r="Z6" s="6" t="inlineStr">
        <is>
          <t>Goals For vs expected</t>
        </is>
      </c>
      <c r="AA6" s="5">
        <f>SUMPRODUCT(--($D$2:$D$9&gt;$F$2:$F$9))</f>
        <v/>
      </c>
      <c r="AB6" s="5">
        <f>SUMPRODUCT(--($D$2:$D$9&lt;$F$2:$F$9))</f>
        <v/>
      </c>
    </row>
    <row r="7">
      <c r="A7" s="8" t="inlineStr">
        <is>
          <t>2026-10-10</t>
        </is>
      </c>
      <c r="B7" s="8" t="inlineStr">
        <is>
          <t>Brentford</t>
        </is>
      </c>
      <c r="C7" s="8" t="inlineStr">
        <is>
          <t>Home</t>
        </is>
      </c>
      <c r="D7" s="8" t="n">
        <v>2</v>
      </c>
      <c r="E7" s="8" t="n">
        <v>2</v>
      </c>
      <c r="F7" s="10" t="n">
        <v>1.45</v>
      </c>
      <c r="G7" s="10" t="n">
        <v>1.46</v>
      </c>
      <c r="H7" s="10" t="n">
        <v>2.28</v>
      </c>
      <c r="I7" s="10" t="n">
        <v>1.06</v>
      </c>
      <c r="J7" s="10" t="n">
        <v>0.83</v>
      </c>
      <c r="K7" s="10" t="n">
        <v>-0.4</v>
      </c>
      <c r="L7" s="10" t="n">
        <v>-0.18</v>
      </c>
      <c r="M7" s="10" t="n">
        <v>0.24</v>
      </c>
      <c r="N7" s="10" t="n">
        <v>0.8</v>
      </c>
      <c r="O7" s="10" t="n">
        <v>-0.57</v>
      </c>
      <c r="P7" s="10" t="n">
        <v>-0.04</v>
      </c>
      <c r="Q7" s="10" t="n">
        <v>0.21</v>
      </c>
      <c r="R7" s="10">
        <f>(H7-I7)-(F7-G7)</f>
        <v/>
      </c>
      <c r="S7" s="10">
        <f>(H7+I7)-(F7+G7)</f>
        <v/>
      </c>
      <c r="T7" s="10" t="n">
        <v>2.13</v>
      </c>
      <c r="U7" s="10" t="n">
        <v>1.37</v>
      </c>
      <c r="V7" s="10" t="n">
        <v>0.76</v>
      </c>
      <c r="W7" s="10" t="n">
        <v>6.91</v>
      </c>
      <c r="X7" s="10" t="n">
        <v>7.71</v>
      </c>
      <c r="Z7" s="6" t="inlineStr">
        <is>
          <t>Goals Against vs expected</t>
        </is>
      </c>
      <c r="AA7" s="5">
        <f>SUMPRODUCT(--($E$2:$E$9&gt;$G$2:$G$9))</f>
        <v/>
      </c>
      <c r="AB7" s="5">
        <f>SUMPRODUCT(--($E$2:$E$9&lt;$G$2:$G$9))</f>
        <v/>
      </c>
    </row>
    <row r="8">
      <c r="A8" s="6" t="inlineStr">
        <is>
          <t>2026-10-17</t>
        </is>
      </c>
      <c r="B8" s="6" t="inlineStr">
        <is>
          <t>Newcastle United</t>
        </is>
      </c>
      <c r="C8" s="6" t="inlineStr">
        <is>
          <t>Away</t>
        </is>
      </c>
      <c r="D8" s="6" t="n">
        <v>1</v>
      </c>
      <c r="E8" s="6" t="n">
        <v>0</v>
      </c>
      <c r="F8" s="9" t="n">
        <v>1.41</v>
      </c>
      <c r="G8" s="9" t="n">
        <v>1.65</v>
      </c>
      <c r="H8" s="9" t="n">
        <v>1.57</v>
      </c>
      <c r="I8" s="9" t="n">
        <v>0.99</v>
      </c>
      <c r="J8" s="9" t="n">
        <v>0.16</v>
      </c>
      <c r="K8" s="9" t="n">
        <v>-0.66</v>
      </c>
      <c r="L8" s="9" t="n">
        <v>0.03</v>
      </c>
      <c r="M8" s="9" t="n">
        <v>-0.23</v>
      </c>
      <c r="N8" s="9" t="n">
        <v>-0.11</v>
      </c>
      <c r="O8" s="9" t="n">
        <v>-0.23</v>
      </c>
      <c r="P8" s="9" t="n">
        <v>0.14</v>
      </c>
      <c r="Q8" s="9" t="n">
        <v>-0.15</v>
      </c>
      <c r="R8" s="9">
        <f>(H8-I8)-(F8-G8)</f>
        <v/>
      </c>
      <c r="S8" s="9">
        <f>(H8+I8)-(F8+G8)</f>
        <v/>
      </c>
      <c r="T8" s="9" t="n">
        <v>1.78</v>
      </c>
      <c r="U8" s="9" t="n">
        <v>1.22</v>
      </c>
      <c r="V8" s="9" t="n">
        <v>0.5600000000000001</v>
      </c>
      <c r="W8" s="9" t="n">
        <v>8.68</v>
      </c>
      <c r="X8" s="9" t="n">
        <v>8.93</v>
      </c>
      <c r="Z8" s="12" t="inlineStr">
        <is>
          <t>For: Above = beat expectation. Against: Above = conceded more than expected (worse).</t>
        </is>
      </c>
    </row>
    <row r="9">
      <c r="A9" s="8" t="inlineStr">
        <is>
          <t>2026-10-24</t>
        </is>
      </c>
      <c r="B9" s="8" t="inlineStr">
        <is>
          <t>Manchester City</t>
        </is>
      </c>
      <c r="C9" s="8" t="inlineStr">
        <is>
          <t>Home</t>
        </is>
      </c>
      <c r="D9" s="8" t="n">
        <v>2</v>
      </c>
      <c r="E9" s="8" t="n">
        <v>1</v>
      </c>
      <c r="F9" s="10" t="n">
        <v>1.13</v>
      </c>
      <c r="G9" s="10" t="n">
        <v>2.1</v>
      </c>
      <c r="H9" s="10" t="n">
        <v>0.61</v>
      </c>
      <c r="I9" s="10" t="n">
        <v>1.56</v>
      </c>
      <c r="J9" s="10" t="n">
        <v>-0.52</v>
      </c>
      <c r="K9" s="10" t="n">
        <v>-0.54</v>
      </c>
      <c r="L9" s="10" t="n">
        <v>0.03</v>
      </c>
      <c r="M9" s="10" t="n">
        <v>-0.17</v>
      </c>
      <c r="N9" s="10" t="n">
        <v>-0.9</v>
      </c>
      <c r="O9" s="10" t="n">
        <v>-0.47</v>
      </c>
      <c r="P9" s="10" t="n">
        <v>0.09</v>
      </c>
      <c r="Q9" s="10" t="n">
        <v>-0.1</v>
      </c>
      <c r="R9" s="10">
        <f>(H9-I9)-(F9-G9)</f>
        <v/>
      </c>
      <c r="S9" s="10">
        <f>(H9+I9)-(F9+G9)</f>
        <v/>
      </c>
      <c r="T9" s="10" t="n">
        <v>0.68</v>
      </c>
      <c r="U9" s="10" t="n">
        <v>0.8</v>
      </c>
      <c r="V9" s="10" t="n">
        <v>-0.11</v>
      </c>
      <c r="W9" s="10" t="n">
        <v>9.369999999999999</v>
      </c>
      <c r="X9" s="10" t="n">
        <v>9.720000000000001</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5</v>
      </c>
      <c r="D37" s="16" t="n">
        <v>6</v>
      </c>
      <c r="E37" s="20" t="n">
        <v>-0.04</v>
      </c>
      <c r="F37" s="20" t="n">
        <v>0.19</v>
      </c>
      <c r="G37" s="20" t="n">
        <v>-0.41</v>
      </c>
      <c r="H37" s="20" t="n">
        <v>-0.32</v>
      </c>
      <c r="AF37" s="11" t="inlineStr">
        <is>
          <t>Aston Villa: closing odds to win, by opponent (league table order)</t>
        </is>
      </c>
    </row>
    <row r="38">
      <c r="A38" s="16" t="inlineStr">
        <is>
          <t>Away</t>
        </is>
      </c>
      <c r="B38" s="16" t="n">
        <v>4</v>
      </c>
      <c r="C38" s="16" t="n">
        <v>4</v>
      </c>
      <c r="D38" s="16" t="n">
        <v>6</v>
      </c>
      <c r="E38" s="20" t="n">
        <v>-0.37</v>
      </c>
      <c r="F38" s="20" t="n">
        <v>0.45</v>
      </c>
      <c r="G38" s="20" t="n">
        <v>0.11</v>
      </c>
      <c r="H38" s="20" t="n">
        <v>-0.09</v>
      </c>
      <c r="AF38" s="4" t="inlineStr">
        <is>
          <t>League Table</t>
        </is>
      </c>
      <c r="AG38" s="4" t="inlineStr">
        <is>
          <t>Home Odds</t>
        </is>
      </c>
      <c r="AH38" s="4" t="inlineStr">
        <is>
          <t>Away Odds</t>
        </is>
      </c>
    </row>
    <row r="39">
      <c r="A39" s="21" t="inlineStr">
        <is>
          <t>Total</t>
        </is>
      </c>
      <c r="B39" s="21" t="n">
        <v>8</v>
      </c>
      <c r="C39" s="21" t="n">
        <v>9</v>
      </c>
      <c r="D39" s="21" t="n">
        <v>12</v>
      </c>
      <c r="E39" s="22" t="n">
        <v>-0.2</v>
      </c>
      <c r="F39" s="22" t="n">
        <v>0.27</v>
      </c>
      <c r="G39" s="22" t="n">
        <v>-0.15</v>
      </c>
      <c r="H39" s="22" t="n">
        <v>-0.09</v>
      </c>
      <c r="AF39" s="6" t="inlineStr">
        <is>
          <t>1. Manchester City</t>
        </is>
      </c>
      <c r="AG39" s="26" t="n">
        <v>4.75</v>
      </c>
      <c r="AH39" s="15" t="n"/>
    </row>
    <row r="40">
      <c r="AF40" s="6" t="inlineStr">
        <is>
          <t>2. Arsenal</t>
        </is>
      </c>
      <c r="AG40" s="25" t="n">
        <v>6.5</v>
      </c>
      <c r="AH40" s="15" t="n"/>
    </row>
    <row r="41">
      <c r="AF41" s="6" t="inlineStr">
        <is>
          <t>3. Brighton &amp; Hove Albion</t>
        </is>
      </c>
      <c r="AG41" s="15" t="n"/>
      <c r="AH41" s="25" t="n">
        <v>3.6</v>
      </c>
    </row>
    <row r="42">
      <c r="AF42" s="6" t="inlineStr">
        <is>
          <t>4. Liverpool</t>
        </is>
      </c>
      <c r="AG42" s="15" t="n"/>
      <c r="AH42" s="15" t="n"/>
    </row>
    <row r="43">
      <c r="AF43" s="6" t="inlineStr">
        <is>
          <t>5. Chelsea</t>
        </is>
      </c>
      <c r="AG43" s="15" t="n"/>
      <c r="AH43" s="15" t="n"/>
    </row>
    <row r="44">
      <c r="AF44" s="6" t="inlineStr">
        <is>
          <t>6. Brentford</t>
        </is>
      </c>
      <c r="AG44" s="30" t="n">
        <v>2.5</v>
      </c>
      <c r="AH44" s="15" t="n"/>
    </row>
    <row r="45">
      <c r="AF45" s="6" t="inlineStr">
        <is>
          <t>7. Leeds United</t>
        </is>
      </c>
      <c r="AG45" s="15" t="n"/>
      <c r="AH45" s="15" t="n"/>
    </row>
    <row r="46">
      <c r="AF46" s="6" t="inlineStr">
        <is>
          <t>8. Newcastle United</t>
        </is>
      </c>
      <c r="AG46" s="15" t="n"/>
      <c r="AH46" s="26" t="n">
        <v>3.1</v>
      </c>
    </row>
    <row r="47">
      <c r="AF47" s="23" t="inlineStr">
        <is>
          <t>9. Aston Villa</t>
        </is>
      </c>
      <c r="AG47" s="24" t="n"/>
      <c r="AH47" s="24" t="n"/>
    </row>
    <row r="48">
      <c r="AF48" s="6" t="inlineStr">
        <is>
          <t>10. Hull</t>
        </is>
      </c>
      <c r="AG48" s="15" t="n"/>
      <c r="AH48" s="30" t="n">
        <v>1.9</v>
      </c>
    </row>
    <row r="49">
      <c r="AF49" s="6" t="inlineStr">
        <is>
          <t>11. Everton</t>
        </is>
      </c>
      <c r="AG49" s="15" t="n"/>
      <c r="AH49" s="15" t="n"/>
    </row>
    <row r="50">
      <c r="AF50" s="6" t="inlineStr">
        <is>
          <t>12. Ipswich</t>
        </is>
      </c>
      <c r="AG50" s="15" t="n"/>
      <c r="AH50" s="15" t="n"/>
    </row>
    <row r="51">
      <c r="AF51" s="6" t="inlineStr">
        <is>
          <t>13. Bournemouth</t>
        </is>
      </c>
      <c r="AG51" s="15" t="n"/>
      <c r="AH51" s="15" t="n"/>
    </row>
    <row r="52">
      <c r="AF52" s="6" t="inlineStr">
        <is>
          <t>14. Tottenham Hotspur</t>
        </is>
      </c>
      <c r="AG52" s="15" t="n"/>
      <c r="AH52" s="26" t="n">
        <v>3.8</v>
      </c>
    </row>
    <row r="53">
      <c r="AF53" s="6" t="inlineStr">
        <is>
          <t>15. Fulham</t>
        </is>
      </c>
      <c r="AG53" s="15" t="n"/>
      <c r="AH53" s="15" t="n"/>
    </row>
    <row r="54">
      <c r="AF54" s="6" t="inlineStr">
        <is>
          <t>16. Manchester United</t>
        </is>
      </c>
      <c r="AG54" s="15" t="n"/>
      <c r="AH54" s="15" t="n"/>
    </row>
    <row r="55">
      <c r="AF55" s="6" t="inlineStr">
        <is>
          <t>17. Crystal Palace</t>
        </is>
      </c>
      <c r="AG55" s="15" t="n"/>
      <c r="AH55" s="15" t="n"/>
    </row>
    <row r="56">
      <c r="AF56" s="6" t="inlineStr">
        <is>
          <t>18. Nottingham Forest</t>
        </is>
      </c>
      <c r="AG56" s="25" t="n">
        <v>2.2</v>
      </c>
      <c r="AH56" s="15" t="n"/>
    </row>
    <row r="57">
      <c r="AF57" s="6" t="inlineStr">
        <is>
          <t>19. Coventry</t>
        </is>
      </c>
      <c r="AG57" s="15" t="n"/>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Manchester City</t>
        </is>
      </c>
      <c r="C2" s="6" t="inlineStr">
        <is>
          <t>Away</t>
        </is>
      </c>
      <c r="D2" s="6" t="n">
        <v>1</v>
      </c>
      <c r="E2" s="6" t="n">
        <v>2</v>
      </c>
      <c r="F2" s="9" t="n">
        <v>1.09</v>
      </c>
      <c r="G2" s="9" t="n">
        <v>2.32</v>
      </c>
      <c r="H2" s="9" t="n">
        <v>0.65</v>
      </c>
      <c r="I2" s="9" t="n">
        <v>2.25</v>
      </c>
      <c r="J2" s="9" t="n">
        <v>-0.44</v>
      </c>
      <c r="K2" s="9" t="n">
        <v>-0.07000000000000001</v>
      </c>
      <c r="L2" s="9" t="n">
        <v>-0.44</v>
      </c>
      <c r="M2" s="9" t="n">
        <v>-0.07000000000000001</v>
      </c>
      <c r="N2" s="9" t="n">
        <v>-0.8100000000000001</v>
      </c>
      <c r="O2" s="9" t="n">
        <v>0.07000000000000001</v>
      </c>
      <c r="P2" s="9" t="n">
        <v>-0.8100000000000001</v>
      </c>
      <c r="Q2" s="9" t="n">
        <v>0.07000000000000001</v>
      </c>
      <c r="R2" s="9">
        <f>(H2-I2)-(F2-G2)</f>
        <v/>
      </c>
      <c r="S2" s="9">
        <f>(H2+I2)-(F2+G2)</f>
        <v/>
      </c>
      <c r="T2" s="9" t="n">
        <v>0.45</v>
      </c>
      <c r="U2" s="9" t="n">
        <v>0.68</v>
      </c>
      <c r="V2" s="9" t="n">
        <v>-0.24</v>
      </c>
      <c r="W2" s="9" t="n">
        <v>0.45</v>
      </c>
      <c r="X2" s="9" t="n">
        <v>0.68</v>
      </c>
      <c r="Z2" s="12" t="inlineStr">
        <is>
          <t>Expected = the pre-match market xG (what the odds implied) for each side.</t>
        </is>
      </c>
    </row>
    <row r="3">
      <c r="A3" s="8" t="inlineStr">
        <is>
          <t>2026-08-29</t>
        </is>
      </c>
      <c r="B3" s="8" t="inlineStr">
        <is>
          <t>Everton</t>
        </is>
      </c>
      <c r="C3" s="8" t="inlineStr">
        <is>
          <t>Home</t>
        </is>
      </c>
      <c r="D3" s="8" t="n">
        <v>1</v>
      </c>
      <c r="E3" s="8" t="n">
        <v>1</v>
      </c>
      <c r="F3" s="10" t="n">
        <v>1.56</v>
      </c>
      <c r="G3" s="10" t="n">
        <v>1.12</v>
      </c>
      <c r="H3" s="10" t="n">
        <v>2.16</v>
      </c>
      <c r="I3" s="10" t="n">
        <v>1.84</v>
      </c>
      <c r="J3" s="10" t="n">
        <v>0.6</v>
      </c>
      <c r="K3" s="10" t="n">
        <v>0.72</v>
      </c>
      <c r="L3" s="10" t="n">
        <v>0.08</v>
      </c>
      <c r="M3" s="10" t="n">
        <v>0.33</v>
      </c>
      <c r="N3" s="10" t="n">
        <v>0.7</v>
      </c>
      <c r="O3" s="10" t="n">
        <v>0.86</v>
      </c>
      <c r="P3" s="10" t="n">
        <v>-0.06</v>
      </c>
      <c r="Q3" s="10" t="n">
        <v>0.47</v>
      </c>
      <c r="R3" s="10">
        <f>(H3-I3)-(F3-G3)</f>
        <v/>
      </c>
      <c r="S3" s="10">
        <f>(H3+I3)-(F3+G3)</f>
        <v/>
      </c>
      <c r="T3" s="10" t="n">
        <v>1.58</v>
      </c>
      <c r="U3" s="10" t="n">
        <v>1.68</v>
      </c>
      <c r="V3" s="10" t="n">
        <v>-0.09</v>
      </c>
      <c r="W3" s="10" t="n">
        <v>2.03</v>
      </c>
      <c r="X3" s="10" t="n">
        <v>2.36</v>
      </c>
      <c r="Z3" s="4" t="inlineStr">
        <is>
          <t>Games vs expected</t>
        </is>
      </c>
      <c r="AA3" s="4" t="inlineStr">
        <is>
          <t>Above</t>
        </is>
      </c>
      <c r="AB3" s="4" t="inlineStr">
        <is>
          <t>Below</t>
        </is>
      </c>
    </row>
    <row r="4">
      <c r="A4" s="6" t="inlineStr">
        <is>
          <t>2026-09-05</t>
        </is>
      </c>
      <c r="B4" s="6" t="inlineStr">
        <is>
          <t>Newcastle United</t>
        </is>
      </c>
      <c r="C4" s="6" t="inlineStr">
        <is>
          <t>Away</t>
        </is>
      </c>
      <c r="D4" s="6" t="n">
        <v>2</v>
      </c>
      <c r="E4" s="6" t="n">
        <v>2</v>
      </c>
      <c r="F4" s="9" t="n">
        <v>1.37</v>
      </c>
      <c r="G4" s="9" t="n">
        <v>1.75</v>
      </c>
      <c r="H4" s="9" t="n">
        <v>1.37</v>
      </c>
      <c r="I4" s="9" t="n">
        <v>0.71</v>
      </c>
      <c r="J4" s="9" t="n">
        <v>0</v>
      </c>
      <c r="K4" s="9" t="n">
        <v>-1.04</v>
      </c>
      <c r="L4" s="9" t="n">
        <v>0.06</v>
      </c>
      <c r="M4" s="9" t="n">
        <v>-0.13</v>
      </c>
      <c r="N4" s="9" t="n">
        <v>-0.3</v>
      </c>
      <c r="O4" s="9" t="n">
        <v>-0.66</v>
      </c>
      <c r="P4" s="9" t="n">
        <v>-0.14</v>
      </c>
      <c r="Q4" s="9" t="n">
        <v>0.09</v>
      </c>
      <c r="R4" s="9">
        <f>(H4-I4)-(F4-G4)</f>
        <v/>
      </c>
      <c r="S4" s="9">
        <f>(H4+I4)-(F4+G4)</f>
        <v/>
      </c>
      <c r="T4" s="9" t="n">
        <v>1.86</v>
      </c>
      <c r="U4" s="9" t="n">
        <v>1.14</v>
      </c>
      <c r="V4" s="9" t="n">
        <v>0.72</v>
      </c>
      <c r="W4" s="9" t="n">
        <v>3.89</v>
      </c>
      <c r="X4" s="9" t="n">
        <v>3.5</v>
      </c>
      <c r="Z4" s="6" t="inlineStr">
        <is>
          <t>xG For vs expected</t>
        </is>
      </c>
      <c r="AA4" s="5">
        <f>COUNTIF($J$2:$J$9,"&gt;0")</f>
        <v/>
      </c>
      <c r="AB4" s="5">
        <f>COUNTIF($J$2:$J$9,"&lt;0")</f>
        <v/>
      </c>
    </row>
    <row r="5">
      <c r="A5" s="8" t="inlineStr">
        <is>
          <t>2026-09-12</t>
        </is>
      </c>
      <c r="B5" s="8" t="inlineStr">
        <is>
          <t>Brentford</t>
        </is>
      </c>
      <c r="C5" s="8" t="inlineStr">
        <is>
          <t>Home</t>
        </is>
      </c>
      <c r="D5" s="8" t="n">
        <v>2</v>
      </c>
      <c r="E5" s="8" t="n">
        <v>2</v>
      </c>
      <c r="F5" s="10" t="n">
        <v>1.51</v>
      </c>
      <c r="G5" s="10" t="n">
        <v>1.45</v>
      </c>
      <c r="H5" s="10" t="n">
        <v>1.75</v>
      </c>
      <c r="I5" s="10" t="n">
        <v>0.5</v>
      </c>
      <c r="J5" s="10" t="n">
        <v>0.24</v>
      </c>
      <c r="K5" s="10" t="n">
        <v>-0.95</v>
      </c>
      <c r="L5" s="10" t="n">
        <v>0.1</v>
      </c>
      <c r="M5" s="10" t="n">
        <v>-0.33</v>
      </c>
      <c r="N5" s="10" t="n">
        <v>0.13</v>
      </c>
      <c r="O5" s="10" t="n">
        <v>-1.2</v>
      </c>
      <c r="P5" s="10" t="n">
        <v>-0.07000000000000001</v>
      </c>
      <c r="Q5" s="10" t="n">
        <v>-0.23</v>
      </c>
      <c r="R5" s="10">
        <f>(H5-I5)-(F5-G5)</f>
        <v/>
      </c>
      <c r="S5" s="10">
        <f>(H5+I5)-(F5+G5)</f>
        <v/>
      </c>
      <c r="T5" s="10" t="n">
        <v>2.26</v>
      </c>
      <c r="U5" s="10" t="n">
        <v>1.42</v>
      </c>
      <c r="V5" s="10" t="n">
        <v>0.84</v>
      </c>
      <c r="W5" s="10" t="n">
        <v>6.15</v>
      </c>
      <c r="X5" s="10" t="n">
        <v>4.92</v>
      </c>
      <c r="Z5" s="6" t="inlineStr">
        <is>
          <t>xG Against vs expected</t>
        </is>
      </c>
      <c r="AA5" s="5">
        <f>COUNTIF($K$2:$K$9,"&gt;0")</f>
        <v/>
      </c>
      <c r="AB5" s="5">
        <f>COUNTIF($K$2:$K$9,"&lt;0")</f>
        <v/>
      </c>
    </row>
    <row r="6">
      <c r="A6" s="6" t="inlineStr">
        <is>
          <t>2026-09-20</t>
        </is>
      </c>
      <c r="B6" s="6" t="inlineStr">
        <is>
          <t>Liverpool</t>
        </is>
      </c>
      <c r="C6" s="6" t="inlineStr">
        <is>
          <t>Home</t>
        </is>
      </c>
      <c r="D6" s="6" t="n">
        <v>0</v>
      </c>
      <c r="E6" s="6" t="n">
        <v>1</v>
      </c>
      <c r="F6" s="9" t="n">
        <v>1.43</v>
      </c>
      <c r="G6" s="9" t="n">
        <v>1.79</v>
      </c>
      <c r="H6" s="9" t="n">
        <v>0.79</v>
      </c>
      <c r="I6" s="9" t="n">
        <v>1.65</v>
      </c>
      <c r="J6" s="9" t="n">
        <v>-0.64</v>
      </c>
      <c r="K6" s="9" t="n">
        <v>-0.14</v>
      </c>
      <c r="L6" s="9" t="n">
        <v>-0.05</v>
      </c>
      <c r="M6" s="9" t="n">
        <v>-0.3</v>
      </c>
      <c r="N6" s="9" t="n">
        <v>-0.6</v>
      </c>
      <c r="O6" s="9" t="n">
        <v>0.27</v>
      </c>
      <c r="P6" s="9" t="n">
        <v>-0.18</v>
      </c>
      <c r="Q6" s="9" t="n">
        <v>-0.13</v>
      </c>
      <c r="R6" s="9">
        <f>(H6-I6)-(F6-G6)</f>
        <v/>
      </c>
      <c r="S6" s="9">
        <f>(H6+I6)-(F6+G6)</f>
        <v/>
      </c>
      <c r="T6" s="9" t="n">
        <v>0.78</v>
      </c>
      <c r="U6" s="9" t="n">
        <v>1.15</v>
      </c>
      <c r="V6" s="9" t="n">
        <v>-0.38</v>
      </c>
      <c r="W6" s="9" t="n">
        <v>6.92</v>
      </c>
      <c r="X6" s="9" t="n">
        <v>6.07</v>
      </c>
      <c r="Z6" s="6" t="inlineStr">
        <is>
          <t>Goals For vs expected</t>
        </is>
      </c>
      <c r="AA6" s="5">
        <f>SUMPRODUCT(--($D$2:$D$9&gt;$F$2:$F$9))</f>
        <v/>
      </c>
      <c r="AB6" s="5">
        <f>SUMPRODUCT(--($D$2:$D$9&lt;$F$2:$F$9))</f>
        <v/>
      </c>
    </row>
    <row r="7">
      <c r="A7" s="8" t="inlineStr">
        <is>
          <t>2026-10-10</t>
        </is>
      </c>
      <c r="B7" s="8" t="inlineStr">
        <is>
          <t>Chelsea</t>
        </is>
      </c>
      <c r="C7" s="8" t="inlineStr">
        <is>
          <t>Away</t>
        </is>
      </c>
      <c r="D7" s="8" t="n">
        <v>1</v>
      </c>
      <c r="E7" s="8" t="n">
        <v>5</v>
      </c>
      <c r="F7" s="10" t="n">
        <v>1.2</v>
      </c>
      <c r="G7" s="10" t="n">
        <v>2.1</v>
      </c>
      <c r="H7" s="10" t="n">
        <v>1.38</v>
      </c>
      <c r="I7" s="10" t="n">
        <v>1.1</v>
      </c>
      <c r="J7" s="10" t="n">
        <v>0.18</v>
      </c>
      <c r="K7" s="10" t="n">
        <v>-1</v>
      </c>
      <c r="L7" s="10" t="n">
        <v>-0.01</v>
      </c>
      <c r="M7" s="10" t="n">
        <v>-0.41</v>
      </c>
      <c r="N7" s="10" t="n">
        <v>0.06</v>
      </c>
      <c r="O7" s="10" t="n">
        <v>-0.51</v>
      </c>
      <c r="P7" s="10" t="n">
        <v>-0.14</v>
      </c>
      <c r="Q7" s="10" t="n">
        <v>-0.19</v>
      </c>
      <c r="R7" s="10">
        <f>(H7-I7)-(F7-G7)</f>
        <v/>
      </c>
      <c r="S7" s="10">
        <f>(H7+I7)-(F7+G7)</f>
        <v/>
      </c>
      <c r="T7" s="10" t="n">
        <v>1.57</v>
      </c>
      <c r="U7" s="10" t="n">
        <v>0.85</v>
      </c>
      <c r="V7" s="10" t="n">
        <v>0.72</v>
      </c>
      <c r="W7" s="10" t="n">
        <v>8.49</v>
      </c>
      <c r="X7" s="10" t="n">
        <v>6.91</v>
      </c>
      <c r="Z7" s="6" t="inlineStr">
        <is>
          <t>Goals Against vs expected</t>
        </is>
      </c>
      <c r="AA7" s="5">
        <f>SUMPRODUCT(--($E$2:$E$9&gt;$G$2:$G$9))</f>
        <v/>
      </c>
      <c r="AB7" s="5">
        <f>SUMPRODUCT(--($E$2:$E$9&lt;$G$2:$G$9))</f>
        <v/>
      </c>
    </row>
    <row r="8">
      <c r="A8" s="6" t="inlineStr">
        <is>
          <t>2026-10-18</t>
        </is>
      </c>
      <c r="B8" s="6" t="inlineStr">
        <is>
          <t>Sunderland</t>
        </is>
      </c>
      <c r="C8" s="6" t="inlineStr">
        <is>
          <t>Home</t>
        </is>
      </c>
      <c r="D8" s="6" t="n">
        <v>2</v>
      </c>
      <c r="E8" s="6" t="n">
        <v>0</v>
      </c>
      <c r="F8" s="9" t="n">
        <v>1.61</v>
      </c>
      <c r="G8" s="9" t="n">
        <v>1.17</v>
      </c>
      <c r="H8" s="9" t="n">
        <v>4.23</v>
      </c>
      <c r="I8" s="9" t="n">
        <v>0.07000000000000001</v>
      </c>
      <c r="J8" s="9" t="n">
        <v>2.62</v>
      </c>
      <c r="K8" s="9" t="n">
        <v>-1.1</v>
      </c>
      <c r="L8" s="9" t="n">
        <v>0.5</v>
      </c>
      <c r="M8" s="9" t="n">
        <v>-0.58</v>
      </c>
      <c r="N8" s="9" t="n">
        <v>2.7</v>
      </c>
      <c r="O8" s="9" t="n">
        <v>-1.65</v>
      </c>
      <c r="P8" s="9" t="n">
        <v>0.45</v>
      </c>
      <c r="Q8" s="9" t="n">
        <v>-0.48</v>
      </c>
      <c r="R8" s="9">
        <f>(H8-I8)-(F8-G8)</f>
        <v/>
      </c>
      <c r="S8" s="9">
        <f>(H8+I8)-(F8+G8)</f>
        <v/>
      </c>
      <c r="T8" s="9" t="n">
        <v>2.95</v>
      </c>
      <c r="U8" s="9" t="n">
        <v>1.68</v>
      </c>
      <c r="V8" s="9" t="n">
        <v>1.27</v>
      </c>
      <c r="W8" s="9" t="n">
        <v>11.44</v>
      </c>
      <c r="X8" s="9" t="n">
        <v>8.59</v>
      </c>
      <c r="Z8" s="12" t="inlineStr">
        <is>
          <t>For: Above = beat expectation. Against: Above = conceded more than expected (worse).</t>
        </is>
      </c>
    </row>
    <row r="9">
      <c r="A9" s="8" t="inlineStr">
        <is>
          <t>2026-10-25</t>
        </is>
      </c>
      <c r="B9" s="8" t="inlineStr">
        <is>
          <t>Manchester United</t>
        </is>
      </c>
      <c r="C9" s="8" t="inlineStr">
        <is>
          <t>Away</t>
        </is>
      </c>
      <c r="D9" s="8" t="n">
        <v>3</v>
      </c>
      <c r="E9" s="8" t="n">
        <v>0</v>
      </c>
      <c r="F9" s="10" t="n">
        <v>1.34</v>
      </c>
      <c r="G9" s="10" t="n">
        <v>1.69</v>
      </c>
      <c r="H9" s="10" t="n">
        <v>2.15</v>
      </c>
      <c r="I9" s="10" t="n">
        <v>1.17</v>
      </c>
      <c r="J9" s="10" t="n">
        <v>0.8</v>
      </c>
      <c r="K9" s="10" t="n">
        <v>-0.52</v>
      </c>
      <c r="L9" s="10" t="n">
        <v>0.53</v>
      </c>
      <c r="M9" s="10" t="n">
        <v>-0.79</v>
      </c>
      <c r="N9" s="10" t="n">
        <v>0.66</v>
      </c>
      <c r="O9" s="10" t="n">
        <v>-0.35</v>
      </c>
      <c r="P9" s="10" t="n">
        <v>0.44</v>
      </c>
      <c r="Q9" s="10" t="n">
        <v>-0.68</v>
      </c>
      <c r="R9" s="10">
        <f>(H9-I9)-(F9-G9)</f>
        <v/>
      </c>
      <c r="S9" s="10">
        <f>(H9+I9)-(F9+G9)</f>
        <v/>
      </c>
      <c r="T9" s="10" t="n">
        <v>2</v>
      </c>
      <c r="U9" s="10" t="n">
        <v>1.16</v>
      </c>
      <c r="V9" s="10" t="n">
        <v>0.84</v>
      </c>
      <c r="W9" s="10" t="n">
        <v>13.43</v>
      </c>
      <c r="X9" s="10" t="n">
        <v>9.75</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5</v>
      </c>
      <c r="D37" s="16" t="n">
        <v>4</v>
      </c>
      <c r="E37" s="20" t="n">
        <v>1.07</v>
      </c>
      <c r="F37" s="20" t="n">
        <v>0.53</v>
      </c>
      <c r="G37" s="20" t="n">
        <v>0.34</v>
      </c>
      <c r="H37" s="20" t="n">
        <v>0.3</v>
      </c>
      <c r="AF37" s="11" t="inlineStr">
        <is>
          <t>Bournemouth: closing odds to win, by opponent (league table order)</t>
        </is>
      </c>
    </row>
    <row r="38">
      <c r="A38" s="16" t="inlineStr">
        <is>
          <t>Away</t>
        </is>
      </c>
      <c r="B38" s="16" t="n">
        <v>4</v>
      </c>
      <c r="C38" s="16" t="n">
        <v>7</v>
      </c>
      <c r="D38" s="16" t="n">
        <v>9</v>
      </c>
      <c r="E38" s="20" t="n">
        <v>0.79</v>
      </c>
      <c r="F38" s="20" t="n">
        <v>1.1</v>
      </c>
      <c r="G38" s="20" t="n">
        <v>-0.52</v>
      </c>
      <c r="H38" s="20" t="n">
        <v>-0.67</v>
      </c>
      <c r="AF38" s="4" t="inlineStr">
        <is>
          <t>League Table</t>
        </is>
      </c>
      <c r="AG38" s="4" t="inlineStr">
        <is>
          <t>Home Odds</t>
        </is>
      </c>
      <c r="AH38" s="4" t="inlineStr">
        <is>
          <t>Away Odds</t>
        </is>
      </c>
    </row>
    <row r="39">
      <c r="A39" s="21" t="inlineStr">
        <is>
          <t>Total</t>
        </is>
      </c>
      <c r="B39" s="21" t="n">
        <v>8</v>
      </c>
      <c r="C39" s="21" t="n">
        <v>12</v>
      </c>
      <c r="D39" s="21" t="n">
        <v>13</v>
      </c>
      <c r="E39" s="22" t="n">
        <v>0.93</v>
      </c>
      <c r="F39" s="22" t="n">
        <v>1.1</v>
      </c>
      <c r="G39" s="22" t="n">
        <v>-0.09</v>
      </c>
      <c r="H39" s="22" t="n">
        <v>-0.61</v>
      </c>
      <c r="AF39" s="6" t="inlineStr">
        <is>
          <t>1. Manchester City</t>
        </is>
      </c>
      <c r="AG39" s="15" t="n"/>
      <c r="AH39" s="25" t="n">
        <v>6</v>
      </c>
    </row>
    <row r="40">
      <c r="AF40" s="6" t="inlineStr">
        <is>
          <t>2. Arsenal</t>
        </is>
      </c>
      <c r="AG40" s="15" t="n"/>
      <c r="AH40" s="15" t="n"/>
    </row>
    <row r="41">
      <c r="AF41" s="6" t="inlineStr">
        <is>
          <t>3. Brighton &amp; Hove Albion</t>
        </is>
      </c>
      <c r="AG41" s="15" t="n"/>
      <c r="AH41" s="15" t="n"/>
    </row>
    <row r="42">
      <c r="AF42" s="6" t="inlineStr">
        <is>
          <t>4. Liverpool</t>
        </is>
      </c>
      <c r="AG42" s="25" t="n">
        <v>3.1</v>
      </c>
      <c r="AH42" s="15" t="n"/>
    </row>
    <row r="43">
      <c r="AF43" s="6" t="inlineStr">
        <is>
          <t>5. Chelsea</t>
        </is>
      </c>
      <c r="AG43" s="15" t="n"/>
      <c r="AH43" s="25" t="n">
        <v>4</v>
      </c>
    </row>
    <row r="44">
      <c r="AF44" s="6" t="inlineStr">
        <is>
          <t>6. Brentford</t>
        </is>
      </c>
      <c r="AG44" s="30" t="n">
        <v>2.3</v>
      </c>
      <c r="AH44" s="15" t="n"/>
    </row>
    <row r="45">
      <c r="AF45" s="6" t="inlineStr">
        <is>
          <t>7. Leeds United</t>
        </is>
      </c>
      <c r="AG45" s="15" t="n"/>
      <c r="AH45" s="15" t="n"/>
    </row>
    <row r="46">
      <c r="AF46" s="6" t="inlineStr">
        <is>
          <t>8. Newcastle United</t>
        </is>
      </c>
      <c r="AG46" s="15" t="n"/>
      <c r="AH46" s="30" t="n">
        <v>3.3</v>
      </c>
    </row>
    <row r="47">
      <c r="AF47" s="6" t="inlineStr">
        <is>
          <t>9. Aston Villa</t>
        </is>
      </c>
      <c r="AG47" s="15" t="n"/>
      <c r="AH47" s="15" t="n"/>
    </row>
    <row r="48">
      <c r="AF48" s="6" t="inlineStr">
        <is>
          <t>10. Hull</t>
        </is>
      </c>
      <c r="AG48" s="15" t="n"/>
      <c r="AH48" s="15" t="n"/>
    </row>
    <row r="49">
      <c r="AF49" s="6" t="inlineStr">
        <is>
          <t>11. Everton</t>
        </is>
      </c>
      <c r="AG49" s="30" t="n">
        <v>2.15</v>
      </c>
      <c r="AH49" s="15" t="n"/>
    </row>
    <row r="50">
      <c r="AF50" s="6" t="inlineStr">
        <is>
          <t>12. Ipswich</t>
        </is>
      </c>
      <c r="AG50" s="15" t="n"/>
      <c r="AH50" s="15" t="n"/>
    </row>
    <row r="51">
      <c r="AF51" s="23" t="inlineStr">
        <is>
          <t>13. Bournemouth</t>
        </is>
      </c>
      <c r="AG51" s="24" t="n"/>
      <c r="AH51" s="24" t="n"/>
    </row>
    <row r="52">
      <c r="AF52" s="6" t="inlineStr">
        <is>
          <t>14. Tottenham Hotspur</t>
        </is>
      </c>
      <c r="AG52" s="15" t="n"/>
      <c r="AH52" s="15" t="n"/>
    </row>
    <row r="53">
      <c r="AF53" s="6" t="inlineStr">
        <is>
          <t>15. Fulham</t>
        </is>
      </c>
      <c r="AG53" s="15" t="n"/>
      <c r="AH53" s="15" t="n"/>
    </row>
    <row r="54">
      <c r="AF54" s="6" t="inlineStr">
        <is>
          <t>16. Manchester United</t>
        </is>
      </c>
      <c r="AG54" s="15" t="n"/>
      <c r="AH54" s="26" t="n">
        <v>2.8</v>
      </c>
    </row>
    <row r="55">
      <c r="AF55" s="6" t="inlineStr">
        <is>
          <t>17. Crystal Palace</t>
        </is>
      </c>
      <c r="AG55" s="15" t="n"/>
      <c r="AH55" s="15" t="n"/>
    </row>
    <row r="56">
      <c r="AF56" s="6" t="inlineStr">
        <is>
          <t>18. Nottingham Forest</t>
        </is>
      </c>
      <c r="AG56" s="15" t="n"/>
      <c r="AH56" s="15" t="n"/>
    </row>
    <row r="57">
      <c r="AF57" s="6" t="inlineStr">
        <is>
          <t>19. Coventry</t>
        </is>
      </c>
      <c r="AG57" s="15" t="n"/>
      <c r="AH57" s="15" t="n"/>
    </row>
    <row r="58">
      <c r="AF58" s="6" t="inlineStr">
        <is>
          <t>20. Sunderland</t>
        </is>
      </c>
      <c r="AG58" s="26" t="n">
        <v>2.05</v>
      </c>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Tottenham Hotspur</t>
        </is>
      </c>
      <c r="C2" s="6" t="inlineStr">
        <is>
          <t>Home</t>
        </is>
      </c>
      <c r="D2" s="6" t="n">
        <v>3</v>
      </c>
      <c r="E2" s="6" t="n">
        <v>0</v>
      </c>
      <c r="F2" s="9" t="n">
        <v>1.53</v>
      </c>
      <c r="G2" s="9" t="n">
        <v>1.41</v>
      </c>
      <c r="H2" s="9" t="n">
        <v>3.87</v>
      </c>
      <c r="I2" s="9" t="n">
        <v>0.57</v>
      </c>
      <c r="J2" s="9" t="n">
        <v>2.34</v>
      </c>
      <c r="K2" s="9" t="n">
        <v>-0.84</v>
      </c>
      <c r="L2" s="9" t="n">
        <v>2.34</v>
      </c>
      <c r="M2" s="9" t="n">
        <v>-0.84</v>
      </c>
      <c r="N2" s="9" t="n">
        <v>2.91</v>
      </c>
      <c r="O2" s="9" t="n">
        <v>-0.41</v>
      </c>
      <c r="P2" s="9" t="n">
        <v>2.91</v>
      </c>
      <c r="Q2" s="9" t="n">
        <v>-0.41</v>
      </c>
      <c r="R2" s="9">
        <f>(H2-I2)-(F2-G2)</f>
        <v/>
      </c>
      <c r="S2" s="9">
        <f>(H2+I2)-(F2+G2)</f>
        <v/>
      </c>
      <c r="T2" s="9" t="n">
        <v>2.81</v>
      </c>
      <c r="U2" s="9" t="n">
        <v>1.45</v>
      </c>
      <c r="V2" s="9" t="n">
        <v>1.36</v>
      </c>
      <c r="W2" s="9" t="n">
        <v>2.81</v>
      </c>
      <c r="X2" s="9" t="n">
        <v>1.45</v>
      </c>
      <c r="Z2" s="12" t="inlineStr">
        <is>
          <t>Expected = the pre-match market xG (what the odds implied) for each side.</t>
        </is>
      </c>
    </row>
    <row r="3">
      <c r="A3" s="8" t="inlineStr">
        <is>
          <t>2026-08-30</t>
        </is>
      </c>
      <c r="B3" s="8" t="inlineStr">
        <is>
          <t>Leeds United</t>
        </is>
      </c>
      <c r="C3" s="8" t="inlineStr">
        <is>
          <t>Away</t>
        </is>
      </c>
      <c r="D3" s="8" t="n">
        <v>1</v>
      </c>
      <c r="E3" s="8" t="n">
        <v>1</v>
      </c>
      <c r="F3" s="10" t="n">
        <v>1.33</v>
      </c>
      <c r="G3" s="10" t="n">
        <v>1.35</v>
      </c>
      <c r="H3" s="10" t="n">
        <v>1.67</v>
      </c>
      <c r="I3" s="10" t="n">
        <v>1.46</v>
      </c>
      <c r="J3" s="10" t="n">
        <v>0.34</v>
      </c>
      <c r="K3" s="10" t="n">
        <v>0.1</v>
      </c>
      <c r="L3" s="10" t="n">
        <v>1.34</v>
      </c>
      <c r="M3" s="10" t="n">
        <v>-0.37</v>
      </c>
      <c r="N3" s="10" t="n">
        <v>0.51</v>
      </c>
      <c r="O3" s="10" t="n">
        <v>0.13</v>
      </c>
      <c r="P3" s="10" t="n">
        <v>1.71</v>
      </c>
      <c r="Q3" s="10" t="n">
        <v>-0.14</v>
      </c>
      <c r="R3" s="10">
        <f>(H3-I3)-(F3-G3)</f>
        <v/>
      </c>
      <c r="S3" s="10">
        <f>(H3+I3)-(F3+G3)</f>
        <v/>
      </c>
      <c r="T3" s="10" t="n">
        <v>1.52</v>
      </c>
      <c r="U3" s="10" t="n">
        <v>1.35</v>
      </c>
      <c r="V3" s="10" t="n">
        <v>0.17</v>
      </c>
      <c r="W3" s="10" t="n">
        <v>4.33</v>
      </c>
      <c r="X3" s="10" t="n">
        <v>2.8</v>
      </c>
      <c r="Z3" s="4" t="inlineStr">
        <is>
          <t>Games vs expected</t>
        </is>
      </c>
      <c r="AA3" s="4" t="inlineStr">
        <is>
          <t>Above</t>
        </is>
      </c>
      <c r="AB3" s="4" t="inlineStr">
        <is>
          <t>Below</t>
        </is>
      </c>
    </row>
    <row r="4">
      <c r="A4" s="6" t="inlineStr">
        <is>
          <t>2026-09-05</t>
        </is>
      </c>
      <c r="B4" s="6" t="inlineStr">
        <is>
          <t>Sunderland</t>
        </is>
      </c>
      <c r="C4" s="6" t="inlineStr">
        <is>
          <t>Home</t>
        </is>
      </c>
      <c r="D4" s="6" t="n">
        <v>1</v>
      </c>
      <c r="E4" s="6" t="n">
        <v>1</v>
      </c>
      <c r="F4" s="9" t="n">
        <v>1.84</v>
      </c>
      <c r="G4" s="9" t="n">
        <v>0.9</v>
      </c>
      <c r="H4" s="9" t="n">
        <v>1.21</v>
      </c>
      <c r="I4" s="9" t="n">
        <v>1.71</v>
      </c>
      <c r="J4" s="9" t="n">
        <v>-0.63</v>
      </c>
      <c r="K4" s="9" t="n">
        <v>0.8100000000000001</v>
      </c>
      <c r="L4" s="9" t="n">
        <v>0.6899999999999999</v>
      </c>
      <c r="M4" s="9" t="n">
        <v>0.02</v>
      </c>
      <c r="N4" s="9" t="n">
        <v>-1.02</v>
      </c>
      <c r="O4" s="9" t="n">
        <v>0.53</v>
      </c>
      <c r="P4" s="9" t="n">
        <v>0.8</v>
      </c>
      <c r="Q4" s="9" t="n">
        <v>0.08</v>
      </c>
      <c r="R4" s="9">
        <f>(H4-I4)-(F4-G4)</f>
        <v/>
      </c>
      <c r="S4" s="9">
        <f>(H4+I4)-(F4+G4)</f>
        <v/>
      </c>
      <c r="T4" s="9" t="n">
        <v>1.05</v>
      </c>
      <c r="U4" s="9" t="n">
        <v>2.01</v>
      </c>
      <c r="V4" s="9" t="n">
        <v>-0.96</v>
      </c>
      <c r="W4" s="9" t="n">
        <v>5.38</v>
      </c>
      <c r="X4" s="9" t="n">
        <v>4.81</v>
      </c>
      <c r="Z4" s="6" t="inlineStr">
        <is>
          <t>xG For vs expected</t>
        </is>
      </c>
      <c r="AA4" s="5">
        <f>COUNTIF($J$2:$J$9,"&gt;0")</f>
        <v/>
      </c>
      <c r="AB4" s="5">
        <f>COUNTIF($J$2:$J$9,"&lt;0")</f>
        <v/>
      </c>
    </row>
    <row r="5">
      <c r="A5" s="8" t="inlineStr">
        <is>
          <t>2026-09-12</t>
        </is>
      </c>
      <c r="B5" s="8" t="inlineStr">
        <is>
          <t>Bournemouth</t>
        </is>
      </c>
      <c r="C5" s="8" t="inlineStr">
        <is>
          <t>Away</t>
        </is>
      </c>
      <c r="D5" s="8" t="n">
        <v>2</v>
      </c>
      <c r="E5" s="8" t="n">
        <v>2</v>
      </c>
      <c r="F5" s="10" t="n">
        <v>1.45</v>
      </c>
      <c r="G5" s="10" t="n">
        <v>1.51</v>
      </c>
      <c r="H5" s="10" t="n">
        <v>0.5</v>
      </c>
      <c r="I5" s="10" t="n">
        <v>1.75</v>
      </c>
      <c r="J5" s="10" t="n">
        <v>-0.95</v>
      </c>
      <c r="K5" s="10" t="n">
        <v>0.24</v>
      </c>
      <c r="L5" s="10" t="n">
        <v>0.28</v>
      </c>
      <c r="M5" s="10" t="n">
        <v>0.08</v>
      </c>
      <c r="N5" s="10" t="n">
        <v>-0.5</v>
      </c>
      <c r="O5" s="10" t="n">
        <v>-0.21</v>
      </c>
      <c r="P5" s="10" t="n">
        <v>0.48</v>
      </c>
      <c r="Q5" s="10" t="n">
        <v>0.01</v>
      </c>
      <c r="R5" s="10">
        <f>(H5-I5)-(F5-G5)</f>
        <v/>
      </c>
      <c r="S5" s="10">
        <f>(H5+I5)-(F5+G5)</f>
        <v/>
      </c>
      <c r="T5" s="10" t="n">
        <v>0.52</v>
      </c>
      <c r="U5" s="10" t="n">
        <v>1.33</v>
      </c>
      <c r="V5" s="10" t="n">
        <v>-0.8100000000000001</v>
      </c>
      <c r="W5" s="10" t="n">
        <v>5.9</v>
      </c>
      <c r="X5" s="10" t="n">
        <v>6.15</v>
      </c>
      <c r="Z5" s="6" t="inlineStr">
        <is>
          <t>xG Against vs expected</t>
        </is>
      </c>
      <c r="AA5" s="5">
        <f>COUNTIF($K$2:$K$9,"&gt;0")</f>
        <v/>
      </c>
      <c r="AB5" s="5">
        <f>COUNTIF($K$2:$K$9,"&lt;0")</f>
        <v/>
      </c>
    </row>
    <row r="6">
      <c r="A6" s="6" t="inlineStr">
        <is>
          <t>2026-09-18</t>
        </is>
      </c>
      <c r="B6" s="6" t="inlineStr">
        <is>
          <t>Chelsea</t>
        </is>
      </c>
      <c r="C6" s="6" t="inlineStr">
        <is>
          <t>Home</t>
        </is>
      </c>
      <c r="D6" s="6" t="n">
        <v>3</v>
      </c>
      <c r="E6" s="6" t="n">
        <v>0</v>
      </c>
      <c r="F6" s="9" t="n">
        <v>1.62</v>
      </c>
      <c r="G6" s="9" t="n">
        <v>1.66</v>
      </c>
      <c r="H6" s="9" t="n">
        <v>2.65</v>
      </c>
      <c r="I6" s="9" t="n">
        <v>0.83</v>
      </c>
      <c r="J6" s="9" t="n">
        <v>1.02</v>
      </c>
      <c r="K6" s="9" t="n">
        <v>-0.83</v>
      </c>
      <c r="L6" s="9" t="n">
        <v>0.43</v>
      </c>
      <c r="M6" s="9" t="n">
        <v>-0.1</v>
      </c>
      <c r="N6" s="9" t="n">
        <v>1.03</v>
      </c>
      <c r="O6" s="9" t="n">
        <v>-0.32</v>
      </c>
      <c r="P6" s="9" t="n">
        <v>0.59</v>
      </c>
      <c r="Q6" s="9" t="n">
        <v>-0.06</v>
      </c>
      <c r="R6" s="9">
        <f>(H6-I6)-(F6-G6)</f>
        <v/>
      </c>
      <c r="S6" s="9">
        <f>(H6+I6)-(F6+G6)</f>
        <v/>
      </c>
      <c r="T6" s="9" t="n">
        <v>2.43</v>
      </c>
      <c r="U6" s="9" t="n">
        <v>1.36</v>
      </c>
      <c r="V6" s="9" t="n">
        <v>1.07</v>
      </c>
      <c r="W6" s="9" t="n">
        <v>8.33</v>
      </c>
      <c r="X6" s="9" t="n">
        <v>7.51</v>
      </c>
      <c r="Z6" s="6" t="inlineStr">
        <is>
          <t>Goals For vs expected</t>
        </is>
      </c>
      <c r="AA6" s="5">
        <f>SUMPRODUCT(--($D$2:$D$9&gt;$F$2:$F$9))</f>
        <v/>
      </c>
      <c r="AB6" s="5">
        <f>SUMPRODUCT(--($D$2:$D$9&lt;$F$2:$F$9))</f>
        <v/>
      </c>
    </row>
    <row r="7">
      <c r="A7" s="8" t="inlineStr">
        <is>
          <t>2026-10-10</t>
        </is>
      </c>
      <c r="B7" s="8" t="inlineStr">
        <is>
          <t>Aston Villa</t>
        </is>
      </c>
      <c r="C7" s="8" t="inlineStr">
        <is>
          <t>Away</t>
        </is>
      </c>
      <c r="D7" s="8" t="n">
        <v>2</v>
      </c>
      <c r="E7" s="8" t="n">
        <v>2</v>
      </c>
      <c r="F7" s="10" t="n">
        <v>1.46</v>
      </c>
      <c r="G7" s="10" t="n">
        <v>1.45</v>
      </c>
      <c r="H7" s="10" t="n">
        <v>1.06</v>
      </c>
      <c r="I7" s="10" t="n">
        <v>2.28</v>
      </c>
      <c r="J7" s="10" t="n">
        <v>-0.4</v>
      </c>
      <c r="K7" s="10" t="n">
        <v>0.83</v>
      </c>
      <c r="L7" s="10" t="n">
        <v>0.29</v>
      </c>
      <c r="M7" s="10" t="n">
        <v>0.05</v>
      </c>
      <c r="N7" s="10" t="n">
        <v>-0.49</v>
      </c>
      <c r="O7" s="10" t="n">
        <v>1.15</v>
      </c>
      <c r="P7" s="10" t="n">
        <v>0.41</v>
      </c>
      <c r="Q7" s="10" t="n">
        <v>0.14</v>
      </c>
      <c r="R7" s="10">
        <f>(H7-I7)-(F7-G7)</f>
        <v/>
      </c>
      <c r="S7" s="10">
        <f>(H7+I7)-(F7+G7)</f>
        <v/>
      </c>
      <c r="T7" s="10" t="n">
        <v>0.68</v>
      </c>
      <c r="U7" s="10" t="n">
        <v>1.38</v>
      </c>
      <c r="V7" s="10" t="n">
        <v>-0.7</v>
      </c>
      <c r="W7" s="10" t="n">
        <v>9.01</v>
      </c>
      <c r="X7" s="10" t="n">
        <v>8.890000000000001</v>
      </c>
      <c r="Z7" s="6" t="inlineStr">
        <is>
          <t>Goals Against vs expected</t>
        </is>
      </c>
      <c r="AA7" s="5">
        <f>SUMPRODUCT(--($E$2:$E$9&gt;$G$2:$G$9))</f>
        <v/>
      </c>
      <c r="AB7" s="5">
        <f>SUMPRODUCT(--($E$2:$E$9&lt;$G$2:$G$9))</f>
        <v/>
      </c>
    </row>
    <row r="8">
      <c r="A8" s="6" t="inlineStr">
        <is>
          <t>2026-10-17</t>
        </is>
      </c>
      <c r="B8" s="6" t="inlineStr">
        <is>
          <t>Liverpool</t>
        </is>
      </c>
      <c r="C8" s="6" t="inlineStr">
        <is>
          <t>Home</t>
        </is>
      </c>
      <c r="D8" s="6" t="n">
        <v>1</v>
      </c>
      <c r="E8" s="6" t="n">
        <v>2</v>
      </c>
      <c r="F8" s="9" t="n">
        <v>1.66</v>
      </c>
      <c r="G8" s="9" t="n">
        <v>1.46</v>
      </c>
      <c r="H8" s="9" t="n">
        <v>0.88</v>
      </c>
      <c r="I8" s="9" t="n">
        <v>1.64</v>
      </c>
      <c r="J8" s="9" t="n">
        <v>-0.78</v>
      </c>
      <c r="K8" s="9" t="n">
        <v>0.18</v>
      </c>
      <c r="L8" s="9" t="n">
        <v>-0.23</v>
      </c>
      <c r="M8" s="9" t="n">
        <v>0.22</v>
      </c>
      <c r="N8" s="9" t="n">
        <v>-0.76</v>
      </c>
      <c r="O8" s="9" t="n">
        <v>0.64</v>
      </c>
      <c r="P8" s="9" t="n">
        <v>-0.21</v>
      </c>
      <c r="Q8" s="9" t="n">
        <v>0.32</v>
      </c>
      <c r="R8" s="9">
        <f>(H8-I8)-(F8-G8)</f>
        <v/>
      </c>
      <c r="S8" s="9">
        <f>(H8+I8)-(F8+G8)</f>
        <v/>
      </c>
      <c r="T8" s="9" t="n">
        <v>0.85</v>
      </c>
      <c r="U8" s="9" t="n">
        <v>1.51</v>
      </c>
      <c r="V8" s="9" t="n">
        <v>-0.66</v>
      </c>
      <c r="W8" s="9" t="n">
        <v>9.859999999999999</v>
      </c>
      <c r="X8" s="9" t="n">
        <v>10.4</v>
      </c>
      <c r="Z8" s="12" t="inlineStr">
        <is>
          <t>For: Above = beat expectation. Against: Above = conceded more than expected (worse).</t>
        </is>
      </c>
    </row>
    <row r="9">
      <c r="A9" s="8" t="inlineStr">
        <is>
          <t>2026-10-25</t>
        </is>
      </c>
      <c r="B9" s="8" t="inlineStr">
        <is>
          <t>Hull</t>
        </is>
      </c>
      <c r="C9" s="8" t="inlineStr">
        <is>
          <t>Away</t>
        </is>
      </c>
      <c r="D9" s="8" t="n">
        <v>1</v>
      </c>
      <c r="E9" s="8" t="n">
        <v>1</v>
      </c>
      <c r="F9" s="10" t="n">
        <v>1.91</v>
      </c>
      <c r="G9" s="10" t="n">
        <v>1.06</v>
      </c>
      <c r="H9" s="10" t="n">
        <v>1.74</v>
      </c>
      <c r="I9" s="10" t="n">
        <v>1.57</v>
      </c>
      <c r="J9" s="10" t="n">
        <v>-0.17</v>
      </c>
      <c r="K9" s="10" t="n">
        <v>0.51</v>
      </c>
      <c r="L9" s="10" t="n">
        <v>-0.32</v>
      </c>
      <c r="M9" s="10" t="n">
        <v>0.29</v>
      </c>
      <c r="N9" s="10" t="n">
        <v>0.28</v>
      </c>
      <c r="O9" s="10" t="n">
        <v>0.52</v>
      </c>
      <c r="P9" s="10" t="n">
        <v>-0.24</v>
      </c>
      <c r="Q9" s="10" t="n">
        <v>0.38</v>
      </c>
      <c r="R9" s="10">
        <f>(H9-I9)-(F9-G9)</f>
        <v/>
      </c>
      <c r="S9" s="10">
        <f>(H9+I9)-(F9+G9)</f>
        <v/>
      </c>
      <c r="T9" s="10" t="n">
        <v>1.49</v>
      </c>
      <c r="U9" s="10" t="n">
        <v>1.94</v>
      </c>
      <c r="V9" s="10" t="n">
        <v>-0.45</v>
      </c>
      <c r="W9" s="10" t="n">
        <v>11.35</v>
      </c>
      <c r="X9" s="10" t="n">
        <v>12.34</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8</v>
      </c>
      <c r="D37" s="16" t="n">
        <v>3</v>
      </c>
      <c r="E37" s="20" t="n">
        <v>0.66</v>
      </c>
      <c r="F37" s="20" t="n">
        <v>0.45</v>
      </c>
      <c r="G37" s="20" t="n">
        <v>0.32</v>
      </c>
      <c r="H37" s="20" t="n">
        <v>0.18</v>
      </c>
      <c r="AF37" s="11" t="inlineStr">
        <is>
          <t>Brentford: closing odds to win, by opponent (league table order)</t>
        </is>
      </c>
    </row>
    <row r="38">
      <c r="A38" s="16" t="inlineStr">
        <is>
          <t>Away</t>
        </is>
      </c>
      <c r="B38" s="16" t="n">
        <v>4</v>
      </c>
      <c r="C38" s="16" t="n">
        <v>6</v>
      </c>
      <c r="D38" s="16" t="n">
        <v>6</v>
      </c>
      <c r="E38" s="20" t="n">
        <v>-0.71</v>
      </c>
      <c r="F38" s="20" t="n">
        <v>-0.9399999999999999</v>
      </c>
      <c r="G38" s="20" t="n">
        <v>0.12</v>
      </c>
      <c r="H38" s="20" t="n">
        <v>0.38</v>
      </c>
      <c r="AF38" s="4" t="inlineStr">
        <is>
          <t>League Table</t>
        </is>
      </c>
      <c r="AG38" s="4" t="inlineStr">
        <is>
          <t>Home Odds</t>
        </is>
      </c>
      <c r="AH38" s="4" t="inlineStr">
        <is>
          <t>Away Odds</t>
        </is>
      </c>
    </row>
    <row r="39">
      <c r="A39" s="21" t="inlineStr">
        <is>
          <t>Total</t>
        </is>
      </c>
      <c r="B39" s="21" t="n">
        <v>8</v>
      </c>
      <c r="C39" s="21" t="n">
        <v>14</v>
      </c>
      <c r="D39" s="21" t="n">
        <v>9</v>
      </c>
      <c r="E39" s="22" t="n">
        <v>-0.03</v>
      </c>
      <c r="F39" s="22" t="n">
        <v>-0.82</v>
      </c>
      <c r="G39" s="22" t="n">
        <v>0.22</v>
      </c>
      <c r="H39" s="22" t="n">
        <v>0.27</v>
      </c>
      <c r="AF39" s="6" t="inlineStr">
        <is>
          <t>1. Manchester City</t>
        </is>
      </c>
      <c r="AG39" s="15" t="n"/>
      <c r="AH39" s="15" t="n"/>
    </row>
    <row r="40">
      <c r="AF40" s="6" t="inlineStr">
        <is>
          <t>2. Arsenal</t>
        </is>
      </c>
      <c r="AG40" s="15" t="n"/>
      <c r="AH40" s="15" t="n"/>
    </row>
    <row r="41">
      <c r="AF41" s="6" t="inlineStr">
        <is>
          <t>3. Brighton &amp; Hove Albion</t>
        </is>
      </c>
      <c r="AG41" s="15" t="n"/>
      <c r="AH41" s="15" t="n"/>
    </row>
    <row r="42">
      <c r="AF42" s="6" t="inlineStr">
        <is>
          <t>4. Liverpool</t>
        </is>
      </c>
      <c r="AG42" s="25" t="n">
        <v>2.63</v>
      </c>
      <c r="AH42" s="15" t="n"/>
    </row>
    <row r="43">
      <c r="AF43" s="6" t="inlineStr">
        <is>
          <t>5. Chelsea</t>
        </is>
      </c>
      <c r="AG43" s="26" t="n">
        <v>2.5</v>
      </c>
      <c r="AH43" s="15" t="n"/>
    </row>
    <row r="44">
      <c r="AF44" s="23" t="inlineStr">
        <is>
          <t>6. Brentford</t>
        </is>
      </c>
      <c r="AG44" s="24" t="n"/>
      <c r="AH44" s="24" t="n"/>
    </row>
    <row r="45">
      <c r="AF45" s="6" t="inlineStr">
        <is>
          <t>7. Leeds United</t>
        </is>
      </c>
      <c r="AG45" s="15" t="n"/>
      <c r="AH45" s="30" t="n">
        <v>2.5</v>
      </c>
    </row>
    <row r="46">
      <c r="AF46" s="6" t="inlineStr">
        <is>
          <t>8. Newcastle United</t>
        </is>
      </c>
      <c r="AG46" s="15" t="n"/>
      <c r="AH46" s="15" t="n"/>
    </row>
    <row r="47">
      <c r="AF47" s="6" t="inlineStr">
        <is>
          <t>9. Aston Villa</t>
        </is>
      </c>
      <c r="AG47" s="15" t="n"/>
      <c r="AH47" s="30" t="n">
        <v>2.6</v>
      </c>
    </row>
    <row r="48">
      <c r="AF48" s="6" t="inlineStr">
        <is>
          <t>10. Hull</t>
        </is>
      </c>
      <c r="AG48" s="15" t="n"/>
      <c r="AH48" s="30" t="n">
        <v>1.62</v>
      </c>
    </row>
    <row r="49">
      <c r="AF49" s="6" t="inlineStr">
        <is>
          <t>11. Everton</t>
        </is>
      </c>
      <c r="AG49" s="15" t="n"/>
      <c r="AH49" s="15" t="n"/>
    </row>
    <row r="50">
      <c r="AF50" s="6" t="inlineStr">
        <is>
          <t>12. Ipswich</t>
        </is>
      </c>
      <c r="AG50" s="15" t="n"/>
      <c r="AH50" s="15" t="n"/>
    </row>
    <row r="51">
      <c r="AF51" s="6" t="inlineStr">
        <is>
          <t>13. Bournemouth</t>
        </is>
      </c>
      <c r="AG51" s="15" t="n"/>
      <c r="AH51" s="30" t="n">
        <v>2.88</v>
      </c>
    </row>
    <row r="52">
      <c r="AF52" s="6" t="inlineStr">
        <is>
          <t>14. Tottenham Hotspur</t>
        </is>
      </c>
      <c r="AG52" s="26" t="n">
        <v>1.95</v>
      </c>
      <c r="AH52" s="15" t="n"/>
    </row>
    <row r="53">
      <c r="AF53" s="6" t="inlineStr">
        <is>
          <t>15. Fulham</t>
        </is>
      </c>
      <c r="AG53" s="15" t="n"/>
      <c r="AH53" s="15" t="n"/>
    </row>
    <row r="54">
      <c r="AF54" s="6" t="inlineStr">
        <is>
          <t>16. Manchester United</t>
        </is>
      </c>
      <c r="AG54" s="15" t="n"/>
      <c r="AH54" s="15" t="n"/>
    </row>
    <row r="55">
      <c r="AF55" s="6" t="inlineStr">
        <is>
          <t>17. Crystal Palace</t>
        </is>
      </c>
      <c r="AG55" s="15" t="n"/>
      <c r="AH55" s="15" t="n"/>
    </row>
    <row r="56">
      <c r="AF56" s="6" t="inlineStr">
        <is>
          <t>18. Nottingham Forest</t>
        </is>
      </c>
      <c r="AG56" s="15" t="n"/>
      <c r="AH56" s="15" t="n"/>
    </row>
    <row r="57">
      <c r="AF57" s="6" t="inlineStr">
        <is>
          <t>19. Coventry</t>
        </is>
      </c>
      <c r="AG57" s="15" t="n"/>
      <c r="AH57" s="15" t="n"/>
    </row>
    <row r="58">
      <c r="AF58" s="6" t="inlineStr">
        <is>
          <t>20. Sunderland</t>
        </is>
      </c>
      <c r="AG58" s="30" t="n">
        <v>1.67</v>
      </c>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5"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Aston Villa</t>
        </is>
      </c>
      <c r="C2" s="6" t="inlineStr">
        <is>
          <t>Home</t>
        </is>
      </c>
      <c r="D2" s="6" t="n">
        <v>4</v>
      </c>
      <c r="E2" s="6" t="n">
        <v>0</v>
      </c>
      <c r="F2" s="9" t="n">
        <v>1.62</v>
      </c>
      <c r="G2" s="9" t="n">
        <v>1.34</v>
      </c>
      <c r="H2" s="9" t="n">
        <v>3.77</v>
      </c>
      <c r="I2" s="9" t="n">
        <v>0.29</v>
      </c>
      <c r="J2" s="9" t="n">
        <v>2.15</v>
      </c>
      <c r="K2" s="9" t="n">
        <v>-1.05</v>
      </c>
      <c r="L2" s="9" t="n">
        <v>2.15</v>
      </c>
      <c r="M2" s="9" t="n">
        <v>-1.05</v>
      </c>
      <c r="N2" s="9" t="n">
        <v>2.43</v>
      </c>
      <c r="O2" s="9" t="n">
        <v>-1</v>
      </c>
      <c r="P2" s="9" t="n">
        <v>2.43</v>
      </c>
      <c r="Q2" s="9" t="n">
        <v>-1</v>
      </c>
      <c r="R2" s="9">
        <f>(H2-I2)-(F2-G2)</f>
        <v/>
      </c>
      <c r="S2" s="9">
        <f>(H2+I2)-(F2+G2)</f>
        <v/>
      </c>
      <c r="T2" s="9" t="n">
        <v>2.88</v>
      </c>
      <c r="U2" s="9" t="n">
        <v>1.56</v>
      </c>
      <c r="V2" s="9" t="n">
        <v>1.32</v>
      </c>
      <c r="W2" s="9" t="n">
        <v>2.88</v>
      </c>
      <c r="X2" s="9" t="n">
        <v>1.56</v>
      </c>
      <c r="Z2" s="12" t="inlineStr">
        <is>
          <t>Expected = the pre-match market xG (what the odds implied) for each side.</t>
        </is>
      </c>
    </row>
    <row r="3">
      <c r="A3" s="8" t="inlineStr">
        <is>
          <t>2026-08-30</t>
        </is>
      </c>
      <c r="B3" s="8" t="inlineStr">
        <is>
          <t>Chelsea</t>
        </is>
      </c>
      <c r="C3" s="8" t="inlineStr">
        <is>
          <t>Away</t>
        </is>
      </c>
      <c r="D3" s="8" t="n">
        <v>3</v>
      </c>
      <c r="E3" s="8" t="n">
        <v>4</v>
      </c>
      <c r="F3" s="10" t="n">
        <v>1.17</v>
      </c>
      <c r="G3" s="10" t="n">
        <v>1.84</v>
      </c>
      <c r="H3" s="10" t="n">
        <v>1.41</v>
      </c>
      <c r="I3" s="10" t="n">
        <v>2.93</v>
      </c>
      <c r="J3" s="10" t="n">
        <v>0.24</v>
      </c>
      <c r="K3" s="10" t="n">
        <v>1.09</v>
      </c>
      <c r="L3" s="10" t="n">
        <v>1.2</v>
      </c>
      <c r="M3" s="10" t="n">
        <v>0.02</v>
      </c>
      <c r="N3" s="10" t="n">
        <v>0.13</v>
      </c>
      <c r="O3" s="10" t="n">
        <v>1.88</v>
      </c>
      <c r="P3" s="10" t="n">
        <v>1.28</v>
      </c>
      <c r="Q3" s="10" t="n">
        <v>0.44</v>
      </c>
      <c r="R3" s="10">
        <f>(H3-I3)-(F3-G3)</f>
        <v/>
      </c>
      <c r="S3" s="10">
        <f>(H3+I3)-(F3+G3)</f>
        <v/>
      </c>
      <c r="T3" s="10" t="n">
        <v>0.63</v>
      </c>
      <c r="U3" s="10" t="n">
        <v>0.95</v>
      </c>
      <c r="V3" s="10" t="n">
        <v>-0.32</v>
      </c>
      <c r="W3" s="10" t="n">
        <v>3.51</v>
      </c>
      <c r="X3" s="10" t="n">
        <v>2.52</v>
      </c>
      <c r="Z3" s="4" t="inlineStr">
        <is>
          <t>Games vs expected</t>
        </is>
      </c>
      <c r="AA3" s="4" t="inlineStr">
        <is>
          <t>Above</t>
        </is>
      </c>
      <c r="AB3" s="4" t="inlineStr">
        <is>
          <t>Below</t>
        </is>
      </c>
    </row>
    <row r="4">
      <c r="A4" s="6" t="inlineStr">
        <is>
          <t>2026-09-05</t>
        </is>
      </c>
      <c r="B4" s="6" t="inlineStr">
        <is>
          <t>Leeds United</t>
        </is>
      </c>
      <c r="C4" s="6" t="inlineStr">
        <is>
          <t>Home</t>
        </is>
      </c>
      <c r="D4" s="6" t="n">
        <v>1</v>
      </c>
      <c r="E4" s="6" t="n">
        <v>1</v>
      </c>
      <c r="F4" s="9" t="n">
        <v>1.61</v>
      </c>
      <c r="G4" s="9" t="n">
        <v>1.08</v>
      </c>
      <c r="H4" s="9" t="n">
        <v>2.19</v>
      </c>
      <c r="I4" s="9" t="n">
        <v>2.49</v>
      </c>
      <c r="J4" s="9" t="n">
        <v>0.57</v>
      </c>
      <c r="K4" s="9" t="n">
        <v>1.41</v>
      </c>
      <c r="L4" s="9" t="n">
        <v>0.99</v>
      </c>
      <c r="M4" s="9" t="n">
        <v>0.48</v>
      </c>
      <c r="N4" s="9" t="n">
        <v>0.77</v>
      </c>
      <c r="O4" s="9" t="n">
        <v>1.62</v>
      </c>
      <c r="P4" s="9" t="n">
        <v>1.11</v>
      </c>
      <c r="Q4" s="9" t="n">
        <v>0.83</v>
      </c>
      <c r="R4" s="9">
        <f>(H4-I4)-(F4-G4)</f>
        <v/>
      </c>
      <c r="S4" s="9">
        <f>(H4+I4)-(F4+G4)</f>
        <v/>
      </c>
      <c r="T4" s="9" t="n">
        <v>1.25</v>
      </c>
      <c r="U4" s="9" t="n">
        <v>1.74</v>
      </c>
      <c r="V4" s="9" t="n">
        <v>-0.5</v>
      </c>
      <c r="W4" s="9" t="n">
        <v>4.76</v>
      </c>
      <c r="X4" s="9" t="n">
        <v>4.26</v>
      </c>
      <c r="Z4" s="6" t="inlineStr">
        <is>
          <t>xG For vs expected</t>
        </is>
      </c>
      <c r="AA4" s="5">
        <f>COUNTIF($J$2:$J$9,"&gt;0")</f>
        <v/>
      </c>
      <c r="AB4" s="5">
        <f>COUNTIF($J$2:$J$9,"&lt;0")</f>
        <v/>
      </c>
    </row>
    <row r="5">
      <c r="A5" s="8" t="inlineStr">
        <is>
          <t>2026-09-13</t>
        </is>
      </c>
      <c r="B5" s="8" t="inlineStr">
        <is>
          <t>Coventry</t>
        </is>
      </c>
      <c r="C5" s="8" t="inlineStr">
        <is>
          <t>Away</t>
        </is>
      </c>
      <c r="D5" s="8" t="n">
        <v>5</v>
      </c>
      <c r="E5" s="8" t="n">
        <v>0</v>
      </c>
      <c r="F5" s="10" t="n">
        <v>1.72</v>
      </c>
      <c r="G5" s="10" t="n">
        <v>1.15</v>
      </c>
      <c r="H5" s="10" t="n">
        <v>2.81</v>
      </c>
      <c r="I5" s="10" t="n">
        <v>1.33</v>
      </c>
      <c r="J5" s="10" t="n">
        <v>1.09</v>
      </c>
      <c r="K5" s="10" t="n">
        <v>0.19</v>
      </c>
      <c r="L5" s="10" t="n">
        <v>1.01</v>
      </c>
      <c r="M5" s="10" t="n">
        <v>0.41</v>
      </c>
      <c r="N5" s="10" t="n">
        <v>1.77</v>
      </c>
      <c r="O5" s="10" t="n">
        <v>0.35</v>
      </c>
      <c r="P5" s="10" t="n">
        <v>1.28</v>
      </c>
      <c r="Q5" s="10" t="n">
        <v>0.71</v>
      </c>
      <c r="R5" s="10">
        <f>(H5-I5)-(F5-G5)</f>
        <v/>
      </c>
      <c r="S5" s="10">
        <f>(H5+I5)-(F5+G5)</f>
        <v/>
      </c>
      <c r="T5" s="10" t="n">
        <v>2.21</v>
      </c>
      <c r="U5" s="10" t="n">
        <v>1.76</v>
      </c>
      <c r="V5" s="10" t="n">
        <v>0.44</v>
      </c>
      <c r="W5" s="10" t="n">
        <v>6.96</v>
      </c>
      <c r="X5" s="10" t="n">
        <v>6.03</v>
      </c>
      <c r="Z5" s="6" t="inlineStr">
        <is>
          <t>xG Against vs expected</t>
        </is>
      </c>
      <c r="AA5" s="5">
        <f>COUNTIF($K$2:$K$9,"&gt;0")</f>
        <v/>
      </c>
      <c r="AB5" s="5">
        <f>COUNTIF($K$2:$K$9,"&lt;0")</f>
        <v/>
      </c>
    </row>
    <row r="6">
      <c r="A6" s="6" t="inlineStr">
        <is>
          <t>2026-09-19</t>
        </is>
      </c>
      <c r="B6" s="6" t="inlineStr">
        <is>
          <t>Arsenal</t>
        </is>
      </c>
      <c r="C6" s="6" t="inlineStr">
        <is>
          <t>Home</t>
        </is>
      </c>
      <c r="D6" s="6" t="n">
        <v>3</v>
      </c>
      <c r="E6" s="6" t="n">
        <v>0</v>
      </c>
      <c r="F6" s="9" t="n">
        <v>1</v>
      </c>
      <c r="G6" s="9" t="n">
        <v>1.87</v>
      </c>
      <c r="H6" s="9" t="n">
        <v>1.31</v>
      </c>
      <c r="I6" s="9" t="n">
        <v>1.63</v>
      </c>
      <c r="J6" s="9" t="n">
        <v>0.31</v>
      </c>
      <c r="K6" s="9" t="n">
        <v>-0.24</v>
      </c>
      <c r="L6" s="9" t="n">
        <v>0.87</v>
      </c>
      <c r="M6" s="9" t="n">
        <v>0.28</v>
      </c>
      <c r="N6" s="9" t="n">
        <v>0.39</v>
      </c>
      <c r="O6" s="9" t="n">
        <v>0.03</v>
      </c>
      <c r="P6" s="9" t="n">
        <v>1.1</v>
      </c>
      <c r="Q6" s="9" t="n">
        <v>0.58</v>
      </c>
      <c r="R6" s="9">
        <f>(H6-I6)-(F6-G6)</f>
        <v/>
      </c>
      <c r="S6" s="9">
        <f>(H6+I6)-(F6+G6)</f>
        <v/>
      </c>
      <c r="T6" s="9" t="n">
        <v>1.17</v>
      </c>
      <c r="U6" s="9" t="n">
        <v>0.82</v>
      </c>
      <c r="V6" s="9" t="n">
        <v>0.35</v>
      </c>
      <c r="W6" s="9" t="n">
        <v>8.130000000000001</v>
      </c>
      <c r="X6" s="9" t="n">
        <v>6.84</v>
      </c>
      <c r="Z6" s="6" t="inlineStr">
        <is>
          <t>Goals For vs expected</t>
        </is>
      </c>
      <c r="AA6" s="5">
        <f>SUMPRODUCT(--($D$2:$D$9&gt;$F$2:$F$9))</f>
        <v/>
      </c>
      <c r="AB6" s="5">
        <f>SUMPRODUCT(--($D$2:$D$9&lt;$F$2:$F$9))</f>
        <v/>
      </c>
    </row>
    <row r="7">
      <c r="A7" s="8" t="inlineStr">
        <is>
          <t>2026-10-10</t>
        </is>
      </c>
      <c r="B7" s="8" t="inlineStr">
        <is>
          <t>Sunderland</t>
        </is>
      </c>
      <c r="C7" s="8" t="inlineStr">
        <is>
          <t>Away</t>
        </is>
      </c>
      <c r="D7" s="8" t="n">
        <v>2</v>
      </c>
      <c r="E7" s="8" t="n">
        <v>0</v>
      </c>
      <c r="F7" s="10" t="n">
        <v>1.53</v>
      </c>
      <c r="G7" s="10" t="n">
        <v>1.27</v>
      </c>
      <c r="H7" s="10" t="n">
        <v>1.41</v>
      </c>
      <c r="I7" s="10" t="n">
        <v>0.72</v>
      </c>
      <c r="J7" s="10" t="n">
        <v>-0.12</v>
      </c>
      <c r="K7" s="10" t="n">
        <v>-0.55</v>
      </c>
      <c r="L7" s="10" t="n">
        <v>0.71</v>
      </c>
      <c r="M7" s="10" t="n">
        <v>0.14</v>
      </c>
      <c r="N7" s="10" t="n">
        <v>-0.43</v>
      </c>
      <c r="O7" s="10" t="n">
        <v>-1.03</v>
      </c>
      <c r="P7" s="10" t="n">
        <v>0.84</v>
      </c>
      <c r="Q7" s="10" t="n">
        <v>0.31</v>
      </c>
      <c r="R7" s="10">
        <f>(H7-I7)-(F7-G7)</f>
        <v/>
      </c>
      <c r="S7" s="10">
        <f>(H7+I7)-(F7+G7)</f>
        <v/>
      </c>
      <c r="T7" s="10" t="n">
        <v>1.88</v>
      </c>
      <c r="U7" s="10" t="n">
        <v>1.55</v>
      </c>
      <c r="V7" s="10" t="n">
        <v>0.33</v>
      </c>
      <c r="W7" s="10" t="n">
        <v>10.01</v>
      </c>
      <c r="X7" s="10" t="n">
        <v>8.390000000000001</v>
      </c>
      <c r="Z7" s="6" t="inlineStr">
        <is>
          <t>Goals Against vs expected</t>
        </is>
      </c>
      <c r="AA7" s="5">
        <f>SUMPRODUCT(--($E$2:$E$9&gt;$G$2:$G$9))</f>
        <v/>
      </c>
      <c r="AB7" s="5">
        <f>SUMPRODUCT(--($E$2:$E$9&lt;$G$2:$G$9))</f>
        <v/>
      </c>
    </row>
    <row r="8">
      <c r="A8" s="6" t="inlineStr">
        <is>
          <t>2026-10-18</t>
        </is>
      </c>
      <c r="B8" s="6" t="inlineStr">
        <is>
          <t>Crystal Palace</t>
        </is>
      </c>
      <c r="C8" s="6" t="inlineStr">
        <is>
          <t>Home</t>
        </is>
      </c>
      <c r="D8" s="6" t="n">
        <v>5</v>
      </c>
      <c r="E8" s="6" t="n">
        <v>0</v>
      </c>
      <c r="F8" s="9" t="n">
        <v>2.12</v>
      </c>
      <c r="G8" s="9" t="n">
        <v>1.03</v>
      </c>
      <c r="H8" s="9" t="n">
        <v>2</v>
      </c>
      <c r="I8" s="9" t="n">
        <v>0.77</v>
      </c>
      <c r="J8" s="9" t="n">
        <v>-0.12</v>
      </c>
      <c r="K8" s="9" t="n">
        <v>-0.26</v>
      </c>
      <c r="L8" s="9" t="n">
        <v>0.33</v>
      </c>
      <c r="M8" s="9" t="n">
        <v>0.27</v>
      </c>
      <c r="N8" s="9" t="n">
        <v>-0.55</v>
      </c>
      <c r="O8" s="9" t="n">
        <v>-0.46</v>
      </c>
      <c r="P8" s="9" t="n">
        <v>0.35</v>
      </c>
      <c r="Q8" s="9" t="n">
        <v>0.4</v>
      </c>
      <c r="R8" s="9">
        <f>(H8-I8)-(F8-G8)</f>
        <v/>
      </c>
      <c r="S8" s="9">
        <f>(H8+I8)-(F8+G8)</f>
        <v/>
      </c>
      <c r="T8" s="9" t="n">
        <v>2.19</v>
      </c>
      <c r="U8" s="9" t="n">
        <v>2.08</v>
      </c>
      <c r="V8" s="9" t="n">
        <v>0.11</v>
      </c>
      <c r="W8" s="9" t="n">
        <v>12.2</v>
      </c>
      <c r="X8" s="9" t="n">
        <v>10.47</v>
      </c>
      <c r="Z8" s="12" t="inlineStr">
        <is>
          <t>For: Above = beat expectation. Against: Above = conceded more than expected (worse).</t>
        </is>
      </c>
    </row>
    <row r="9">
      <c r="A9" s="8" t="inlineStr">
        <is>
          <t>2026-10-25</t>
        </is>
      </c>
      <c r="B9" s="8" t="inlineStr">
        <is>
          <t>Liverpool</t>
        </is>
      </c>
      <c r="C9" s="8" t="inlineStr">
        <is>
          <t>Away</t>
        </is>
      </c>
      <c r="D9" s="8" t="n">
        <v>0</v>
      </c>
      <c r="E9" s="8" t="n">
        <v>2</v>
      </c>
      <c r="F9" s="10" t="n">
        <v>1.37</v>
      </c>
      <c r="G9" s="10" t="n">
        <v>1.77</v>
      </c>
      <c r="H9" s="10" t="n">
        <v>1.32</v>
      </c>
      <c r="I9" s="10" t="n">
        <v>1.2</v>
      </c>
      <c r="J9" s="10" t="n">
        <v>-0.05</v>
      </c>
      <c r="K9" s="10" t="n">
        <v>-0.57</v>
      </c>
      <c r="L9" s="10" t="n">
        <v>0.28</v>
      </c>
      <c r="M9" s="10" t="n">
        <v>-0</v>
      </c>
      <c r="N9" s="10" t="n">
        <v>0.07000000000000001</v>
      </c>
      <c r="O9" s="10" t="n">
        <v>-0.21</v>
      </c>
      <c r="P9" s="10" t="n">
        <v>0.34</v>
      </c>
      <c r="Q9" s="10" t="n">
        <v>0.05</v>
      </c>
      <c r="R9" s="10">
        <f>(H9-I9)-(F9-G9)</f>
        <v/>
      </c>
      <c r="S9" s="10">
        <f>(H9+I9)-(F9+G9)</f>
        <v/>
      </c>
      <c r="T9" s="10" t="n">
        <v>1.45</v>
      </c>
      <c r="U9" s="10" t="n">
        <v>1.13</v>
      </c>
      <c r="V9" s="10" t="n">
        <v>0.32</v>
      </c>
      <c r="W9" s="10" t="n">
        <v>13.65</v>
      </c>
      <c r="X9" s="10" t="n">
        <v>11.6</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13</v>
      </c>
      <c r="D37" s="16" t="n">
        <v>1</v>
      </c>
      <c r="E37" s="20" t="n">
        <v>0.76</v>
      </c>
      <c r="F37" s="20" t="n">
        <v>0.34</v>
      </c>
      <c r="G37" s="20" t="n">
        <v>0.6899999999999999</v>
      </c>
      <c r="H37" s="20" t="n">
        <v>0.59</v>
      </c>
      <c r="AF37" s="11" t="inlineStr">
        <is>
          <t>Brighton &amp; Hove Albion: closing odds to win, by opponent (league table order)</t>
        </is>
      </c>
    </row>
    <row r="38">
      <c r="A38" s="16" t="inlineStr">
        <is>
          <t>Away</t>
        </is>
      </c>
      <c r="B38" s="16" t="n">
        <v>4</v>
      </c>
      <c r="C38" s="16" t="n">
        <v>10</v>
      </c>
      <c r="D38" s="16" t="n">
        <v>6</v>
      </c>
      <c r="E38" s="20" t="n">
        <v>0.25</v>
      </c>
      <c r="F38" s="20" t="n">
        <v>0.47</v>
      </c>
      <c r="G38" s="20" t="n">
        <v>0.33</v>
      </c>
      <c r="H38" s="20" t="n">
        <v>0.33</v>
      </c>
      <c r="AF38" s="4" t="inlineStr">
        <is>
          <t>League Table</t>
        </is>
      </c>
      <c r="AG38" s="4" t="inlineStr">
        <is>
          <t>Home Odds</t>
        </is>
      </c>
      <c r="AH38" s="4" t="inlineStr">
        <is>
          <t>Away Odds</t>
        </is>
      </c>
    </row>
    <row r="39">
      <c r="A39" s="21" t="inlineStr">
        <is>
          <t>Total</t>
        </is>
      </c>
      <c r="B39" s="21" t="n">
        <v>8</v>
      </c>
      <c r="C39" s="21" t="n">
        <v>23</v>
      </c>
      <c r="D39" s="21" t="n">
        <v>7</v>
      </c>
      <c r="E39" s="22" t="n">
        <v>0.51</v>
      </c>
      <c r="F39" s="22" t="n">
        <v>0.47</v>
      </c>
      <c r="G39" s="22" t="n">
        <v>0.51</v>
      </c>
      <c r="H39" s="22" t="n">
        <v>0.59</v>
      </c>
      <c r="AF39" s="6" t="inlineStr">
        <is>
          <t>1. Manchester City</t>
        </is>
      </c>
      <c r="AG39" s="15" t="n"/>
      <c r="AH39" s="15" t="n"/>
    </row>
    <row r="40">
      <c r="AF40" s="6" t="inlineStr">
        <is>
          <t>2. Arsenal</t>
        </is>
      </c>
      <c r="AG40" s="26" t="n">
        <v>5</v>
      </c>
      <c r="AH40" s="15" t="n"/>
    </row>
    <row r="41">
      <c r="AF41" s="23" t="inlineStr">
        <is>
          <t>3. Brighton &amp; Hove Albion</t>
        </is>
      </c>
      <c r="AG41" s="24" t="n"/>
      <c r="AH41" s="24" t="n"/>
    </row>
    <row r="42">
      <c r="AF42" s="6" t="inlineStr">
        <is>
          <t>4. Liverpool</t>
        </is>
      </c>
      <c r="AG42" s="15" t="n"/>
      <c r="AH42" s="25" t="n">
        <v>3.6</v>
      </c>
    </row>
    <row r="43">
      <c r="AF43" s="6" t="inlineStr">
        <is>
          <t>5. Chelsea</t>
        </is>
      </c>
      <c r="AG43" s="15" t="n"/>
      <c r="AH43" s="25" t="n">
        <v>3.8</v>
      </c>
    </row>
    <row r="44">
      <c r="AF44" s="6" t="inlineStr">
        <is>
          <t>6. Brentford</t>
        </is>
      </c>
      <c r="AG44" s="15" t="n"/>
      <c r="AH44" s="15" t="n"/>
    </row>
    <row r="45">
      <c r="AF45" s="6" t="inlineStr">
        <is>
          <t>7. Leeds United</t>
        </is>
      </c>
      <c r="AG45" s="30" t="n">
        <v>1.95</v>
      </c>
      <c r="AH45" s="15" t="n"/>
    </row>
    <row r="46">
      <c r="AF46" s="6" t="inlineStr">
        <is>
          <t>8. Newcastle United</t>
        </is>
      </c>
      <c r="AG46" s="15" t="n"/>
      <c r="AH46" s="15" t="n"/>
    </row>
    <row r="47">
      <c r="AF47" s="6" t="inlineStr">
        <is>
          <t>9. Aston Villa</t>
        </is>
      </c>
      <c r="AG47" s="26" t="n">
        <v>2.05</v>
      </c>
      <c r="AH47" s="15" t="n"/>
    </row>
    <row r="48">
      <c r="AF48" s="6" t="inlineStr">
        <is>
          <t>10. Hull</t>
        </is>
      </c>
      <c r="AG48" s="15" t="n"/>
      <c r="AH48" s="15" t="n"/>
    </row>
    <row r="49">
      <c r="AF49" s="6" t="inlineStr">
        <is>
          <t>11. Everton</t>
        </is>
      </c>
      <c r="AG49" s="15" t="n"/>
      <c r="AH49" s="15" t="n"/>
    </row>
    <row r="50">
      <c r="AF50" s="6" t="inlineStr">
        <is>
          <t>12. Ipswich</t>
        </is>
      </c>
      <c r="AG50" s="15" t="n"/>
      <c r="AH50" s="15" t="n"/>
    </row>
    <row r="51">
      <c r="AF51" s="6" t="inlineStr">
        <is>
          <t>13. Bournemouth</t>
        </is>
      </c>
      <c r="AG51" s="15" t="n"/>
      <c r="AH51" s="15" t="n"/>
    </row>
    <row r="52">
      <c r="AF52" s="6" t="inlineStr">
        <is>
          <t>14. Tottenham Hotspur</t>
        </is>
      </c>
      <c r="AG52" s="15" t="n"/>
      <c r="AH52" s="15" t="n"/>
    </row>
    <row r="53">
      <c r="AF53" s="6" t="inlineStr">
        <is>
          <t>15. Fulham</t>
        </is>
      </c>
      <c r="AG53" s="15" t="n"/>
      <c r="AH53" s="15" t="n"/>
    </row>
    <row r="54">
      <c r="AF54" s="6" t="inlineStr">
        <is>
          <t>16. Manchester United</t>
        </is>
      </c>
      <c r="AG54" s="15" t="n"/>
      <c r="AH54" s="15" t="n"/>
    </row>
    <row r="55">
      <c r="AF55" s="6" t="inlineStr">
        <is>
          <t>17. Crystal Palace</t>
        </is>
      </c>
      <c r="AG55" s="26" t="n">
        <v>1.4</v>
      </c>
      <c r="AH55" s="15" t="n"/>
    </row>
    <row r="56">
      <c r="AF56" s="6" t="inlineStr">
        <is>
          <t>18. Nottingham Forest</t>
        </is>
      </c>
      <c r="AG56" s="15" t="n"/>
      <c r="AH56" s="15" t="n"/>
    </row>
    <row r="57">
      <c r="AF57" s="6" t="inlineStr">
        <is>
          <t>19. Coventry</t>
        </is>
      </c>
      <c r="AG57" s="15" t="n"/>
      <c r="AH57" s="26" t="n">
        <v>1.9</v>
      </c>
    </row>
    <row r="58">
      <c r="AF58" s="6" t="inlineStr">
        <is>
          <t>20. Sunderland</t>
        </is>
      </c>
      <c r="AG58" s="15" t="n"/>
      <c r="AH58" s="26" t="n">
        <v>2.3</v>
      </c>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2026-08-24</t>
        </is>
      </c>
      <c r="B2" s="6" t="inlineStr">
        <is>
          <t>Fulham</t>
        </is>
      </c>
      <c r="C2" s="6" t="inlineStr">
        <is>
          <t>Away</t>
        </is>
      </c>
      <c r="D2" s="6" t="n">
        <v>3</v>
      </c>
      <c r="E2" s="6" t="n">
        <v>2</v>
      </c>
      <c r="F2" s="9" t="n">
        <v>1.78</v>
      </c>
      <c r="G2" s="9" t="n">
        <v>1.24</v>
      </c>
      <c r="H2" s="9" t="n">
        <v>2.24</v>
      </c>
      <c r="I2" s="9" t="n">
        <v>1.33</v>
      </c>
      <c r="J2" s="9" t="n">
        <v>0.46</v>
      </c>
      <c r="K2" s="9" t="n">
        <v>0.09</v>
      </c>
      <c r="L2" s="9" t="n">
        <v>0.46</v>
      </c>
      <c r="M2" s="9" t="n">
        <v>0.09</v>
      </c>
      <c r="N2" s="9" t="n">
        <v>0.7</v>
      </c>
      <c r="O2" s="9" t="n">
        <v>0.04</v>
      </c>
      <c r="P2" s="9" t="n">
        <v>0.7</v>
      </c>
      <c r="Q2" s="9" t="n">
        <v>0.04</v>
      </c>
      <c r="R2" s="9">
        <f>(H2-I2)-(F2-G2)</f>
        <v/>
      </c>
      <c r="S2" s="9">
        <f>(H2+I2)-(F2+G2)</f>
        <v/>
      </c>
      <c r="T2" s="9" t="n">
        <v>1.94</v>
      </c>
      <c r="U2" s="9" t="n">
        <v>1.74</v>
      </c>
      <c r="V2" s="9" t="n">
        <v>0.2</v>
      </c>
      <c r="W2" s="9" t="n">
        <v>1.94</v>
      </c>
      <c r="X2" s="9" t="n">
        <v>1.74</v>
      </c>
      <c r="Z2" s="12" t="inlineStr">
        <is>
          <t>Expected = the pre-match market xG (what the odds implied) for each side.</t>
        </is>
      </c>
    </row>
    <row r="3">
      <c r="A3" s="8" t="inlineStr">
        <is>
          <t>2026-08-30</t>
        </is>
      </c>
      <c r="B3" s="8" t="inlineStr">
        <is>
          <t>Brighton &amp; Hove Albion</t>
        </is>
      </c>
      <c r="C3" s="8" t="inlineStr">
        <is>
          <t>Home</t>
        </is>
      </c>
      <c r="D3" s="8" t="n">
        <v>4</v>
      </c>
      <c r="E3" s="8" t="n">
        <v>3</v>
      </c>
      <c r="F3" s="10" t="n">
        <v>1.84</v>
      </c>
      <c r="G3" s="10" t="n">
        <v>1.17</v>
      </c>
      <c r="H3" s="10" t="n">
        <v>2.93</v>
      </c>
      <c r="I3" s="10" t="n">
        <v>1.41</v>
      </c>
      <c r="J3" s="10" t="n">
        <v>1.09</v>
      </c>
      <c r="K3" s="10" t="n">
        <v>0.24</v>
      </c>
      <c r="L3" s="10" t="n">
        <v>0.78</v>
      </c>
      <c r="M3" s="10" t="n">
        <v>0.16</v>
      </c>
      <c r="N3" s="10" t="n">
        <v>1.25</v>
      </c>
      <c r="O3" s="10" t="n">
        <v>-0.31</v>
      </c>
      <c r="P3" s="10" t="n">
        <v>0.97</v>
      </c>
      <c r="Q3" s="10" t="n">
        <v>-0.14</v>
      </c>
      <c r="R3" s="10">
        <f>(H3-I3)-(F3-G3)</f>
        <v/>
      </c>
      <c r="S3" s="10">
        <f>(H3+I3)-(F3+G3)</f>
        <v/>
      </c>
      <c r="T3" s="10" t="n">
        <v>2.21</v>
      </c>
      <c r="U3" s="10" t="n">
        <v>1.82</v>
      </c>
      <c r="V3" s="10" t="n">
        <v>0.4</v>
      </c>
      <c r="W3" s="10" t="n">
        <v>4.15</v>
      </c>
      <c r="X3" s="10" t="n">
        <v>3.55</v>
      </c>
      <c r="Z3" s="4" t="inlineStr">
        <is>
          <t>Games vs expected</t>
        </is>
      </c>
      <c r="AA3" s="4" t="inlineStr">
        <is>
          <t>Above</t>
        </is>
      </c>
      <c r="AB3" s="4" t="inlineStr">
        <is>
          <t>Below</t>
        </is>
      </c>
    </row>
    <row r="4">
      <c r="A4" s="6" t="inlineStr">
        <is>
          <t>2026-09-06</t>
        </is>
      </c>
      <c r="B4" s="6" t="inlineStr">
        <is>
          <t>Arsenal</t>
        </is>
      </c>
      <c r="C4" s="6" t="inlineStr">
        <is>
          <t>Away</t>
        </is>
      </c>
      <c r="D4" s="6" t="n">
        <v>1</v>
      </c>
      <c r="E4" s="6" t="n">
        <v>2</v>
      </c>
      <c r="F4" s="9" t="n">
        <v>0.98</v>
      </c>
      <c r="G4" s="9" t="n">
        <v>1.85</v>
      </c>
      <c r="H4" s="9" t="n">
        <v>0.39</v>
      </c>
      <c r="I4" s="9" t="n">
        <v>2.05</v>
      </c>
      <c r="J4" s="9" t="n">
        <v>-0.59</v>
      </c>
      <c r="K4" s="9" t="n">
        <v>0.2</v>
      </c>
      <c r="L4" s="9" t="n">
        <v>0.32</v>
      </c>
      <c r="M4" s="9" t="n">
        <v>0.17</v>
      </c>
      <c r="N4" s="9" t="n">
        <v>-0.64</v>
      </c>
      <c r="O4" s="9" t="n">
        <v>0.52</v>
      </c>
      <c r="P4" s="9" t="n">
        <v>0.44</v>
      </c>
      <c r="Q4" s="9" t="n">
        <v>0.08</v>
      </c>
      <c r="R4" s="9">
        <f>(H4-I4)-(F4-G4)</f>
        <v/>
      </c>
      <c r="S4" s="9">
        <f>(H4+I4)-(F4+G4)</f>
        <v/>
      </c>
      <c r="T4" s="9" t="n">
        <v>0.35</v>
      </c>
      <c r="U4" s="9" t="n">
        <v>0.8100000000000001</v>
      </c>
      <c r="V4" s="9" t="n">
        <v>-0.46</v>
      </c>
      <c r="W4" s="9" t="n">
        <v>4.5</v>
      </c>
      <c r="X4" s="9" t="n">
        <v>4.36</v>
      </c>
      <c r="Z4" s="6" t="inlineStr">
        <is>
          <t>xG For vs expected</t>
        </is>
      </c>
      <c r="AA4" s="5">
        <f>COUNTIF($J$2:$J$9,"&gt;0")</f>
        <v/>
      </c>
      <c r="AB4" s="5">
        <f>COUNTIF($J$2:$J$9,"&lt;0")</f>
        <v/>
      </c>
    </row>
    <row r="5">
      <c r="A5" s="8" t="inlineStr">
        <is>
          <t>2026-09-12</t>
        </is>
      </c>
      <c r="B5" s="8" t="inlineStr">
        <is>
          <t>Hull</t>
        </is>
      </c>
      <c r="C5" s="8" t="inlineStr">
        <is>
          <t>Home</t>
        </is>
      </c>
      <c r="D5" s="8" t="n">
        <v>2</v>
      </c>
      <c r="E5" s="8" t="n">
        <v>2</v>
      </c>
      <c r="F5" s="10" t="n">
        <v>2.69</v>
      </c>
      <c r="G5" s="10" t="n">
        <v>0.78</v>
      </c>
      <c r="H5" s="10" t="n">
        <v>0.91</v>
      </c>
      <c r="I5" s="10" t="n">
        <v>1.38</v>
      </c>
      <c r="J5" s="10" t="n">
        <v>-1.77</v>
      </c>
      <c r="K5" s="10" t="n">
        <v>0.6</v>
      </c>
      <c r="L5" s="10" t="n">
        <v>-0.2</v>
      </c>
      <c r="M5" s="10" t="n">
        <v>0.28</v>
      </c>
      <c r="N5" s="10" t="n">
        <v>-1.56</v>
      </c>
      <c r="O5" s="10" t="n">
        <v>0.62</v>
      </c>
      <c r="P5" s="10" t="n">
        <v>-0.06</v>
      </c>
      <c r="Q5" s="10" t="n">
        <v>0.22</v>
      </c>
      <c r="R5" s="10">
        <f>(H5-I5)-(F5-G5)</f>
        <v/>
      </c>
      <c r="S5" s="10">
        <f>(H5+I5)-(F5+G5)</f>
        <v/>
      </c>
      <c r="T5" s="10" t="n">
        <v>1.02</v>
      </c>
      <c r="U5" s="10" t="n">
        <v>2.47</v>
      </c>
      <c r="V5" s="10" t="n">
        <v>-1.45</v>
      </c>
      <c r="W5" s="10" t="n">
        <v>5.52</v>
      </c>
      <c r="X5" s="10" t="n">
        <v>6.83</v>
      </c>
      <c r="Z5" s="6" t="inlineStr">
        <is>
          <t>xG Against vs expected</t>
        </is>
      </c>
      <c r="AA5" s="5">
        <f>COUNTIF($K$2:$K$9,"&gt;0")</f>
        <v/>
      </c>
      <c r="AB5" s="5">
        <f>COUNTIF($K$2:$K$9,"&lt;0")</f>
        <v/>
      </c>
    </row>
    <row r="6">
      <c r="A6" s="6" t="inlineStr">
        <is>
          <t>2026-09-18</t>
        </is>
      </c>
      <c r="B6" s="6" t="inlineStr">
        <is>
          <t>Brentford</t>
        </is>
      </c>
      <c r="C6" s="6" t="inlineStr">
        <is>
          <t>Away</t>
        </is>
      </c>
      <c r="D6" s="6" t="n">
        <v>0</v>
      </c>
      <c r="E6" s="6" t="n">
        <v>3</v>
      </c>
      <c r="F6" s="9" t="n">
        <v>1.66</v>
      </c>
      <c r="G6" s="9" t="n">
        <v>1.62</v>
      </c>
      <c r="H6" s="9" t="n">
        <v>0.83</v>
      </c>
      <c r="I6" s="9" t="n">
        <v>2.65</v>
      </c>
      <c r="J6" s="9" t="n">
        <v>-0.83</v>
      </c>
      <c r="K6" s="9" t="n">
        <v>1.02</v>
      </c>
      <c r="L6" s="9" t="n">
        <v>-0.33</v>
      </c>
      <c r="M6" s="9" t="n">
        <v>0.43</v>
      </c>
      <c r="N6" s="9" t="n">
        <v>-1.09</v>
      </c>
      <c r="O6" s="9" t="n">
        <v>1.06</v>
      </c>
      <c r="P6" s="9" t="n">
        <v>-0.27</v>
      </c>
      <c r="Q6" s="9" t="n">
        <v>0.39</v>
      </c>
      <c r="R6" s="9">
        <f>(H6-I6)-(F6-G6)</f>
        <v/>
      </c>
      <c r="S6" s="9">
        <f>(H6+I6)-(F6+G6)</f>
        <v/>
      </c>
      <c r="T6" s="9" t="n">
        <v>0.42</v>
      </c>
      <c r="U6" s="9" t="n">
        <v>1.41</v>
      </c>
      <c r="V6" s="9" t="n">
        <v>-0.98</v>
      </c>
      <c r="W6" s="9" t="n">
        <v>5.94</v>
      </c>
      <c r="X6" s="9" t="n">
        <v>8.24</v>
      </c>
      <c r="Z6" s="6" t="inlineStr">
        <is>
          <t>Goals For vs expected</t>
        </is>
      </c>
      <c r="AA6" s="5">
        <f>SUMPRODUCT(--($D$2:$D$9&gt;$F$2:$F$9))</f>
        <v/>
      </c>
      <c r="AB6" s="5">
        <f>SUMPRODUCT(--($D$2:$D$9&lt;$F$2:$F$9))</f>
        <v/>
      </c>
    </row>
    <row r="7">
      <c r="A7" s="8" t="inlineStr">
        <is>
          <t>2026-10-10</t>
        </is>
      </c>
      <c r="B7" s="8" t="inlineStr">
        <is>
          <t>Bournemouth</t>
        </is>
      </c>
      <c r="C7" s="8" t="inlineStr">
        <is>
          <t>Home</t>
        </is>
      </c>
      <c r="D7" s="8" t="n">
        <v>5</v>
      </c>
      <c r="E7" s="8" t="n">
        <v>1</v>
      </c>
      <c r="F7" s="10" t="n">
        <v>2.1</v>
      </c>
      <c r="G7" s="10" t="n">
        <v>1.2</v>
      </c>
      <c r="H7" s="10" t="n">
        <v>1.1</v>
      </c>
      <c r="I7" s="10" t="n">
        <v>1.38</v>
      </c>
      <c r="J7" s="10" t="n">
        <v>-1</v>
      </c>
      <c r="K7" s="10" t="n">
        <v>0.18</v>
      </c>
      <c r="L7" s="10" t="n">
        <v>-0.44</v>
      </c>
      <c r="M7" s="10" t="n">
        <v>0.39</v>
      </c>
      <c r="N7" s="10" t="n">
        <v>-0.55</v>
      </c>
      <c r="O7" s="10" t="n">
        <v>-0.28</v>
      </c>
      <c r="P7" s="10" t="n">
        <v>-0.32</v>
      </c>
      <c r="Q7" s="10" t="n">
        <v>0.28</v>
      </c>
      <c r="R7" s="10">
        <f>(H7-I7)-(F7-G7)</f>
        <v/>
      </c>
      <c r="S7" s="10">
        <f>(H7+I7)-(F7+G7)</f>
        <v/>
      </c>
      <c r="T7" s="10" t="n">
        <v>1.17</v>
      </c>
      <c r="U7" s="10" t="n">
        <v>1.95</v>
      </c>
      <c r="V7" s="10" t="n">
        <v>-0.78</v>
      </c>
      <c r="W7" s="10" t="n">
        <v>7.11</v>
      </c>
      <c r="X7" s="10" t="n">
        <v>10.18</v>
      </c>
      <c r="Z7" s="6" t="inlineStr">
        <is>
          <t>Goals Against vs expected</t>
        </is>
      </c>
      <c r="AA7" s="5">
        <f>SUMPRODUCT(--($E$2:$E$9&gt;$G$2:$G$9))</f>
        <v/>
      </c>
      <c r="AB7" s="5">
        <f>SUMPRODUCT(--($E$2:$E$9&lt;$G$2:$G$9))</f>
        <v/>
      </c>
    </row>
    <row r="8">
      <c r="A8" s="6" t="inlineStr">
        <is>
          <t>2026-10-17</t>
        </is>
      </c>
      <c r="B8" s="6" t="inlineStr">
        <is>
          <t>Everton</t>
        </is>
      </c>
      <c r="C8" s="6" t="inlineStr">
        <is>
          <t>Away</t>
        </is>
      </c>
      <c r="D8" s="6" t="n">
        <v>2</v>
      </c>
      <c r="E8" s="6" t="n">
        <v>0</v>
      </c>
      <c r="F8" s="9" t="n">
        <v>1.67</v>
      </c>
      <c r="G8" s="9" t="n">
        <v>1.31</v>
      </c>
      <c r="H8" s="9" t="n">
        <v>1.47</v>
      </c>
      <c r="I8" s="9" t="n">
        <v>0.43</v>
      </c>
      <c r="J8" s="9" t="n">
        <v>-0.2</v>
      </c>
      <c r="K8" s="9" t="n">
        <v>-0.88</v>
      </c>
      <c r="L8" s="9" t="n">
        <v>-0.55</v>
      </c>
      <c r="M8" s="9" t="n">
        <v>0.23</v>
      </c>
      <c r="N8" s="9" t="n">
        <v>-0.22</v>
      </c>
      <c r="O8" s="9" t="n">
        <v>-0.97</v>
      </c>
      <c r="P8" s="9" t="n">
        <v>-0.47</v>
      </c>
      <c r="Q8" s="9" t="n">
        <v>0.11</v>
      </c>
      <c r="R8" s="9">
        <f>(H8-I8)-(F8-G8)</f>
        <v/>
      </c>
      <c r="S8" s="9">
        <f>(H8+I8)-(F8+G8)</f>
        <v/>
      </c>
      <c r="T8" s="9" t="n">
        <v>2.16</v>
      </c>
      <c r="U8" s="9" t="n">
        <v>1.62</v>
      </c>
      <c r="V8" s="9" t="n">
        <v>0.54</v>
      </c>
      <c r="W8" s="9" t="n">
        <v>9.27</v>
      </c>
      <c r="X8" s="9" t="n">
        <v>11.8</v>
      </c>
      <c r="Z8" s="12" t="inlineStr">
        <is>
          <t>For: Above = beat expectation. Against: Above = conceded more than expected (worse).</t>
        </is>
      </c>
    </row>
    <row r="9">
      <c r="A9" s="8" t="inlineStr">
        <is>
          <t>2026-10-24</t>
        </is>
      </c>
      <c r="B9" s="8" t="inlineStr">
        <is>
          <t>Tottenham Hotspur</t>
        </is>
      </c>
      <c r="C9" s="8" t="inlineStr">
        <is>
          <t>Home</t>
        </is>
      </c>
      <c r="D9" s="8" t="n">
        <v>0</v>
      </c>
      <c r="E9" s="8" t="n">
        <v>2</v>
      </c>
      <c r="F9" s="10" t="n">
        <v>2.02</v>
      </c>
      <c r="G9" s="10" t="n">
        <v>1.2</v>
      </c>
      <c r="H9" s="10" t="n">
        <v>0.47</v>
      </c>
      <c r="I9" s="10" t="n">
        <v>0.74</v>
      </c>
      <c r="J9" s="10" t="n">
        <v>-1.55</v>
      </c>
      <c r="K9" s="10" t="n">
        <v>-0.46</v>
      </c>
      <c r="L9" s="10" t="n">
        <v>-0.99</v>
      </c>
      <c r="M9" s="10" t="n">
        <v>0.11</v>
      </c>
      <c r="N9" s="10" t="n">
        <v>-1.54</v>
      </c>
      <c r="O9" s="10" t="n">
        <v>0.03</v>
      </c>
      <c r="P9" s="10" t="n">
        <v>-0.93</v>
      </c>
      <c r="Q9" s="10" t="n">
        <v>0.16</v>
      </c>
      <c r="R9" s="10">
        <f>(H9-I9)-(F9-G9)</f>
        <v/>
      </c>
      <c r="S9" s="10">
        <f>(H9+I9)-(F9+G9)</f>
        <v/>
      </c>
      <c r="T9" s="10" t="n">
        <v>1.04</v>
      </c>
      <c r="U9" s="10" t="n">
        <v>1.91</v>
      </c>
      <c r="V9" s="10" t="n">
        <v>-0.87</v>
      </c>
      <c r="W9" s="10" t="n">
        <v>10.31</v>
      </c>
      <c r="X9" s="10" t="n">
        <v>13.71</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11</v>
      </c>
      <c r="D37" s="16" t="n">
        <v>8</v>
      </c>
      <c r="E37" s="20" t="n">
        <v>-0.95</v>
      </c>
      <c r="F37" s="20" t="n">
        <v>-1.14</v>
      </c>
      <c r="G37" s="20" t="n">
        <v>-0.67</v>
      </c>
      <c r="H37" s="20" t="n">
        <v>-0.99</v>
      </c>
      <c r="AF37" s="11" t="inlineStr">
        <is>
          <t>Chelsea: closing odds to win, by opponent (league table order)</t>
        </is>
      </c>
    </row>
    <row r="38">
      <c r="A38" s="16" t="inlineStr">
        <is>
          <t>Away</t>
        </is>
      </c>
      <c r="B38" s="16" t="n">
        <v>4</v>
      </c>
      <c r="C38" s="16" t="n">
        <v>6</v>
      </c>
      <c r="D38" s="16" t="n">
        <v>7</v>
      </c>
      <c r="E38" s="20" t="n">
        <v>-0.4</v>
      </c>
      <c r="F38" s="20" t="n">
        <v>-0.21</v>
      </c>
      <c r="G38" s="20" t="n">
        <v>-0.18</v>
      </c>
      <c r="H38" s="20" t="n">
        <v>-0.1</v>
      </c>
      <c r="AF38" s="4" t="inlineStr">
        <is>
          <t>League Table</t>
        </is>
      </c>
      <c r="AG38" s="4" t="inlineStr">
        <is>
          <t>Home Odds</t>
        </is>
      </c>
      <c r="AH38" s="4" t="inlineStr">
        <is>
          <t>Away Odds</t>
        </is>
      </c>
    </row>
    <row r="39">
      <c r="A39" s="21" t="inlineStr">
        <is>
          <t>Total</t>
        </is>
      </c>
      <c r="B39" s="21" t="n">
        <v>8</v>
      </c>
      <c r="C39" s="21" t="n">
        <v>17</v>
      </c>
      <c r="D39" s="21" t="n">
        <v>15</v>
      </c>
      <c r="E39" s="22" t="n">
        <v>-0.67</v>
      </c>
      <c r="F39" s="22" t="n">
        <v>-0.9399999999999999</v>
      </c>
      <c r="G39" s="22" t="n">
        <v>-0.43</v>
      </c>
      <c r="H39" s="22" t="n">
        <v>-0.6</v>
      </c>
      <c r="AF39" s="6" t="inlineStr">
        <is>
          <t>1. Manchester City</t>
        </is>
      </c>
      <c r="AG39" s="15" t="n"/>
      <c r="AH39" s="15" t="n"/>
    </row>
    <row r="40">
      <c r="AF40" s="6" t="inlineStr">
        <is>
          <t>2. Arsenal</t>
        </is>
      </c>
      <c r="AG40" s="15" t="n"/>
      <c r="AH40" s="25" t="n">
        <v>4.75</v>
      </c>
    </row>
    <row r="41">
      <c r="AF41" s="6" t="inlineStr">
        <is>
          <t>3. Brighton &amp; Hove Albion</t>
        </is>
      </c>
      <c r="AG41" s="26" t="n">
        <v>1.83</v>
      </c>
      <c r="AH41" s="15" t="n"/>
    </row>
    <row r="42">
      <c r="AF42" s="6" t="inlineStr">
        <is>
          <t>4. Liverpool</t>
        </is>
      </c>
      <c r="AG42" s="15" t="n"/>
      <c r="AH42" s="15" t="n"/>
    </row>
    <row r="43">
      <c r="AF43" s="23" t="inlineStr">
        <is>
          <t>5. Chelsea</t>
        </is>
      </c>
      <c r="AG43" s="24" t="n"/>
      <c r="AH43" s="24" t="n"/>
    </row>
    <row r="44">
      <c r="AF44" s="6" t="inlineStr">
        <is>
          <t>6. Brentford</t>
        </is>
      </c>
      <c r="AG44" s="15" t="n"/>
      <c r="AH44" s="25" t="n">
        <v>2.6</v>
      </c>
    </row>
    <row r="45">
      <c r="AF45" s="6" t="inlineStr">
        <is>
          <t>7. Leeds United</t>
        </is>
      </c>
      <c r="AG45" s="15" t="n"/>
      <c r="AH45" s="15" t="n"/>
    </row>
    <row r="46">
      <c r="AF46" s="6" t="inlineStr">
        <is>
          <t>8. Newcastle United</t>
        </is>
      </c>
      <c r="AG46" s="15" t="n"/>
      <c r="AH46" s="15" t="n"/>
    </row>
    <row r="47">
      <c r="AF47" s="6" t="inlineStr">
        <is>
          <t>9. Aston Villa</t>
        </is>
      </c>
      <c r="AG47" s="15" t="n"/>
      <c r="AH47" s="15" t="n"/>
    </row>
    <row r="48">
      <c r="AF48" s="6" t="inlineStr">
        <is>
          <t>10. Hull</t>
        </is>
      </c>
      <c r="AG48" s="30" t="n">
        <v>1.18</v>
      </c>
      <c r="AH48" s="15" t="n"/>
    </row>
    <row r="49">
      <c r="AF49" s="6" t="inlineStr">
        <is>
          <t>11. Everton</t>
        </is>
      </c>
      <c r="AG49" s="15" t="n"/>
      <c r="AH49" s="26" t="n">
        <v>2.3</v>
      </c>
    </row>
    <row r="50">
      <c r="AF50" s="6" t="inlineStr">
        <is>
          <t>12. Ipswich</t>
        </is>
      </c>
      <c r="AG50" s="15" t="n"/>
      <c r="AH50" s="15" t="n"/>
    </row>
    <row r="51">
      <c r="AF51" s="6" t="inlineStr">
        <is>
          <t>13. Bournemouth</t>
        </is>
      </c>
      <c r="AG51" s="26" t="n">
        <v>1.75</v>
      </c>
      <c r="AH51" s="15" t="n"/>
    </row>
    <row r="52">
      <c r="AF52" s="6" t="inlineStr">
        <is>
          <t>14. Tottenham Hotspur</t>
        </is>
      </c>
      <c r="AG52" s="25" t="n">
        <v>1.85</v>
      </c>
      <c r="AH52" s="15" t="n"/>
    </row>
    <row r="53">
      <c r="AF53" s="6" t="inlineStr">
        <is>
          <t>15. Fulham</t>
        </is>
      </c>
      <c r="AG53" s="15" t="n"/>
      <c r="AH53" s="26" t="n">
        <v>2</v>
      </c>
    </row>
    <row r="54">
      <c r="AF54" s="6" t="inlineStr">
        <is>
          <t>16. Manchester United</t>
        </is>
      </c>
      <c r="AG54" s="15" t="n"/>
      <c r="AH54" s="15" t="n"/>
    </row>
    <row r="55">
      <c r="AF55" s="6" t="inlineStr">
        <is>
          <t>17. Crystal Palace</t>
        </is>
      </c>
      <c r="AG55" s="15" t="n"/>
      <c r="AH55" s="15" t="n"/>
    </row>
    <row r="56">
      <c r="AF56" s="6" t="inlineStr">
        <is>
          <t>18. Nottingham Forest</t>
        </is>
      </c>
      <c r="AG56" s="15" t="n"/>
      <c r="AH56" s="15" t="n"/>
    </row>
    <row r="57">
      <c r="AF57" s="6" t="inlineStr">
        <is>
          <t>19. Coventry</t>
        </is>
      </c>
      <c r="AG57" s="15" t="n"/>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2026-08-21</t>
        </is>
      </c>
      <c r="B2" s="6" t="inlineStr">
        <is>
          <t>Arsenal</t>
        </is>
      </c>
      <c r="C2" s="6" t="inlineStr">
        <is>
          <t>Away</t>
        </is>
      </c>
      <c r="D2" s="6" t="n">
        <v>0</v>
      </c>
      <c r="E2" s="6" t="n">
        <v>3</v>
      </c>
      <c r="F2" s="9" t="n">
        <v>0.59</v>
      </c>
      <c r="G2" s="9" t="n">
        <v>2.55</v>
      </c>
      <c r="H2" s="9" t="n">
        <v>0.2</v>
      </c>
      <c r="I2" s="9" t="n">
        <v>1.88</v>
      </c>
      <c r="J2" s="9" t="n">
        <v>-0.39</v>
      </c>
      <c r="K2" s="9" t="n">
        <v>-0.67</v>
      </c>
      <c r="L2" s="9" t="n">
        <v>-0.39</v>
      </c>
      <c r="M2" s="9" t="n">
        <v>-0.67</v>
      </c>
      <c r="N2" s="9" t="n">
        <v>-0.41</v>
      </c>
      <c r="O2" s="9" t="n">
        <v>-0.47</v>
      </c>
      <c r="P2" s="9" t="n">
        <v>-0.41</v>
      </c>
      <c r="Q2" s="9" t="n">
        <v>-0.47</v>
      </c>
      <c r="R2" s="9">
        <f>(H2-I2)-(F2-G2)</f>
        <v/>
      </c>
      <c r="S2" s="9">
        <f>(H2+I2)-(F2+G2)</f>
        <v/>
      </c>
      <c r="T2" s="9" t="n">
        <v>0.28</v>
      </c>
      <c r="U2" s="9" t="n">
        <v>0.33</v>
      </c>
      <c r="V2" s="9" t="n">
        <v>-0.06</v>
      </c>
      <c r="W2" s="9" t="n">
        <v>0.28</v>
      </c>
      <c r="X2" s="9" t="n">
        <v>0.33</v>
      </c>
      <c r="Z2" s="12" t="inlineStr">
        <is>
          <t>Expected = the pre-match market xG (what the odds implied) for each side.</t>
        </is>
      </c>
    </row>
    <row r="3">
      <c r="A3" s="8" t="inlineStr">
        <is>
          <t>2026-08-29</t>
        </is>
      </c>
      <c r="B3" s="8" t="inlineStr">
        <is>
          <t>Hull</t>
        </is>
      </c>
      <c r="C3" s="8" t="inlineStr">
        <is>
          <t>Home</t>
        </is>
      </c>
      <c r="D3" s="8" t="n">
        <v>0</v>
      </c>
      <c r="E3" s="8" t="n">
        <v>1</v>
      </c>
      <c r="F3" s="10" t="n">
        <v>1.65</v>
      </c>
      <c r="G3" s="10" t="n">
        <v>1.05</v>
      </c>
      <c r="H3" s="10" t="n">
        <v>1.29</v>
      </c>
      <c r="I3" s="10" t="n">
        <v>0.72</v>
      </c>
      <c r="J3" s="10" t="n">
        <v>-0.36</v>
      </c>
      <c r="K3" s="10" t="n">
        <v>-0.33</v>
      </c>
      <c r="L3" s="10" t="n">
        <v>-0.38</v>
      </c>
      <c r="M3" s="10" t="n">
        <v>-0.5</v>
      </c>
      <c r="N3" s="10" t="n">
        <v>0.06</v>
      </c>
      <c r="O3" s="10" t="n">
        <v>-0.44</v>
      </c>
      <c r="P3" s="10" t="n">
        <v>-0.18</v>
      </c>
      <c r="Q3" s="10" t="n">
        <v>-0.46</v>
      </c>
      <c r="R3" s="10">
        <f>(H3-I3)-(F3-G3)</f>
        <v/>
      </c>
      <c r="S3" s="10">
        <f>(H3+I3)-(F3+G3)</f>
        <v/>
      </c>
      <c r="T3" s="10" t="n">
        <v>1.79</v>
      </c>
      <c r="U3" s="10" t="n">
        <v>1.79</v>
      </c>
      <c r="V3" s="10" t="n">
        <v>0.01</v>
      </c>
      <c r="W3" s="10" t="n">
        <v>2.07</v>
      </c>
      <c r="X3" s="10" t="n">
        <v>2.12</v>
      </c>
      <c r="Z3" s="4" t="inlineStr">
        <is>
          <t>Games vs expected</t>
        </is>
      </c>
      <c r="AA3" s="4" t="inlineStr">
        <is>
          <t>Above</t>
        </is>
      </c>
      <c r="AB3" s="4" t="inlineStr">
        <is>
          <t>Below</t>
        </is>
      </c>
    </row>
    <row r="4">
      <c r="A4" s="6" t="inlineStr">
        <is>
          <t>2026-09-05</t>
        </is>
      </c>
      <c r="B4" s="6" t="inlineStr">
        <is>
          <t>Manchester City</t>
        </is>
      </c>
      <c r="C4" s="6" t="inlineStr">
        <is>
          <t>Away</t>
        </is>
      </c>
      <c r="D4" s="6" t="n">
        <v>0</v>
      </c>
      <c r="E4" s="6" t="n">
        <v>1</v>
      </c>
      <c r="F4" s="9" t="n">
        <v>0.76</v>
      </c>
      <c r="G4" s="9" t="n">
        <v>2.89</v>
      </c>
      <c r="H4" s="9" t="n">
        <v>1.37</v>
      </c>
      <c r="I4" s="9" t="n">
        <v>2.12</v>
      </c>
      <c r="J4" s="9" t="n">
        <v>0.61</v>
      </c>
      <c r="K4" s="9" t="n">
        <v>-0.77</v>
      </c>
      <c r="L4" s="9" t="n">
        <v>-0.05</v>
      </c>
      <c r="M4" s="9" t="n">
        <v>-0.59</v>
      </c>
      <c r="N4" s="9" t="n">
        <v>0.39</v>
      </c>
      <c r="O4" s="9" t="n">
        <v>-0.74</v>
      </c>
      <c r="P4" s="9" t="n">
        <v>0.01</v>
      </c>
      <c r="Q4" s="9" t="n">
        <v>-0.55</v>
      </c>
      <c r="R4" s="9">
        <f>(H4-I4)-(F4-G4)</f>
        <v/>
      </c>
      <c r="S4" s="9">
        <f>(H4+I4)-(F4+G4)</f>
        <v/>
      </c>
      <c r="T4" s="9" t="n">
        <v>0.9399999999999999</v>
      </c>
      <c r="U4" s="9" t="n">
        <v>0.33</v>
      </c>
      <c r="V4" s="9" t="n">
        <v>0.61</v>
      </c>
      <c r="W4" s="9" t="n">
        <v>3.01</v>
      </c>
      <c r="X4" s="9" t="n">
        <v>2.45</v>
      </c>
      <c r="Z4" s="6" t="inlineStr">
        <is>
          <t>xG For vs expected</t>
        </is>
      </c>
      <c r="AA4" s="5">
        <f>COUNTIF($J$2:$J$9,"&gt;0")</f>
        <v/>
      </c>
      <c r="AB4" s="5">
        <f>COUNTIF($J$2:$J$9,"&lt;0")</f>
        <v/>
      </c>
    </row>
    <row r="5">
      <c r="A5" s="8" t="inlineStr">
        <is>
          <t>2026-09-13</t>
        </is>
      </c>
      <c r="B5" s="8" t="inlineStr">
        <is>
          <t>Brighton &amp; Hove Albion</t>
        </is>
      </c>
      <c r="C5" s="8" t="inlineStr">
        <is>
          <t>Home</t>
        </is>
      </c>
      <c r="D5" s="8" t="n">
        <v>0</v>
      </c>
      <c r="E5" s="8" t="n">
        <v>5</v>
      </c>
      <c r="F5" s="10" t="n">
        <v>1.15</v>
      </c>
      <c r="G5" s="10" t="n">
        <v>1.72</v>
      </c>
      <c r="H5" s="10" t="n">
        <v>1.33</v>
      </c>
      <c r="I5" s="10" t="n">
        <v>2.81</v>
      </c>
      <c r="J5" s="10" t="n">
        <v>0.19</v>
      </c>
      <c r="K5" s="10" t="n">
        <v>1.09</v>
      </c>
      <c r="L5" s="10" t="n">
        <v>0.01</v>
      </c>
      <c r="M5" s="10" t="n">
        <v>-0.17</v>
      </c>
      <c r="N5" s="10" t="n">
        <v>0.21</v>
      </c>
      <c r="O5" s="10" t="n">
        <v>0.66</v>
      </c>
      <c r="P5" s="10" t="n">
        <v>0.06</v>
      </c>
      <c r="Q5" s="10" t="n">
        <v>-0.25</v>
      </c>
      <c r="R5" s="10">
        <f>(H5-I5)-(F5-G5)</f>
        <v/>
      </c>
      <c r="S5" s="10">
        <f>(H5+I5)-(F5+G5)</f>
        <v/>
      </c>
      <c r="T5" s="10" t="n">
        <v>0.63</v>
      </c>
      <c r="U5" s="10" t="n">
        <v>1</v>
      </c>
      <c r="V5" s="10" t="n">
        <v>-0.36</v>
      </c>
      <c r="W5" s="10" t="n">
        <v>3.65</v>
      </c>
      <c r="X5" s="10" t="n">
        <v>3.45</v>
      </c>
      <c r="Z5" s="6" t="inlineStr">
        <is>
          <t>xG Against vs expected</t>
        </is>
      </c>
      <c r="AA5" s="5">
        <f>COUNTIF($K$2:$K$9,"&gt;0")</f>
        <v/>
      </c>
      <c r="AB5" s="5">
        <f>COUNTIF($K$2:$K$9,"&lt;0")</f>
        <v/>
      </c>
    </row>
    <row r="6">
      <c r="A6" s="6" t="inlineStr">
        <is>
          <t>2026-09-19</t>
        </is>
      </c>
      <c r="B6" s="6" t="inlineStr">
        <is>
          <t>Nottingham Forest</t>
        </is>
      </c>
      <c r="C6" s="6" t="inlineStr">
        <is>
          <t>Away</t>
        </is>
      </c>
      <c r="D6" s="6" t="n">
        <v>1</v>
      </c>
      <c r="E6" s="6" t="n">
        <v>0</v>
      </c>
      <c r="F6" s="9" t="n">
        <v>0.91</v>
      </c>
      <c r="G6" s="9" t="n">
        <v>1.91</v>
      </c>
      <c r="H6" s="9" t="n">
        <v>0.67</v>
      </c>
      <c r="I6" s="9" t="n">
        <v>1.1</v>
      </c>
      <c r="J6" s="9" t="n">
        <v>-0.24</v>
      </c>
      <c r="K6" s="9" t="n">
        <v>-0.8100000000000001</v>
      </c>
      <c r="L6" s="9" t="n">
        <v>-0.04</v>
      </c>
      <c r="M6" s="9" t="n">
        <v>-0.3</v>
      </c>
      <c r="N6" s="9" t="n">
        <v>0.1</v>
      </c>
      <c r="O6" s="9" t="n">
        <v>-1.39</v>
      </c>
      <c r="P6" s="9" t="n">
        <v>0.07000000000000001</v>
      </c>
      <c r="Q6" s="9" t="n">
        <v>-0.48</v>
      </c>
      <c r="R6" s="9">
        <f>(H6-I6)-(F6-G6)</f>
        <v/>
      </c>
      <c r="S6" s="9">
        <f>(H6+I6)-(F6+G6)</f>
        <v/>
      </c>
      <c r="T6" s="9" t="n">
        <v>0.99</v>
      </c>
      <c r="U6" s="9" t="n">
        <v>0.73</v>
      </c>
      <c r="V6" s="9" t="n">
        <v>0.25</v>
      </c>
      <c r="W6" s="9" t="n">
        <v>4.63</v>
      </c>
      <c r="X6" s="9" t="n">
        <v>4.18</v>
      </c>
      <c r="Z6" s="6" t="inlineStr">
        <is>
          <t>Goals For vs expected</t>
        </is>
      </c>
      <c r="AA6" s="5">
        <f>SUMPRODUCT(--($D$2:$D$9&gt;$F$2:$F$9))</f>
        <v/>
      </c>
      <c r="AB6" s="5">
        <f>SUMPRODUCT(--($D$2:$D$9&lt;$F$2:$F$9))</f>
        <v/>
      </c>
    </row>
    <row r="7">
      <c r="A7" s="8" t="inlineStr">
        <is>
          <t>2026-10-12</t>
        </is>
      </c>
      <c r="B7" s="8" t="inlineStr">
        <is>
          <t>Newcastle United</t>
        </is>
      </c>
      <c r="C7" s="8" t="inlineStr">
        <is>
          <t>Home</t>
        </is>
      </c>
      <c r="D7" s="8" t="n">
        <v>4</v>
      </c>
      <c r="E7" s="8" t="n">
        <v>1</v>
      </c>
      <c r="F7" s="10" t="n">
        <v>1.31</v>
      </c>
      <c r="G7" s="10" t="n">
        <v>1.68</v>
      </c>
      <c r="H7" s="10" t="n">
        <v>1.47</v>
      </c>
      <c r="I7" s="10" t="n">
        <v>1.84</v>
      </c>
      <c r="J7" s="10" t="n">
        <v>0.16</v>
      </c>
      <c r="K7" s="10" t="n">
        <v>0.16</v>
      </c>
      <c r="L7" s="10" t="n">
        <v>-0</v>
      </c>
      <c r="M7" s="10" t="n">
        <v>-0.22</v>
      </c>
      <c r="N7" s="10" t="n">
        <v>-0.11</v>
      </c>
      <c r="O7" s="10" t="n">
        <v>0.7</v>
      </c>
      <c r="P7" s="10" t="n">
        <v>0.04</v>
      </c>
      <c r="Q7" s="10" t="n">
        <v>-0.28</v>
      </c>
      <c r="R7" s="10">
        <f>(H7-I7)-(F7-G7)</f>
        <v/>
      </c>
      <c r="S7" s="10">
        <f>(H7+I7)-(F7+G7)</f>
        <v/>
      </c>
      <c r="T7" s="10" t="n">
        <v>1.16</v>
      </c>
      <c r="U7" s="10" t="n">
        <v>1.13</v>
      </c>
      <c r="V7" s="10" t="n">
        <v>0.02</v>
      </c>
      <c r="W7" s="10" t="n">
        <v>5.79</v>
      </c>
      <c r="X7" s="10" t="n">
        <v>5.31</v>
      </c>
      <c r="Z7" s="6" t="inlineStr">
        <is>
          <t>Goals Against vs expected</t>
        </is>
      </c>
      <c r="AA7" s="5">
        <f>SUMPRODUCT(--($E$2:$E$9&gt;$G$2:$G$9))</f>
        <v/>
      </c>
      <c r="AB7" s="5">
        <f>SUMPRODUCT(--($E$2:$E$9&lt;$G$2:$G$9))</f>
        <v/>
      </c>
    </row>
    <row r="8">
      <c r="A8" s="6" t="inlineStr">
        <is>
          <t>2026-10-19</t>
        </is>
      </c>
      <c r="B8" s="6" t="inlineStr">
        <is>
          <t>Tottenham Hotspur</t>
        </is>
      </c>
      <c r="C8" s="6" t="inlineStr">
        <is>
          <t>Away</t>
        </is>
      </c>
      <c r="D8" s="6" t="n">
        <v>1</v>
      </c>
      <c r="E8" s="6" t="n">
        <v>3</v>
      </c>
      <c r="F8" s="9" t="n">
        <v>0.92</v>
      </c>
      <c r="G8" s="9" t="n">
        <v>2.19</v>
      </c>
      <c r="H8" s="9" t="n">
        <v>0.77</v>
      </c>
      <c r="I8" s="9" t="n">
        <v>0.86</v>
      </c>
      <c r="J8" s="9" t="n">
        <v>-0.15</v>
      </c>
      <c r="K8" s="9" t="n">
        <v>-1.33</v>
      </c>
      <c r="L8" s="9" t="n">
        <v>0.04</v>
      </c>
      <c r="M8" s="9" t="n">
        <v>-0.33</v>
      </c>
      <c r="N8" s="9" t="n">
        <v>0.06</v>
      </c>
      <c r="O8" s="9" t="n">
        <v>-0.97</v>
      </c>
      <c r="P8" s="9" t="n">
        <v>0.12</v>
      </c>
      <c r="Q8" s="9" t="n">
        <v>-0.36</v>
      </c>
      <c r="R8" s="9">
        <f>(H8-I8)-(F8-G8)</f>
        <v/>
      </c>
      <c r="S8" s="9">
        <f>(H8+I8)-(F8+G8)</f>
        <v/>
      </c>
      <c r="T8" s="9" t="n">
        <v>1.25</v>
      </c>
      <c r="U8" s="9" t="n">
        <v>0.63</v>
      </c>
      <c r="V8" s="9" t="n">
        <v>0.62</v>
      </c>
      <c r="W8" s="9" t="n">
        <v>7.04</v>
      </c>
      <c r="X8" s="9" t="n">
        <v>5.94</v>
      </c>
      <c r="Z8" s="12" t="inlineStr">
        <is>
          <t>For: Above = beat expectation. Against: Above = conceded more than expected (worse).</t>
        </is>
      </c>
    </row>
    <row r="9">
      <c r="A9" s="8" t="inlineStr">
        <is>
          <t>2026-10-24</t>
        </is>
      </c>
      <c r="B9" s="8" t="inlineStr">
        <is>
          <t>Fulham</t>
        </is>
      </c>
      <c r="C9" s="8" t="inlineStr">
        <is>
          <t>Home</t>
        </is>
      </c>
      <c r="D9" s="8" t="n">
        <v>0</v>
      </c>
      <c r="E9" s="8" t="n">
        <v>1</v>
      </c>
      <c r="F9" s="10" t="n">
        <v>1.29</v>
      </c>
      <c r="G9" s="10" t="n">
        <v>1.57</v>
      </c>
      <c r="H9" s="10" t="n">
        <v>0.51</v>
      </c>
      <c r="I9" s="10" t="n">
        <v>0.55</v>
      </c>
      <c r="J9" s="10" t="n">
        <v>-0.78</v>
      </c>
      <c r="K9" s="10" t="n">
        <v>-1.02</v>
      </c>
      <c r="L9" s="10" t="n">
        <v>-0.03</v>
      </c>
      <c r="M9" s="10" t="n">
        <v>-0.45</v>
      </c>
      <c r="N9" s="10" t="n">
        <v>-0.72</v>
      </c>
      <c r="O9" s="10" t="n">
        <v>-1.23</v>
      </c>
      <c r="P9" s="10" t="n">
        <v>-0.01</v>
      </c>
      <c r="Q9" s="10" t="n">
        <v>-0.5</v>
      </c>
      <c r="R9" s="10">
        <f>(H9-I9)-(F9-G9)</f>
        <v/>
      </c>
      <c r="S9" s="10">
        <f>(H9+I9)-(F9+G9)</f>
        <v/>
      </c>
      <c r="T9" s="10" t="n">
        <v>1.24</v>
      </c>
      <c r="U9" s="10" t="n">
        <v>1.19</v>
      </c>
      <c r="V9" s="10" t="n">
        <v>0.04</v>
      </c>
      <c r="W9" s="10" t="n">
        <v>8.27</v>
      </c>
      <c r="X9" s="10" t="n">
        <v>7.13</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4</v>
      </c>
      <c r="D37" s="16" t="n">
        <v>8</v>
      </c>
      <c r="E37" s="20" t="n">
        <v>-0.17</v>
      </c>
      <c r="F37" s="20" t="n">
        <v>-0.01</v>
      </c>
      <c r="G37" s="20" t="n">
        <v>-0.22</v>
      </c>
      <c r="H37" s="20" t="n">
        <v>-0.18</v>
      </c>
      <c r="AF37" s="11" t="inlineStr">
        <is>
          <t>Coventry: closing odds to win, by opponent (league table order)</t>
        </is>
      </c>
    </row>
    <row r="38">
      <c r="A38" s="16" t="inlineStr">
        <is>
          <t>Away</t>
        </is>
      </c>
      <c r="B38" s="16" t="n">
        <v>4</v>
      </c>
      <c r="C38" s="16" t="n">
        <v>2</v>
      </c>
      <c r="D38" s="16" t="n">
        <v>7</v>
      </c>
      <c r="E38" s="20" t="n">
        <v>0.86</v>
      </c>
      <c r="F38" s="20" t="n">
        <v>0.88</v>
      </c>
      <c r="G38" s="20" t="n">
        <v>-0.9399999999999999</v>
      </c>
      <c r="H38" s="20" t="n">
        <v>-1.06</v>
      </c>
      <c r="AF38" s="4" t="inlineStr">
        <is>
          <t>League Table</t>
        </is>
      </c>
      <c r="AG38" s="4" t="inlineStr">
        <is>
          <t>Home Odds</t>
        </is>
      </c>
      <c r="AH38" s="4" t="inlineStr">
        <is>
          <t>Away Odds</t>
        </is>
      </c>
    </row>
    <row r="39">
      <c r="A39" s="21" t="inlineStr">
        <is>
          <t>Total</t>
        </is>
      </c>
      <c r="B39" s="21" t="n">
        <v>8</v>
      </c>
      <c r="C39" s="21" t="n">
        <v>6</v>
      </c>
      <c r="D39" s="21" t="n">
        <v>15</v>
      </c>
      <c r="E39" s="22" t="n">
        <v>0.34</v>
      </c>
      <c r="F39" s="22" t="n">
        <v>0.26</v>
      </c>
      <c r="G39" s="22" t="n">
        <v>-0.58</v>
      </c>
      <c r="H39" s="22" t="n">
        <v>-0.87</v>
      </c>
      <c r="AF39" s="6" t="inlineStr">
        <is>
          <t>1. Manchester City</t>
        </is>
      </c>
      <c r="AG39" s="15" t="n"/>
      <c r="AH39" s="25" t="n">
        <v>14</v>
      </c>
    </row>
    <row r="40">
      <c r="AF40" s="6" t="inlineStr">
        <is>
          <t>2. Arsenal</t>
        </is>
      </c>
      <c r="AG40" s="15" t="n"/>
      <c r="AH40" s="25" t="n">
        <v>15</v>
      </c>
    </row>
    <row r="41">
      <c r="AF41" s="6" t="inlineStr">
        <is>
          <t>3. Brighton &amp; Hove Albion</t>
        </is>
      </c>
      <c r="AG41" s="25" t="n">
        <v>3.75</v>
      </c>
      <c r="AH41" s="15" t="n"/>
    </row>
    <row r="42">
      <c r="AF42" s="6" t="inlineStr">
        <is>
          <t>4. Liverpool</t>
        </is>
      </c>
      <c r="AG42" s="15" t="n"/>
      <c r="AH42" s="15" t="n"/>
    </row>
    <row r="43">
      <c r="AF43" s="6" t="inlineStr">
        <is>
          <t>5. Chelsea</t>
        </is>
      </c>
      <c r="AG43" s="15" t="n"/>
      <c r="AH43" s="15" t="n"/>
    </row>
    <row r="44">
      <c r="AF44" s="6" t="inlineStr">
        <is>
          <t>6. Brentford</t>
        </is>
      </c>
      <c r="AG44" s="15" t="n"/>
      <c r="AH44" s="15" t="n"/>
    </row>
    <row r="45">
      <c r="AF45" s="6" t="inlineStr">
        <is>
          <t>7. Leeds United</t>
        </is>
      </c>
      <c r="AG45" s="15" t="n"/>
      <c r="AH45" s="15" t="n"/>
    </row>
    <row r="46">
      <c r="AF46" s="6" t="inlineStr">
        <is>
          <t>8. Newcastle United</t>
        </is>
      </c>
      <c r="AG46" s="26" t="n">
        <v>3.6</v>
      </c>
      <c r="AH46" s="15" t="n"/>
    </row>
    <row r="47">
      <c r="AF47" s="6" t="inlineStr">
        <is>
          <t>9. Aston Villa</t>
        </is>
      </c>
      <c r="AG47" s="15" t="n"/>
      <c r="AH47" s="15" t="n"/>
    </row>
    <row r="48">
      <c r="AF48" s="6" t="inlineStr">
        <is>
          <t>10. Hull</t>
        </is>
      </c>
      <c r="AG48" s="25" t="n">
        <v>1.7</v>
      </c>
      <c r="AH48" s="15" t="n"/>
    </row>
    <row r="49">
      <c r="AF49" s="6" t="inlineStr">
        <is>
          <t>11. Everton</t>
        </is>
      </c>
      <c r="AG49" s="15" t="n"/>
      <c r="AH49" s="15" t="n"/>
    </row>
    <row r="50">
      <c r="AF50" s="6" t="inlineStr">
        <is>
          <t>12. Ipswich</t>
        </is>
      </c>
      <c r="AG50" s="15" t="n"/>
      <c r="AH50" s="15" t="n"/>
    </row>
    <row r="51">
      <c r="AF51" s="6" t="inlineStr">
        <is>
          <t>13. Bournemouth</t>
        </is>
      </c>
      <c r="AG51" s="15" t="n"/>
      <c r="AH51" s="15" t="n"/>
    </row>
    <row r="52">
      <c r="AF52" s="6" t="inlineStr">
        <is>
          <t>14. Tottenham Hotspur</t>
        </is>
      </c>
      <c r="AG52" s="15" t="n"/>
      <c r="AH52" s="25" t="n">
        <v>5.5</v>
      </c>
    </row>
    <row r="53">
      <c r="AF53" s="6" t="inlineStr">
        <is>
          <t>15. Fulham</t>
        </is>
      </c>
      <c r="AG53" s="25" t="n">
        <v>3.3</v>
      </c>
      <c r="AH53" s="15" t="n"/>
    </row>
    <row r="54">
      <c r="AF54" s="6" t="inlineStr">
        <is>
          <t>16. Manchester United</t>
        </is>
      </c>
      <c r="AG54" s="15" t="n"/>
      <c r="AH54" s="15" t="n"/>
    </row>
    <row r="55">
      <c r="AF55" s="6" t="inlineStr">
        <is>
          <t>17. Crystal Palace</t>
        </is>
      </c>
      <c r="AG55" s="15" t="n"/>
      <c r="AH55" s="15" t="n"/>
    </row>
    <row r="56">
      <c r="AF56" s="6" t="inlineStr">
        <is>
          <t>18. Nottingham Forest</t>
        </is>
      </c>
      <c r="AG56" s="15" t="n"/>
      <c r="AH56" s="26" t="n">
        <v>5.5</v>
      </c>
    </row>
    <row r="57">
      <c r="AF57" s="23" t="inlineStr">
        <is>
          <t>19. Coventry</t>
        </is>
      </c>
      <c r="AG57" s="24" t="n"/>
      <c r="AH57" s="24"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Everton</t>
        </is>
      </c>
      <c r="C2" s="6" t="inlineStr">
        <is>
          <t>Away</t>
        </is>
      </c>
      <c r="D2" s="6" t="n">
        <v>0</v>
      </c>
      <c r="E2" s="6" t="n">
        <v>2</v>
      </c>
      <c r="F2" s="9" t="n">
        <v>1.15</v>
      </c>
      <c r="G2" s="9" t="n">
        <v>1.49</v>
      </c>
      <c r="H2" s="9" t="n">
        <v>1.96</v>
      </c>
      <c r="I2" s="9" t="n">
        <v>1.12</v>
      </c>
      <c r="J2" s="9" t="n">
        <v>0.8100000000000001</v>
      </c>
      <c r="K2" s="9" t="n">
        <v>-0.37</v>
      </c>
      <c r="L2" s="9" t="n">
        <v>0.8100000000000001</v>
      </c>
      <c r="M2" s="9" t="n">
        <v>-0.37</v>
      </c>
      <c r="N2" s="9" t="n">
        <v>0.93</v>
      </c>
      <c r="O2" s="9" t="n">
        <v>-0.38</v>
      </c>
      <c r="P2" s="9" t="n">
        <v>0.93</v>
      </c>
      <c r="Q2" s="9" t="n">
        <v>-0.38</v>
      </c>
      <c r="R2" s="9">
        <f>(H2-I2)-(F2-G2)</f>
        <v/>
      </c>
      <c r="S2" s="9">
        <f>(H2+I2)-(F2+G2)</f>
        <v/>
      </c>
      <c r="T2" s="9" t="n">
        <v>1.92</v>
      </c>
      <c r="U2" s="9" t="n">
        <v>1.14</v>
      </c>
      <c r="V2" s="9" t="n">
        <v>0.79</v>
      </c>
      <c r="W2" s="9" t="n">
        <v>1.92</v>
      </c>
      <c r="X2" s="9" t="n">
        <v>1.14</v>
      </c>
      <c r="Z2" s="12" t="inlineStr">
        <is>
          <t>Expected = the pre-match market xG (what the odds implied) for each side.</t>
        </is>
      </c>
    </row>
    <row r="3">
      <c r="A3" s="8" t="inlineStr">
        <is>
          <t>2026-08-28</t>
        </is>
      </c>
      <c r="B3" s="8" t="inlineStr">
        <is>
          <t>Manchester City</t>
        </is>
      </c>
      <c r="C3" s="8" t="inlineStr">
        <is>
          <t>Home</t>
        </is>
      </c>
      <c r="D3" s="8" t="n">
        <v>1</v>
      </c>
      <c r="E3" s="8" t="n">
        <v>4</v>
      </c>
      <c r="F3" s="10" t="n">
        <v>1.02</v>
      </c>
      <c r="G3" s="10" t="n">
        <v>1.9</v>
      </c>
      <c r="H3" s="10" t="n">
        <v>0.66</v>
      </c>
      <c r="I3" s="10" t="n">
        <v>2.21</v>
      </c>
      <c r="J3" s="10" t="n">
        <v>-0.36</v>
      </c>
      <c r="K3" s="10" t="n">
        <v>0.31</v>
      </c>
      <c r="L3" s="10" t="n">
        <v>0.22</v>
      </c>
      <c r="M3" s="10" t="n">
        <v>-0.03</v>
      </c>
      <c r="N3" s="10" t="n">
        <v>-0.72</v>
      </c>
      <c r="O3" s="10" t="n">
        <v>0.51</v>
      </c>
      <c r="P3" s="10" t="n">
        <v>0.11</v>
      </c>
      <c r="Q3" s="10" t="n">
        <v>0.06</v>
      </c>
      <c r="R3" s="10">
        <f>(H3-I3)-(F3-G3)</f>
        <v/>
      </c>
      <c r="S3" s="10">
        <f>(H3+I3)-(F3+G3)</f>
        <v/>
      </c>
      <c r="T3" s="10" t="n">
        <v>0.46</v>
      </c>
      <c r="U3" s="10" t="n">
        <v>0.82</v>
      </c>
      <c r="V3" s="10" t="n">
        <v>-0.36</v>
      </c>
      <c r="W3" s="10" t="n">
        <v>2.39</v>
      </c>
      <c r="X3" s="10" t="n">
        <v>1.96</v>
      </c>
      <c r="Z3" s="4" t="inlineStr">
        <is>
          <t>Games vs expected</t>
        </is>
      </c>
      <c r="AA3" s="4" t="inlineStr">
        <is>
          <t>Above</t>
        </is>
      </c>
      <c r="AB3" s="4" t="inlineStr">
        <is>
          <t>Below</t>
        </is>
      </c>
    </row>
    <row r="4">
      <c r="A4" s="6" t="inlineStr">
        <is>
          <t>2026-09-05</t>
        </is>
      </c>
      <c r="B4" s="6" t="inlineStr">
        <is>
          <t>Fulham</t>
        </is>
      </c>
      <c r="C4" s="6" t="inlineStr">
        <is>
          <t>Away</t>
        </is>
      </c>
      <c r="D4" s="6" t="n">
        <v>3</v>
      </c>
      <c r="E4" s="6" t="n">
        <v>2</v>
      </c>
      <c r="F4" s="9" t="n">
        <v>1.19</v>
      </c>
      <c r="G4" s="9" t="n">
        <v>1.45</v>
      </c>
      <c r="H4" s="9" t="n">
        <v>1.97</v>
      </c>
      <c r="I4" s="9" t="n">
        <v>3.14</v>
      </c>
      <c r="J4" s="9" t="n">
        <v>0.78</v>
      </c>
      <c r="K4" s="9" t="n">
        <v>1.69</v>
      </c>
      <c r="L4" s="9" t="n">
        <v>0.41</v>
      </c>
      <c r="M4" s="9" t="n">
        <v>0.55</v>
      </c>
      <c r="N4" s="9" t="n">
        <v>1.06</v>
      </c>
      <c r="O4" s="9" t="n">
        <v>1.87</v>
      </c>
      <c r="P4" s="9" t="n">
        <v>0.42</v>
      </c>
      <c r="Q4" s="9" t="n">
        <v>0.67</v>
      </c>
      <c r="R4" s="9">
        <f>(H4-I4)-(F4-G4)</f>
        <v/>
      </c>
      <c r="S4" s="9">
        <f>(H4+I4)-(F4+G4)</f>
        <v/>
      </c>
      <c r="T4" s="9" t="n">
        <v>0.84</v>
      </c>
      <c r="U4" s="9" t="n">
        <v>1.19</v>
      </c>
      <c r="V4" s="9" t="n">
        <v>-0.35</v>
      </c>
      <c r="W4" s="9" t="n">
        <v>3.23</v>
      </c>
      <c r="X4" s="9" t="n">
        <v>3.15</v>
      </c>
      <c r="Z4" s="6" t="inlineStr">
        <is>
          <t>xG For vs expected</t>
        </is>
      </c>
      <c r="AA4" s="5">
        <f>COUNTIF($J$2:$J$9,"&gt;0")</f>
        <v/>
      </c>
      <c r="AB4" s="5">
        <f>COUNTIF($J$2:$J$9,"&lt;0")</f>
        <v/>
      </c>
    </row>
    <row r="5">
      <c r="A5" s="8" t="inlineStr">
        <is>
          <t>2026-09-12</t>
        </is>
      </c>
      <c r="B5" s="8" t="inlineStr">
        <is>
          <t>Ipswich</t>
        </is>
      </c>
      <c r="C5" s="8" t="inlineStr">
        <is>
          <t>Home</t>
        </is>
      </c>
      <c r="D5" s="8" t="n">
        <v>2</v>
      </c>
      <c r="E5" s="8" t="n">
        <v>3</v>
      </c>
      <c r="F5" s="10" t="n">
        <v>1.72</v>
      </c>
      <c r="G5" s="10" t="n">
        <v>1.1</v>
      </c>
      <c r="H5" s="10" t="n">
        <v>0.62</v>
      </c>
      <c r="I5" s="10" t="n">
        <v>1.68</v>
      </c>
      <c r="J5" s="10" t="n">
        <v>-1.1</v>
      </c>
      <c r="K5" s="10" t="n">
        <v>0.58</v>
      </c>
      <c r="L5" s="10" t="n">
        <v>0.03</v>
      </c>
      <c r="M5" s="10" t="n">
        <v>0.55</v>
      </c>
      <c r="N5" s="10" t="n">
        <v>-1.43</v>
      </c>
      <c r="O5" s="10" t="n">
        <v>0.35</v>
      </c>
      <c r="P5" s="10" t="n">
        <v>-0.04</v>
      </c>
      <c r="Q5" s="10" t="n">
        <v>0.59</v>
      </c>
      <c r="R5" s="10">
        <f>(H5-I5)-(F5-G5)</f>
        <v/>
      </c>
      <c r="S5" s="10">
        <f>(H5+I5)-(F5+G5)</f>
        <v/>
      </c>
      <c r="T5" s="10" t="n">
        <v>0.64</v>
      </c>
      <c r="U5" s="10" t="n">
        <v>1.79</v>
      </c>
      <c r="V5" s="10" t="n">
        <v>-1.15</v>
      </c>
      <c r="W5" s="10" t="n">
        <v>3.86</v>
      </c>
      <c r="X5" s="10" t="n">
        <v>4.94</v>
      </c>
      <c r="Z5" s="6" t="inlineStr">
        <is>
          <t>xG Against vs expected</t>
        </is>
      </c>
      <c r="AA5" s="5">
        <f>COUNTIF($K$2:$K$9,"&gt;0")</f>
        <v/>
      </c>
      <c r="AB5" s="5">
        <f>COUNTIF($K$2:$K$9,"&lt;0")</f>
        <v/>
      </c>
    </row>
    <row r="6">
      <c r="A6" s="6" t="inlineStr">
        <is>
          <t>2026-09-20</t>
        </is>
      </c>
      <c r="B6" s="6" t="inlineStr">
        <is>
          <t>Leeds United</t>
        </is>
      </c>
      <c r="C6" s="6" t="inlineStr">
        <is>
          <t>Away</t>
        </is>
      </c>
      <c r="D6" s="6" t="n">
        <v>0</v>
      </c>
      <c r="E6" s="6" t="n">
        <v>0</v>
      </c>
      <c r="F6" s="9" t="n">
        <v>1.02</v>
      </c>
      <c r="G6" s="9" t="n">
        <v>1.83</v>
      </c>
      <c r="H6" s="9" t="n">
        <v>1.06</v>
      </c>
      <c r="I6" s="9" t="n">
        <v>1.31</v>
      </c>
      <c r="J6" s="9" t="n">
        <v>0.04</v>
      </c>
      <c r="K6" s="9" t="n">
        <v>-0.52</v>
      </c>
      <c r="L6" s="9" t="n">
        <v>0.03</v>
      </c>
      <c r="M6" s="9" t="n">
        <v>0.34</v>
      </c>
      <c r="N6" s="9" t="n">
        <v>0.16</v>
      </c>
      <c r="O6" s="9" t="n">
        <v>-0.58</v>
      </c>
      <c r="P6" s="9" t="n">
        <v>0</v>
      </c>
      <c r="Q6" s="9" t="n">
        <v>0.35</v>
      </c>
      <c r="R6" s="9">
        <f>(H6-I6)-(F6-G6)</f>
        <v/>
      </c>
      <c r="S6" s="9">
        <f>(H6+I6)-(F6+G6)</f>
        <v/>
      </c>
      <c r="T6" s="9" t="n">
        <v>1.18</v>
      </c>
      <c r="U6" s="9" t="n">
        <v>0.85</v>
      </c>
      <c r="V6" s="9" t="n">
        <v>0.33</v>
      </c>
      <c r="W6" s="9" t="n">
        <v>5.04</v>
      </c>
      <c r="X6" s="9" t="n">
        <v>5.79</v>
      </c>
      <c r="Z6" s="6" t="inlineStr">
        <is>
          <t>Goals For vs expected</t>
        </is>
      </c>
      <c r="AA6" s="5">
        <f>SUMPRODUCT(--($D$2:$D$9&gt;$F$2:$F$9))</f>
        <v/>
      </c>
      <c r="AB6" s="5">
        <f>SUMPRODUCT(--($D$2:$D$9&lt;$F$2:$F$9))</f>
        <v/>
      </c>
    </row>
    <row r="7">
      <c r="A7" s="8" t="inlineStr">
        <is>
          <t>2026-10-11</t>
        </is>
      </c>
      <c r="B7" s="8" t="inlineStr">
        <is>
          <t>Nottingham Forest</t>
        </is>
      </c>
      <c r="C7" s="8" t="inlineStr">
        <is>
          <t>Home</t>
        </is>
      </c>
      <c r="D7" s="8" t="n">
        <v>3</v>
      </c>
      <c r="E7" s="8" t="n">
        <v>1</v>
      </c>
      <c r="F7" s="10" t="n">
        <v>1.33</v>
      </c>
      <c r="G7" s="10" t="n">
        <v>1.33</v>
      </c>
      <c r="H7" s="10" t="n">
        <v>2.41</v>
      </c>
      <c r="I7" s="10" t="n">
        <v>3.34</v>
      </c>
      <c r="J7" s="10" t="n">
        <v>1.08</v>
      </c>
      <c r="K7" s="10" t="n">
        <v>2.01</v>
      </c>
      <c r="L7" s="10" t="n">
        <v>0.21</v>
      </c>
      <c r="M7" s="10" t="n">
        <v>0.62</v>
      </c>
      <c r="N7" s="10" t="n">
        <v>1.6</v>
      </c>
      <c r="O7" s="10" t="n">
        <v>1.84</v>
      </c>
      <c r="P7" s="10" t="n">
        <v>0.27</v>
      </c>
      <c r="Q7" s="10" t="n">
        <v>0.6</v>
      </c>
      <c r="R7" s="10">
        <f>(H7-I7)-(F7-G7)</f>
        <v/>
      </c>
      <c r="S7" s="10">
        <f>(H7+I7)-(F7+G7)</f>
        <v/>
      </c>
      <c r="T7" s="10" t="n">
        <v>0.98</v>
      </c>
      <c r="U7" s="10" t="n">
        <v>1.37</v>
      </c>
      <c r="V7" s="10" t="n">
        <v>-0.39</v>
      </c>
      <c r="W7" s="10" t="n">
        <v>6.02</v>
      </c>
      <c r="X7" s="10" t="n">
        <v>7.17</v>
      </c>
      <c r="Z7" s="6" t="inlineStr">
        <is>
          <t>Goals Against vs expected</t>
        </is>
      </c>
      <c r="AA7" s="5">
        <f>SUMPRODUCT(--($E$2:$E$9&gt;$G$2:$G$9))</f>
        <v/>
      </c>
      <c r="AB7" s="5">
        <f>SUMPRODUCT(--($E$2:$E$9&lt;$G$2:$G$9))</f>
        <v/>
      </c>
    </row>
    <row r="8">
      <c r="A8" s="6" t="inlineStr">
        <is>
          <t>2026-10-18</t>
        </is>
      </c>
      <c r="B8" s="6" t="inlineStr">
        <is>
          <t>Brighton &amp; Hove Albion</t>
        </is>
      </c>
      <c r="C8" s="6" t="inlineStr">
        <is>
          <t>Away</t>
        </is>
      </c>
      <c r="D8" s="6" t="n">
        <v>0</v>
      </c>
      <c r="E8" s="6" t="n">
        <v>5</v>
      </c>
      <c r="F8" s="9" t="n">
        <v>1.03</v>
      </c>
      <c r="G8" s="9" t="n">
        <v>2.12</v>
      </c>
      <c r="H8" s="9" t="n">
        <v>0.77</v>
      </c>
      <c r="I8" s="9" t="n">
        <v>2</v>
      </c>
      <c r="J8" s="9" t="n">
        <v>-0.26</v>
      </c>
      <c r="K8" s="9" t="n">
        <v>-0.12</v>
      </c>
      <c r="L8" s="9" t="n">
        <v>0.03</v>
      </c>
      <c r="M8" s="9" t="n">
        <v>0.66</v>
      </c>
      <c r="N8" s="9" t="n">
        <v>-0.3</v>
      </c>
      <c r="O8" s="9" t="n">
        <v>-0.72</v>
      </c>
      <c r="P8" s="9" t="n">
        <v>0.06</v>
      </c>
      <c r="Q8" s="9" t="n">
        <v>0.54</v>
      </c>
      <c r="R8" s="9">
        <f>(H8-I8)-(F8-G8)</f>
        <v/>
      </c>
      <c r="S8" s="9">
        <f>(H8+I8)-(F8+G8)</f>
        <v/>
      </c>
      <c r="T8" s="9" t="n">
        <v>0.61</v>
      </c>
      <c r="U8" s="9" t="n">
        <v>0.72</v>
      </c>
      <c r="V8" s="9" t="n">
        <v>-0.11</v>
      </c>
      <c r="W8" s="9" t="n">
        <v>6.62</v>
      </c>
      <c r="X8" s="9" t="n">
        <v>7.89</v>
      </c>
      <c r="Z8" s="12" t="inlineStr">
        <is>
          <t>For: Above = beat expectation. Against: Above = conceded more than expected (worse).</t>
        </is>
      </c>
    </row>
    <row r="9">
      <c r="A9" s="8" t="inlineStr">
        <is>
          <t>2026-10-25</t>
        </is>
      </c>
      <c r="B9" s="8" t="inlineStr">
        <is>
          <t>Newcastle United</t>
        </is>
      </c>
      <c r="C9" s="8" t="inlineStr">
        <is>
          <t>Home</t>
        </is>
      </c>
      <c r="D9" s="8" t="n">
        <v>0</v>
      </c>
      <c r="E9" s="8" t="n">
        <v>2</v>
      </c>
      <c r="F9" s="10" t="n">
        <v>1.44</v>
      </c>
      <c r="G9" s="10" t="n">
        <v>1.64</v>
      </c>
      <c r="H9" s="10" t="n">
        <v>1.59</v>
      </c>
      <c r="I9" s="10" t="n">
        <v>0.95</v>
      </c>
      <c r="J9" s="10" t="n">
        <v>0.15</v>
      </c>
      <c r="K9" s="10" t="n">
        <v>-0.6899999999999999</v>
      </c>
      <c r="L9" s="10" t="n">
        <v>0.12</v>
      </c>
      <c r="M9" s="10" t="n">
        <v>0.49</v>
      </c>
      <c r="N9" s="10" t="n">
        <v>-0.13</v>
      </c>
      <c r="O9" s="10" t="n">
        <v>-0.26</v>
      </c>
      <c r="P9" s="10" t="n">
        <v>0.16</v>
      </c>
      <c r="Q9" s="10" t="n">
        <v>0.41</v>
      </c>
      <c r="R9" s="10">
        <f>(H9-I9)-(F9-G9)</f>
        <v/>
      </c>
      <c r="S9" s="10">
        <f>(H9+I9)-(F9+G9)</f>
        <v/>
      </c>
      <c r="T9" s="10" t="n">
        <v>1.82</v>
      </c>
      <c r="U9" s="10" t="n">
        <v>1.25</v>
      </c>
      <c r="V9" s="10" t="n">
        <v>0.57</v>
      </c>
      <c r="W9" s="10" t="n">
        <v>8.449999999999999</v>
      </c>
      <c r="X9" s="10" t="n">
        <v>9.140000000000001</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6</v>
      </c>
      <c r="D37" s="16" t="n">
        <v>10</v>
      </c>
      <c r="E37" s="20" t="n">
        <v>-0.61</v>
      </c>
      <c r="F37" s="20" t="n">
        <v>-0.8100000000000001</v>
      </c>
      <c r="G37" s="20" t="n">
        <v>0.49</v>
      </c>
      <c r="H37" s="20" t="n">
        <v>-0.29</v>
      </c>
      <c r="AF37" s="11" t="inlineStr">
        <is>
          <t>Crystal Palace: closing odds to win, by opponent (league table order)</t>
        </is>
      </c>
    </row>
    <row r="38">
      <c r="A38" s="16" t="inlineStr">
        <is>
          <t>Away</t>
        </is>
      </c>
      <c r="B38" s="16" t="n">
        <v>4</v>
      </c>
      <c r="C38" s="16" t="n">
        <v>3</v>
      </c>
      <c r="D38" s="16" t="n">
        <v>9</v>
      </c>
      <c r="E38" s="20" t="n">
        <v>0.17</v>
      </c>
      <c r="F38" s="20" t="n">
        <v>0.22</v>
      </c>
      <c r="G38" s="20" t="n">
        <v>0.51</v>
      </c>
      <c r="H38" s="20" t="n">
        <v>0.03</v>
      </c>
      <c r="AF38" s="4" t="inlineStr">
        <is>
          <t>League Table</t>
        </is>
      </c>
      <c r="AG38" s="4" t="inlineStr">
        <is>
          <t>Home Odds</t>
        </is>
      </c>
      <c r="AH38" s="4" t="inlineStr">
        <is>
          <t>Away Odds</t>
        </is>
      </c>
    </row>
    <row r="39">
      <c r="A39" s="21" t="inlineStr">
        <is>
          <t>Total</t>
        </is>
      </c>
      <c r="B39" s="21" t="n">
        <v>8</v>
      </c>
      <c r="C39" s="21" t="n">
        <v>9</v>
      </c>
      <c r="D39" s="21" t="n">
        <v>19</v>
      </c>
      <c r="E39" s="22" t="n">
        <v>-0.22</v>
      </c>
      <c r="F39" s="22" t="n">
        <v>-0.41</v>
      </c>
      <c r="G39" s="22" t="n">
        <v>0.5</v>
      </c>
      <c r="H39" s="22" t="n">
        <v>-0.21</v>
      </c>
      <c r="AF39" s="6" t="inlineStr">
        <is>
          <t>1. Manchester City</t>
        </is>
      </c>
      <c r="AG39" s="25" t="n">
        <v>5</v>
      </c>
      <c r="AH39" s="15" t="n"/>
    </row>
    <row r="40">
      <c r="AF40" s="6" t="inlineStr">
        <is>
          <t>2. Arsenal</t>
        </is>
      </c>
      <c r="AG40" s="15" t="n"/>
      <c r="AH40" s="15" t="n"/>
    </row>
    <row r="41">
      <c r="AF41" s="6" t="inlineStr">
        <is>
          <t>3. Brighton &amp; Hove Albion</t>
        </is>
      </c>
      <c r="AG41" s="15" t="n"/>
      <c r="AH41" s="25" t="n">
        <v>7</v>
      </c>
    </row>
    <row r="42">
      <c r="AF42" s="6" t="inlineStr">
        <is>
          <t>4. Liverpool</t>
        </is>
      </c>
      <c r="AG42" s="15" t="n"/>
      <c r="AH42" s="15" t="n"/>
    </row>
    <row r="43">
      <c r="AF43" s="6" t="inlineStr">
        <is>
          <t>5. Chelsea</t>
        </is>
      </c>
      <c r="AG43" s="15" t="n"/>
      <c r="AH43" s="15" t="n"/>
    </row>
    <row r="44">
      <c r="AF44" s="6" t="inlineStr">
        <is>
          <t>6. Brentford</t>
        </is>
      </c>
      <c r="AG44" s="15" t="n"/>
      <c r="AH44" s="15" t="n"/>
    </row>
    <row r="45">
      <c r="AF45" s="6" t="inlineStr">
        <is>
          <t>7. Leeds United</t>
        </is>
      </c>
      <c r="AG45" s="15" t="n"/>
      <c r="AH45" s="30" t="n">
        <v>5</v>
      </c>
    </row>
    <row r="46">
      <c r="AF46" s="6" t="inlineStr">
        <is>
          <t>8. Newcastle United</t>
        </is>
      </c>
      <c r="AG46" s="25" t="n">
        <v>2.5</v>
      </c>
      <c r="AH46" s="15" t="n"/>
    </row>
    <row r="47">
      <c r="AF47" s="6" t="inlineStr">
        <is>
          <t>9. Aston Villa</t>
        </is>
      </c>
      <c r="AG47" s="15" t="n"/>
      <c r="AH47" s="15" t="n"/>
    </row>
    <row r="48">
      <c r="AF48" s="6" t="inlineStr">
        <is>
          <t>10. Hull</t>
        </is>
      </c>
      <c r="AG48" s="15" t="n"/>
      <c r="AH48" s="15" t="n"/>
    </row>
    <row r="49">
      <c r="AF49" s="6" t="inlineStr">
        <is>
          <t>11. Everton</t>
        </is>
      </c>
      <c r="AG49" s="15" t="n"/>
      <c r="AH49" s="25" t="n">
        <v>3.1</v>
      </c>
    </row>
    <row r="50">
      <c r="AF50" s="6" t="inlineStr">
        <is>
          <t>12. Ipswich</t>
        </is>
      </c>
      <c r="AG50" s="25" t="n">
        <v>2.1</v>
      </c>
      <c r="AH50" s="15" t="n"/>
    </row>
    <row r="51">
      <c r="AF51" s="6" t="inlineStr">
        <is>
          <t>13. Bournemouth</t>
        </is>
      </c>
      <c r="AG51" s="15" t="n"/>
      <c r="AH51" s="15" t="n"/>
    </row>
    <row r="52">
      <c r="AF52" s="6" t="inlineStr">
        <is>
          <t>14. Tottenham Hotspur</t>
        </is>
      </c>
      <c r="AG52" s="15" t="n"/>
      <c r="AH52" s="15" t="n"/>
    </row>
    <row r="53">
      <c r="AF53" s="6" t="inlineStr">
        <is>
          <t>15. Fulham</t>
        </is>
      </c>
      <c r="AG53" s="15" t="n"/>
      <c r="AH53" s="26" t="n">
        <v>3.5</v>
      </c>
    </row>
    <row r="54">
      <c r="AF54" s="6" t="inlineStr">
        <is>
          <t>16. Manchester United</t>
        </is>
      </c>
      <c r="AG54" s="15" t="n"/>
      <c r="AH54" s="15" t="n"/>
    </row>
    <row r="55">
      <c r="AF55" s="23" t="inlineStr">
        <is>
          <t>17. Crystal Palace</t>
        </is>
      </c>
      <c r="AG55" s="24" t="n"/>
      <c r="AH55" s="24" t="n"/>
    </row>
    <row r="56">
      <c r="AF56" s="6" t="inlineStr">
        <is>
          <t>18. Nottingham Forest</t>
        </is>
      </c>
      <c r="AG56" s="26" t="n">
        <v>2.8</v>
      </c>
      <c r="AH56" s="15" t="n"/>
    </row>
    <row r="57">
      <c r="AF57" s="6" t="inlineStr">
        <is>
          <t>19. Coventry</t>
        </is>
      </c>
      <c r="AG57" s="15" t="n"/>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Crystal Palace</t>
        </is>
      </c>
      <c r="C2" s="6" t="inlineStr">
        <is>
          <t>Home</t>
        </is>
      </c>
      <c r="D2" s="6" t="n">
        <v>2</v>
      </c>
      <c r="E2" s="6" t="n">
        <v>0</v>
      </c>
      <c r="F2" s="9" t="n">
        <v>1.49</v>
      </c>
      <c r="G2" s="9" t="n">
        <v>1.15</v>
      </c>
      <c r="H2" s="9" t="n">
        <v>1.12</v>
      </c>
      <c r="I2" s="9" t="n">
        <v>1.96</v>
      </c>
      <c r="J2" s="9" t="n">
        <v>-0.37</v>
      </c>
      <c r="K2" s="9" t="n">
        <v>0.8100000000000001</v>
      </c>
      <c r="L2" s="9" t="n">
        <v>-0.37</v>
      </c>
      <c r="M2" s="9" t="n">
        <v>0.8100000000000001</v>
      </c>
      <c r="N2" s="9" t="n">
        <v>-0.83</v>
      </c>
      <c r="O2" s="9" t="n">
        <v>0.76</v>
      </c>
      <c r="P2" s="9" t="n">
        <v>-0.83</v>
      </c>
      <c r="Q2" s="9" t="n">
        <v>0.76</v>
      </c>
      <c r="R2" s="9">
        <f>(H2-I2)-(F2-G2)</f>
        <v/>
      </c>
      <c r="S2" s="9">
        <f>(H2+I2)-(F2+G2)</f>
        <v/>
      </c>
      <c r="T2" s="9" t="n">
        <v>0.86</v>
      </c>
      <c r="U2" s="9" t="n">
        <v>1.6</v>
      </c>
      <c r="V2" s="9" t="n">
        <v>-0.75</v>
      </c>
      <c r="W2" s="9" t="n">
        <v>0.86</v>
      </c>
      <c r="X2" s="9" t="n">
        <v>1.6</v>
      </c>
      <c r="Z2" s="12" t="inlineStr">
        <is>
          <t>Expected = the pre-match market xG (what the odds implied) for each side.</t>
        </is>
      </c>
    </row>
    <row r="3">
      <c r="A3" s="8" t="inlineStr">
        <is>
          <t>2026-08-29</t>
        </is>
      </c>
      <c r="B3" s="8" t="inlineStr">
        <is>
          <t>Bournemouth</t>
        </is>
      </c>
      <c r="C3" s="8" t="inlineStr">
        <is>
          <t>Away</t>
        </is>
      </c>
      <c r="D3" s="8" t="n">
        <v>1</v>
      </c>
      <c r="E3" s="8" t="n">
        <v>1</v>
      </c>
      <c r="F3" s="10" t="n">
        <v>1.12</v>
      </c>
      <c r="G3" s="10" t="n">
        <v>1.56</v>
      </c>
      <c r="H3" s="10" t="n">
        <v>1.84</v>
      </c>
      <c r="I3" s="10" t="n">
        <v>2.16</v>
      </c>
      <c r="J3" s="10" t="n">
        <v>0.72</v>
      </c>
      <c r="K3" s="10" t="n">
        <v>0.6</v>
      </c>
      <c r="L3" s="10" t="n">
        <v>0.18</v>
      </c>
      <c r="M3" s="10" t="n">
        <v>0.71</v>
      </c>
      <c r="N3" s="10" t="n">
        <v>1.41</v>
      </c>
      <c r="O3" s="10" t="n">
        <v>0.21</v>
      </c>
      <c r="P3" s="10" t="n">
        <v>0.29</v>
      </c>
      <c r="Q3" s="10" t="n">
        <v>0.49</v>
      </c>
      <c r="R3" s="10">
        <f>(H3-I3)-(F3-G3)</f>
        <v/>
      </c>
      <c r="S3" s="10">
        <f>(H3+I3)-(F3+G3)</f>
        <v/>
      </c>
      <c r="T3" s="10" t="n">
        <v>1.21</v>
      </c>
      <c r="U3" s="10" t="n">
        <v>1.07</v>
      </c>
      <c r="V3" s="10" t="n">
        <v>0.14</v>
      </c>
      <c r="W3" s="10" t="n">
        <v>2.07</v>
      </c>
      <c r="X3" s="10" t="n">
        <v>2.68</v>
      </c>
      <c r="Z3" s="4" t="inlineStr">
        <is>
          <t>Games vs expected</t>
        </is>
      </c>
      <c r="AA3" s="4" t="inlineStr">
        <is>
          <t>Above</t>
        </is>
      </c>
      <c r="AB3" s="4" t="inlineStr">
        <is>
          <t>Below</t>
        </is>
      </c>
    </row>
    <row r="4">
      <c r="A4" s="6" t="inlineStr">
        <is>
          <t>2026-09-06</t>
        </is>
      </c>
      <c r="B4" s="6" t="inlineStr">
        <is>
          <t>Manchester United</t>
        </is>
      </c>
      <c r="C4" s="6" t="inlineStr">
        <is>
          <t>Home</t>
        </is>
      </c>
      <c r="D4" s="6" t="n">
        <v>2</v>
      </c>
      <c r="E4" s="6" t="n">
        <v>2</v>
      </c>
      <c r="F4" s="9" t="n">
        <v>1.28</v>
      </c>
      <c r="G4" s="9" t="n">
        <v>1.64</v>
      </c>
      <c r="H4" s="9" t="n">
        <v>1.01</v>
      </c>
      <c r="I4" s="9" t="n">
        <v>0.6899999999999999</v>
      </c>
      <c r="J4" s="9" t="n">
        <v>-0.27</v>
      </c>
      <c r="K4" s="9" t="n">
        <v>-0.95</v>
      </c>
      <c r="L4" s="9" t="n">
        <v>0.03</v>
      </c>
      <c r="M4" s="9" t="n">
        <v>0.15</v>
      </c>
      <c r="N4" s="9" t="n">
        <v>-0.5600000000000001</v>
      </c>
      <c r="O4" s="9" t="n">
        <v>-0.85</v>
      </c>
      <c r="P4" s="9" t="n">
        <v>0</v>
      </c>
      <c r="Q4" s="9" t="n">
        <v>0.04</v>
      </c>
      <c r="R4" s="9">
        <f>(H4-I4)-(F4-G4)</f>
        <v/>
      </c>
      <c r="S4" s="9">
        <f>(H4+I4)-(F4+G4)</f>
        <v/>
      </c>
      <c r="T4" s="9" t="n">
        <v>1.6</v>
      </c>
      <c r="U4" s="9" t="n">
        <v>1.14</v>
      </c>
      <c r="V4" s="9" t="n">
        <v>0.46</v>
      </c>
      <c r="W4" s="9" t="n">
        <v>3.67</v>
      </c>
      <c r="X4" s="9" t="n">
        <v>3.81</v>
      </c>
      <c r="Z4" s="6" t="inlineStr">
        <is>
          <t>xG For vs expected</t>
        </is>
      </c>
      <c r="AA4" s="5">
        <f>COUNTIF($J$2:$J$9,"&gt;0")</f>
        <v/>
      </c>
      <c r="AB4" s="5">
        <f>COUNTIF($J$2:$J$9,"&lt;0")</f>
        <v/>
      </c>
    </row>
    <row r="5">
      <c r="A5" s="8" t="inlineStr">
        <is>
          <t>2026-09-12</t>
        </is>
      </c>
      <c r="B5" s="8" t="inlineStr">
        <is>
          <t>Tottenham Hotspur</t>
        </is>
      </c>
      <c r="C5" s="8" t="inlineStr">
        <is>
          <t>Away</t>
        </is>
      </c>
      <c r="D5" s="8" t="n">
        <v>0</v>
      </c>
      <c r="E5" s="8" t="n">
        <v>0</v>
      </c>
      <c r="F5" s="10" t="n">
        <v>1.1</v>
      </c>
      <c r="G5" s="10" t="n">
        <v>1.56</v>
      </c>
      <c r="H5" s="10" t="n">
        <v>1.11</v>
      </c>
      <c r="I5" s="10" t="n">
        <v>0.6899999999999999</v>
      </c>
      <c r="J5" s="10" t="n">
        <v>0.01</v>
      </c>
      <c r="K5" s="10" t="n">
        <v>-0.87</v>
      </c>
      <c r="L5" s="10" t="n">
        <v>0.03</v>
      </c>
      <c r="M5" s="10" t="n">
        <v>-0.1</v>
      </c>
      <c r="N5" s="10" t="n">
        <v>0.25</v>
      </c>
      <c r="O5" s="10" t="n">
        <v>-0.45</v>
      </c>
      <c r="P5" s="10" t="n">
        <v>0.06</v>
      </c>
      <c r="Q5" s="10" t="n">
        <v>-0.08</v>
      </c>
      <c r="R5" s="10">
        <f>(H5-I5)-(F5-G5)</f>
        <v/>
      </c>
      <c r="S5" s="10">
        <f>(H5+I5)-(F5+G5)</f>
        <v/>
      </c>
      <c r="T5" s="10" t="n">
        <v>1.68</v>
      </c>
      <c r="U5" s="10" t="n">
        <v>1.05</v>
      </c>
      <c r="V5" s="10" t="n">
        <v>0.63</v>
      </c>
      <c r="W5" s="10" t="n">
        <v>5.35</v>
      </c>
      <c r="X5" s="10" t="n">
        <v>4.87</v>
      </c>
      <c r="Z5" s="6" t="inlineStr">
        <is>
          <t>xG Against vs expected</t>
        </is>
      </c>
      <c r="AA5" s="5">
        <f>COUNTIF($K$2:$K$9,"&gt;0")</f>
        <v/>
      </c>
      <c r="AB5" s="5">
        <f>COUNTIF($K$2:$K$9,"&lt;0")</f>
        <v/>
      </c>
    </row>
    <row r="6">
      <c r="A6" s="6" t="inlineStr">
        <is>
          <t>2026-09-19</t>
        </is>
      </c>
      <c r="B6" s="6" t="inlineStr">
        <is>
          <t>Ipswich</t>
        </is>
      </c>
      <c r="C6" s="6" t="inlineStr">
        <is>
          <t>Home</t>
        </is>
      </c>
      <c r="D6" s="6" t="n">
        <v>1</v>
      </c>
      <c r="E6" s="6" t="n">
        <v>0</v>
      </c>
      <c r="F6" s="9" t="n">
        <v>1.82</v>
      </c>
      <c r="G6" s="9" t="n">
        <v>1.06</v>
      </c>
      <c r="H6" s="9" t="n">
        <v>2.24</v>
      </c>
      <c r="I6" s="9" t="n">
        <v>1.44</v>
      </c>
      <c r="J6" s="9" t="n">
        <v>0.42</v>
      </c>
      <c r="K6" s="9" t="n">
        <v>0.38</v>
      </c>
      <c r="L6" s="9" t="n">
        <v>0.1</v>
      </c>
      <c r="M6" s="9" t="n">
        <v>-0.01</v>
      </c>
      <c r="N6" s="9" t="n">
        <v>0.3</v>
      </c>
      <c r="O6" s="9" t="n">
        <v>0.12</v>
      </c>
      <c r="P6" s="9" t="n">
        <v>0.11</v>
      </c>
      <c r="Q6" s="9" t="n">
        <v>-0.04</v>
      </c>
      <c r="R6" s="9">
        <f>(H6-I6)-(F6-G6)</f>
        <v/>
      </c>
      <c r="S6" s="9">
        <f>(H6+I6)-(F6+G6)</f>
        <v/>
      </c>
      <c r="T6" s="9" t="n">
        <v>1.87</v>
      </c>
      <c r="U6" s="9" t="n">
        <v>1.88</v>
      </c>
      <c r="V6" s="9" t="n">
        <v>-0.01</v>
      </c>
      <c r="W6" s="9" t="n">
        <v>7.22</v>
      </c>
      <c r="X6" s="9" t="n">
        <v>6.75</v>
      </c>
      <c r="Z6" s="6" t="inlineStr">
        <is>
          <t>Goals For vs expected</t>
        </is>
      </c>
      <c r="AA6" s="5">
        <f>SUMPRODUCT(--($D$2:$D$9&gt;$F$2:$F$9))</f>
        <v/>
      </c>
      <c r="AB6" s="5">
        <f>SUMPRODUCT(--($D$2:$D$9&lt;$F$2:$F$9))</f>
        <v/>
      </c>
    </row>
    <row r="7">
      <c r="A7" s="8" t="inlineStr">
        <is>
          <t>2026-10-11</t>
        </is>
      </c>
      <c r="B7" s="8" t="inlineStr">
        <is>
          <t>Hull</t>
        </is>
      </c>
      <c r="C7" s="8" t="inlineStr">
        <is>
          <t>Away</t>
        </is>
      </c>
      <c r="D7" s="8" t="n">
        <v>2</v>
      </c>
      <c r="E7" s="8" t="n">
        <v>2</v>
      </c>
      <c r="F7" s="10" t="n">
        <v>1.51</v>
      </c>
      <c r="G7" s="10" t="n">
        <v>1.07</v>
      </c>
      <c r="H7" s="10" t="n">
        <v>1.68</v>
      </c>
      <c r="I7" s="10" t="n">
        <v>1.33</v>
      </c>
      <c r="J7" s="10" t="n">
        <v>0.17</v>
      </c>
      <c r="K7" s="10" t="n">
        <v>0.26</v>
      </c>
      <c r="L7" s="10" t="n">
        <v>0.11</v>
      </c>
      <c r="M7" s="10" t="n">
        <v>0.04</v>
      </c>
      <c r="N7" s="10" t="n">
        <v>0.66</v>
      </c>
      <c r="O7" s="10" t="n">
        <v>0.23</v>
      </c>
      <c r="P7" s="10" t="n">
        <v>0.2</v>
      </c>
      <c r="Q7" s="10" t="n">
        <v>0</v>
      </c>
      <c r="R7" s="10">
        <f>(H7-I7)-(F7-G7)</f>
        <v/>
      </c>
      <c r="S7" s="10">
        <f>(H7+I7)-(F7+G7)</f>
        <v/>
      </c>
      <c r="T7" s="10" t="n">
        <v>1.61</v>
      </c>
      <c r="U7" s="10" t="n">
        <v>1.68</v>
      </c>
      <c r="V7" s="10" t="n">
        <v>-0.07000000000000001</v>
      </c>
      <c r="W7" s="10" t="n">
        <v>8.83</v>
      </c>
      <c r="X7" s="10" t="n">
        <v>8.43</v>
      </c>
      <c r="Z7" s="6" t="inlineStr">
        <is>
          <t>Goals Against vs expected</t>
        </is>
      </c>
      <c r="AA7" s="5">
        <f>SUMPRODUCT(--($E$2:$E$9&gt;$G$2:$G$9))</f>
        <v/>
      </c>
      <c r="AB7" s="5">
        <f>SUMPRODUCT(--($E$2:$E$9&lt;$G$2:$G$9))</f>
        <v/>
      </c>
    </row>
    <row r="8">
      <c r="A8" s="6" t="inlineStr">
        <is>
          <t>2026-10-17</t>
        </is>
      </c>
      <c r="B8" s="6" t="inlineStr">
        <is>
          <t>Chelsea</t>
        </is>
      </c>
      <c r="C8" s="6" t="inlineStr">
        <is>
          <t>Home</t>
        </is>
      </c>
      <c r="D8" s="6" t="n">
        <v>0</v>
      </c>
      <c r="E8" s="6" t="n">
        <v>2</v>
      </c>
      <c r="F8" s="9" t="n">
        <v>1.31</v>
      </c>
      <c r="G8" s="9" t="n">
        <v>1.67</v>
      </c>
      <c r="H8" s="9" t="n">
        <v>0.43</v>
      </c>
      <c r="I8" s="9" t="n">
        <v>1.47</v>
      </c>
      <c r="J8" s="9" t="n">
        <v>-0.88</v>
      </c>
      <c r="K8" s="9" t="n">
        <v>-0.2</v>
      </c>
      <c r="L8" s="9" t="n">
        <v>0.03</v>
      </c>
      <c r="M8" s="9" t="n">
        <v>-0.13</v>
      </c>
      <c r="N8" s="9" t="n">
        <v>-1.15</v>
      </c>
      <c r="O8" s="9" t="n">
        <v>0.4</v>
      </c>
      <c r="P8" s="9" t="n">
        <v>0.15</v>
      </c>
      <c r="Q8" s="9" t="n">
        <v>-0.06</v>
      </c>
      <c r="R8" s="9">
        <f>(H8-I8)-(F8-G8)</f>
        <v/>
      </c>
      <c r="S8" s="9">
        <f>(H8+I8)-(F8+G8)</f>
        <v/>
      </c>
      <c r="T8" s="9" t="n">
        <v>0.58</v>
      </c>
      <c r="U8" s="9" t="n">
        <v>1.14</v>
      </c>
      <c r="V8" s="9" t="n">
        <v>-0.5600000000000001</v>
      </c>
      <c r="W8" s="9" t="n">
        <v>9.41</v>
      </c>
      <c r="X8" s="9" t="n">
        <v>9.57</v>
      </c>
      <c r="Z8" s="12" t="inlineStr">
        <is>
          <t>For: Above = beat expectation. Against: Above = conceded more than expected (worse).</t>
        </is>
      </c>
    </row>
    <row r="9">
      <c r="A9" s="8" t="inlineStr">
        <is>
          <t>2026-10-24</t>
        </is>
      </c>
      <c r="B9" s="8" t="inlineStr">
        <is>
          <t>Arsenal</t>
        </is>
      </c>
      <c r="C9" s="8" t="inlineStr">
        <is>
          <t>Away</t>
        </is>
      </c>
      <c r="D9" s="8" t="n">
        <v>0</v>
      </c>
      <c r="E9" s="8" t="n">
        <v>2</v>
      </c>
      <c r="F9" s="10" t="n">
        <v>0.72</v>
      </c>
      <c r="G9" s="10" t="n">
        <v>2.04</v>
      </c>
      <c r="H9" s="10" t="n">
        <v>0.63</v>
      </c>
      <c r="I9" s="10" t="n">
        <v>1.96</v>
      </c>
      <c r="J9" s="10" t="n">
        <v>-0.09</v>
      </c>
      <c r="K9" s="10" t="n">
        <v>-0.08</v>
      </c>
      <c r="L9" s="10" t="n">
        <v>-0.11</v>
      </c>
      <c r="M9" s="10" t="n">
        <v>-0.25</v>
      </c>
      <c r="N9" s="10" t="n">
        <v>-0.07000000000000001</v>
      </c>
      <c r="O9" s="10" t="n">
        <v>0.2</v>
      </c>
      <c r="P9" s="10" t="n">
        <v>-0.09</v>
      </c>
      <c r="Q9" s="10" t="n">
        <v>-0.06</v>
      </c>
      <c r="R9" s="10">
        <f>(H9-I9)-(F9-G9)</f>
        <v/>
      </c>
      <c r="S9" s="10">
        <f>(H9+I9)-(F9+G9)</f>
        <v/>
      </c>
      <c r="T9" s="10" t="n">
        <v>0.53</v>
      </c>
      <c r="U9" s="10" t="n">
        <v>0.5600000000000001</v>
      </c>
      <c r="V9" s="10" t="n">
        <v>-0.03</v>
      </c>
      <c r="W9" s="10" t="n">
        <v>9.94</v>
      </c>
      <c r="X9" s="10" t="n">
        <v>10.13</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5</v>
      </c>
      <c r="D37" s="16" t="n">
        <v>4</v>
      </c>
      <c r="E37" s="20" t="n">
        <v>-0.28</v>
      </c>
      <c r="F37" s="20" t="n">
        <v>-0.32</v>
      </c>
      <c r="G37" s="20" t="n">
        <v>-0.27</v>
      </c>
      <c r="H37" s="20" t="n">
        <v>-0.33</v>
      </c>
      <c r="AF37" s="11" t="inlineStr">
        <is>
          <t>Everton: closing odds to win, by opponent (league table order)</t>
        </is>
      </c>
    </row>
    <row r="38">
      <c r="A38" s="16" t="inlineStr">
        <is>
          <t>Away</t>
        </is>
      </c>
      <c r="B38" s="16" t="n">
        <v>4</v>
      </c>
      <c r="C38" s="16" t="n">
        <v>3</v>
      </c>
      <c r="D38" s="16" t="n">
        <v>5</v>
      </c>
      <c r="E38" s="20" t="n">
        <v>0.23</v>
      </c>
      <c r="F38" s="20" t="n">
        <v>0.06</v>
      </c>
      <c r="G38" s="20" t="n">
        <v>0.18</v>
      </c>
      <c r="H38" s="20" t="n">
        <v>0.13</v>
      </c>
      <c r="AF38" s="4" t="inlineStr">
        <is>
          <t>League Table</t>
        </is>
      </c>
      <c r="AG38" s="4" t="inlineStr">
        <is>
          <t>Home Odds</t>
        </is>
      </c>
      <c r="AH38" s="4" t="inlineStr">
        <is>
          <t>Away Odds</t>
        </is>
      </c>
    </row>
    <row r="39">
      <c r="A39" s="21" t="inlineStr">
        <is>
          <t>Total</t>
        </is>
      </c>
      <c r="B39" s="21" t="n">
        <v>8</v>
      </c>
      <c r="C39" s="21" t="n">
        <v>8</v>
      </c>
      <c r="D39" s="21" t="n">
        <v>9</v>
      </c>
      <c r="E39" s="22" t="n">
        <v>-0.03</v>
      </c>
      <c r="F39" s="22" t="n">
        <v>0.02</v>
      </c>
      <c r="G39" s="22" t="n">
        <v>-0.05</v>
      </c>
      <c r="H39" s="22" t="n">
        <v>0.13</v>
      </c>
      <c r="AF39" s="6" t="inlineStr">
        <is>
          <t>1. Manchester City</t>
        </is>
      </c>
      <c r="AG39" s="15" t="n"/>
      <c r="AH39" s="15" t="n"/>
    </row>
    <row r="40">
      <c r="AF40" s="6" t="inlineStr">
        <is>
          <t>2. Arsenal</t>
        </is>
      </c>
      <c r="AG40" s="15" t="n"/>
      <c r="AH40" s="25" t="n">
        <v>8.5</v>
      </c>
    </row>
    <row r="41">
      <c r="AF41" s="6" t="inlineStr">
        <is>
          <t>3. Brighton &amp; Hove Albion</t>
        </is>
      </c>
      <c r="AG41" s="15" t="n"/>
      <c r="AH41" s="15" t="n"/>
    </row>
    <row r="42">
      <c r="AF42" s="6" t="inlineStr">
        <is>
          <t>4. Liverpool</t>
        </is>
      </c>
      <c r="AG42" s="15" t="n"/>
      <c r="AH42" s="15" t="n"/>
    </row>
    <row r="43">
      <c r="AF43" s="6" t="inlineStr">
        <is>
          <t>5. Chelsea</t>
        </is>
      </c>
      <c r="AG43" s="25" t="n">
        <v>2.8</v>
      </c>
      <c r="AH43" s="15" t="n"/>
    </row>
    <row r="44">
      <c r="AF44" s="6" t="inlineStr">
        <is>
          <t>6. Brentford</t>
        </is>
      </c>
      <c r="AG44" s="15" t="n"/>
      <c r="AH44" s="15" t="n"/>
    </row>
    <row r="45">
      <c r="AF45" s="6" t="inlineStr">
        <is>
          <t>7. Leeds United</t>
        </is>
      </c>
      <c r="AG45" s="15" t="n"/>
      <c r="AH45" s="15" t="n"/>
    </row>
    <row r="46">
      <c r="AF46" s="6" t="inlineStr">
        <is>
          <t>8. Newcastle United</t>
        </is>
      </c>
      <c r="AG46" s="15" t="n"/>
      <c r="AH46" s="15" t="n"/>
    </row>
    <row r="47">
      <c r="AF47" s="6" t="inlineStr">
        <is>
          <t>9. Aston Villa</t>
        </is>
      </c>
      <c r="AG47" s="15" t="n"/>
      <c r="AH47" s="15" t="n"/>
    </row>
    <row r="48">
      <c r="AF48" s="6" t="inlineStr">
        <is>
          <t>10. Hull</t>
        </is>
      </c>
      <c r="AG48" s="15" t="n"/>
      <c r="AH48" s="30" t="n">
        <v>1.91</v>
      </c>
    </row>
    <row r="49">
      <c r="AF49" s="23" t="inlineStr">
        <is>
          <t>11. Everton</t>
        </is>
      </c>
      <c r="AG49" s="24" t="n"/>
      <c r="AH49" s="24" t="n"/>
    </row>
    <row r="50">
      <c r="AF50" s="6" t="inlineStr">
        <is>
          <t>12. Ipswich</t>
        </is>
      </c>
      <c r="AG50" s="26" t="n">
        <v>1.73</v>
      </c>
      <c r="AH50" s="15" t="n"/>
    </row>
    <row r="51">
      <c r="AF51" s="6" t="inlineStr">
        <is>
          <t>13. Bournemouth</t>
        </is>
      </c>
      <c r="AG51" s="15" t="n"/>
      <c r="AH51" s="30" t="n">
        <v>3.25</v>
      </c>
    </row>
    <row r="52">
      <c r="AF52" s="6" t="inlineStr">
        <is>
          <t>14. Tottenham Hotspur</t>
        </is>
      </c>
      <c r="AG52" s="15" t="n"/>
      <c r="AH52" s="30" t="n">
        <v>3.6</v>
      </c>
    </row>
    <row r="53">
      <c r="AF53" s="6" t="inlineStr">
        <is>
          <t>15. Fulham</t>
        </is>
      </c>
      <c r="AG53" s="15" t="n"/>
      <c r="AH53" s="15" t="n"/>
    </row>
    <row r="54">
      <c r="AF54" s="6" t="inlineStr">
        <is>
          <t>16. Manchester United</t>
        </is>
      </c>
      <c r="AG54" s="30" t="n">
        <v>3.6</v>
      </c>
      <c r="AH54" s="15" t="n"/>
    </row>
    <row r="55">
      <c r="AF55" s="6" t="inlineStr">
        <is>
          <t>17. Crystal Palace</t>
        </is>
      </c>
      <c r="AG55" s="26" t="n">
        <v>2.25</v>
      </c>
      <c r="AH55" s="15" t="n"/>
    </row>
    <row r="56">
      <c r="AF56" s="6" t="inlineStr">
        <is>
          <t>18. Nottingham Forest</t>
        </is>
      </c>
      <c r="AG56" s="15" t="n"/>
      <c r="AH56" s="15" t="n"/>
    </row>
    <row r="57">
      <c r="AF57" s="6" t="inlineStr">
        <is>
          <t>19. Coventry</t>
        </is>
      </c>
      <c r="AG57" s="15" t="n"/>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2026-08-24</t>
        </is>
      </c>
      <c r="B2" s="6" t="inlineStr">
        <is>
          <t>Chelsea</t>
        </is>
      </c>
      <c r="C2" s="6" t="inlineStr">
        <is>
          <t>Home</t>
        </is>
      </c>
      <c r="D2" s="6" t="n">
        <v>2</v>
      </c>
      <c r="E2" s="6" t="n">
        <v>3</v>
      </c>
      <c r="F2" s="9" t="n">
        <v>1.24</v>
      </c>
      <c r="G2" s="9" t="n">
        <v>1.78</v>
      </c>
      <c r="H2" s="9" t="n">
        <v>1.33</v>
      </c>
      <c r="I2" s="9" t="n">
        <v>2.24</v>
      </c>
      <c r="J2" s="9" t="n">
        <v>0.09</v>
      </c>
      <c r="K2" s="9" t="n">
        <v>0.46</v>
      </c>
      <c r="L2" s="9" t="n">
        <v>0.09</v>
      </c>
      <c r="M2" s="9" t="n">
        <v>0.46</v>
      </c>
      <c r="N2" s="9" t="n">
        <v>-0.04</v>
      </c>
      <c r="O2" s="9" t="n">
        <v>1.15</v>
      </c>
      <c r="P2" s="9" t="n">
        <v>-0.04</v>
      </c>
      <c r="Q2" s="9" t="n">
        <v>1.15</v>
      </c>
      <c r="R2" s="9">
        <f>(H2-I2)-(F2-G2)</f>
        <v/>
      </c>
      <c r="S2" s="9">
        <f>(H2+I2)-(F2+G2)</f>
        <v/>
      </c>
      <c r="T2" s="9" t="n">
        <v>0.86</v>
      </c>
      <c r="U2" s="9" t="n">
        <v>1.03</v>
      </c>
      <c r="V2" s="9" t="n">
        <v>-0.17</v>
      </c>
      <c r="W2" s="9" t="n">
        <v>0.86</v>
      </c>
      <c r="X2" s="9" t="n">
        <v>1.03</v>
      </c>
      <c r="Z2" s="12" t="inlineStr">
        <is>
          <t>Expected = the pre-match market xG (what the odds implied) for each side.</t>
        </is>
      </c>
    </row>
    <row r="3">
      <c r="A3" s="8" t="inlineStr">
        <is>
          <t>2026-08-30</t>
        </is>
      </c>
      <c r="B3" s="8" t="inlineStr">
        <is>
          <t>Sunderland</t>
        </is>
      </c>
      <c r="C3" s="8" t="inlineStr">
        <is>
          <t>Away</t>
        </is>
      </c>
      <c r="D3" s="8" t="n">
        <v>0</v>
      </c>
      <c r="E3" s="8" t="n">
        <v>1</v>
      </c>
      <c r="F3" s="10" t="n">
        <v>1.17</v>
      </c>
      <c r="G3" s="10" t="n">
        <v>1.36</v>
      </c>
      <c r="H3" s="10" t="n">
        <v>0.95</v>
      </c>
      <c r="I3" s="10" t="n">
        <v>2.02</v>
      </c>
      <c r="J3" s="10" t="n">
        <v>-0.22</v>
      </c>
      <c r="K3" s="10" t="n">
        <v>0.66</v>
      </c>
      <c r="L3" s="10" t="n">
        <v>-0.06</v>
      </c>
      <c r="M3" s="10" t="n">
        <v>0.5600000000000001</v>
      </c>
      <c r="N3" s="10" t="n">
        <v>-0.55</v>
      </c>
      <c r="O3" s="10" t="n">
        <v>0.36</v>
      </c>
      <c r="P3" s="10" t="n">
        <v>-0.29</v>
      </c>
      <c r="Q3" s="10" t="n">
        <v>0.76</v>
      </c>
      <c r="R3" s="10">
        <f>(H3-I3)-(F3-G3)</f>
        <v/>
      </c>
      <c r="S3" s="10">
        <f>(H3+I3)-(F3+G3)</f>
        <v/>
      </c>
      <c r="T3" s="10" t="n">
        <v>0.72</v>
      </c>
      <c r="U3" s="10" t="n">
        <v>1.23</v>
      </c>
      <c r="V3" s="10" t="n">
        <v>-0.52</v>
      </c>
      <c r="W3" s="10" t="n">
        <v>1.58</v>
      </c>
      <c r="X3" s="10" t="n">
        <v>2.26</v>
      </c>
      <c r="Z3" s="4" t="inlineStr">
        <is>
          <t>Games vs expected</t>
        </is>
      </c>
      <c r="AA3" s="4" t="inlineStr">
        <is>
          <t>Above</t>
        </is>
      </c>
      <c r="AB3" s="4" t="inlineStr">
        <is>
          <t>Below</t>
        </is>
      </c>
    </row>
    <row r="4">
      <c r="A4" s="6" t="inlineStr">
        <is>
          <t>2026-09-05</t>
        </is>
      </c>
      <c r="B4" s="6" t="inlineStr">
        <is>
          <t>Crystal Palace</t>
        </is>
      </c>
      <c r="C4" s="6" t="inlineStr">
        <is>
          <t>Home</t>
        </is>
      </c>
      <c r="D4" s="6" t="n">
        <v>2</v>
      </c>
      <c r="E4" s="6" t="n">
        <v>3</v>
      </c>
      <c r="F4" s="9" t="n">
        <v>1.45</v>
      </c>
      <c r="G4" s="9" t="n">
        <v>1.19</v>
      </c>
      <c r="H4" s="9" t="n">
        <v>3.14</v>
      </c>
      <c r="I4" s="9" t="n">
        <v>1.97</v>
      </c>
      <c r="J4" s="9" t="n">
        <v>1.69</v>
      </c>
      <c r="K4" s="9" t="n">
        <v>0.78</v>
      </c>
      <c r="L4" s="9" t="n">
        <v>0.52</v>
      </c>
      <c r="M4" s="9" t="n">
        <v>0.63</v>
      </c>
      <c r="N4" s="9" t="n">
        <v>1.52</v>
      </c>
      <c r="O4" s="9" t="n">
        <v>0.72</v>
      </c>
      <c r="P4" s="9" t="n">
        <v>0.31</v>
      </c>
      <c r="Q4" s="9" t="n">
        <v>0.75</v>
      </c>
      <c r="R4" s="9">
        <f>(H4-I4)-(F4-G4)</f>
        <v/>
      </c>
      <c r="S4" s="9">
        <f>(H4+I4)-(F4+G4)</f>
        <v/>
      </c>
      <c r="T4" s="9" t="n">
        <v>2</v>
      </c>
      <c r="U4" s="9" t="n">
        <v>1.55</v>
      </c>
      <c r="V4" s="9" t="n">
        <v>0.45</v>
      </c>
      <c r="W4" s="9" t="n">
        <v>3.58</v>
      </c>
      <c r="X4" s="9" t="n">
        <v>3.81</v>
      </c>
      <c r="Z4" s="6" t="inlineStr">
        <is>
          <t>xG For vs expected</t>
        </is>
      </c>
      <c r="AA4" s="5">
        <f>COUNTIF($J$2:$J$9,"&gt;0")</f>
        <v/>
      </c>
      <c r="AB4" s="5">
        <f>COUNTIF($J$2:$J$9,"&lt;0")</f>
        <v/>
      </c>
    </row>
    <row r="5">
      <c r="A5" s="8" t="inlineStr">
        <is>
          <t>2026-09-12</t>
        </is>
      </c>
      <c r="B5" s="8" t="inlineStr">
        <is>
          <t>Liverpool</t>
        </is>
      </c>
      <c r="C5" s="8" t="inlineStr">
        <is>
          <t>Away</t>
        </is>
      </c>
      <c r="D5" s="8" t="n">
        <v>0</v>
      </c>
      <c r="E5" s="8" t="n">
        <v>0</v>
      </c>
      <c r="F5" s="10" t="n">
        <v>0.99</v>
      </c>
      <c r="G5" s="10" t="n">
        <v>2.3</v>
      </c>
      <c r="H5" s="10" t="n">
        <v>0.7</v>
      </c>
      <c r="I5" s="10" t="n">
        <v>1.28</v>
      </c>
      <c r="J5" s="10" t="n">
        <v>-0.29</v>
      </c>
      <c r="K5" s="10" t="n">
        <v>-1.02</v>
      </c>
      <c r="L5" s="10" t="n">
        <v>0.32</v>
      </c>
      <c r="M5" s="10" t="n">
        <v>0.22</v>
      </c>
      <c r="N5" s="10" t="n">
        <v>-0.2</v>
      </c>
      <c r="O5" s="10" t="n">
        <v>-0.72</v>
      </c>
      <c r="P5" s="10" t="n">
        <v>0.18</v>
      </c>
      <c r="Q5" s="10" t="n">
        <v>0.38</v>
      </c>
      <c r="R5" s="10">
        <f>(H5-I5)-(F5-G5)</f>
        <v/>
      </c>
      <c r="S5" s="10">
        <f>(H5+I5)-(F5+G5)</f>
        <v/>
      </c>
      <c r="T5" s="10" t="n">
        <v>0.9</v>
      </c>
      <c r="U5" s="10" t="n">
        <v>0.63</v>
      </c>
      <c r="V5" s="10" t="n">
        <v>0.28</v>
      </c>
      <c r="W5" s="10" t="n">
        <v>4.48</v>
      </c>
      <c r="X5" s="10" t="n">
        <v>4.44</v>
      </c>
      <c r="Z5" s="6" t="inlineStr">
        <is>
          <t>xG Against vs expected</t>
        </is>
      </c>
      <c r="AA5" s="5">
        <f>COUNTIF($K$2:$K$9,"&gt;0")</f>
        <v/>
      </c>
      <c r="AB5" s="5">
        <f>COUNTIF($K$2:$K$9,"&lt;0")</f>
        <v/>
      </c>
    </row>
    <row r="6">
      <c r="A6" s="6" t="inlineStr">
        <is>
          <t>2026-09-20</t>
        </is>
      </c>
      <c r="B6" s="6" t="inlineStr">
        <is>
          <t>Manchester United</t>
        </is>
      </c>
      <c r="C6" s="6" t="inlineStr">
        <is>
          <t>Home</t>
        </is>
      </c>
      <c r="D6" s="6" t="n">
        <v>1</v>
      </c>
      <c r="E6" s="6" t="n">
        <v>1</v>
      </c>
      <c r="F6" s="9" t="n">
        <v>1.32</v>
      </c>
      <c r="G6" s="9" t="n">
        <v>1.8</v>
      </c>
      <c r="H6" s="9" t="n">
        <v>1.62</v>
      </c>
      <c r="I6" s="9" t="n">
        <v>1.6</v>
      </c>
      <c r="J6" s="9" t="n">
        <v>0.3</v>
      </c>
      <c r="K6" s="9" t="n">
        <v>-0.2</v>
      </c>
      <c r="L6" s="9" t="n">
        <v>0.31</v>
      </c>
      <c r="M6" s="9" t="n">
        <v>0.14</v>
      </c>
      <c r="N6" s="9" t="n">
        <v>0.08</v>
      </c>
      <c r="O6" s="9" t="n">
        <v>0.01</v>
      </c>
      <c r="P6" s="9" t="n">
        <v>0.16</v>
      </c>
      <c r="Q6" s="9" t="n">
        <v>0.3</v>
      </c>
      <c r="R6" s="9">
        <f>(H6-I6)-(F6-G6)</f>
        <v/>
      </c>
      <c r="S6" s="9">
        <f>(H6+I6)-(F6+G6)</f>
        <v/>
      </c>
      <c r="T6" s="9" t="n">
        <v>1.4</v>
      </c>
      <c r="U6" s="9" t="n">
        <v>1.08</v>
      </c>
      <c r="V6" s="9" t="n">
        <v>0.32</v>
      </c>
      <c r="W6" s="9" t="n">
        <v>5.88</v>
      </c>
      <c r="X6" s="9" t="n">
        <v>5.52</v>
      </c>
      <c r="Z6" s="6" t="inlineStr">
        <is>
          <t>Goals For vs expected</t>
        </is>
      </c>
      <c r="AA6" s="5">
        <f>SUMPRODUCT(--($D$2:$D$9&gt;$F$2:$F$9))</f>
        <v/>
      </c>
      <c r="AB6" s="5">
        <f>SUMPRODUCT(--($D$2:$D$9&lt;$F$2:$F$9))</f>
        <v/>
      </c>
    </row>
    <row r="7">
      <c r="A7" s="8" t="inlineStr">
        <is>
          <t>2026-10-10</t>
        </is>
      </c>
      <c r="B7" s="8" t="inlineStr">
        <is>
          <t>Ipswich</t>
        </is>
      </c>
      <c r="C7" s="8" t="inlineStr">
        <is>
          <t>Away</t>
        </is>
      </c>
      <c r="D7" s="8" t="n">
        <v>1</v>
      </c>
      <c r="E7" s="8" t="n">
        <v>2</v>
      </c>
      <c r="F7" s="10" t="n">
        <v>1.47</v>
      </c>
      <c r="G7" s="10" t="n">
        <v>1.38</v>
      </c>
      <c r="H7" s="10" t="n">
        <v>1.81</v>
      </c>
      <c r="I7" s="10" t="n">
        <v>1.15</v>
      </c>
      <c r="J7" s="10" t="n">
        <v>0.34</v>
      </c>
      <c r="K7" s="10" t="n">
        <v>-0.23</v>
      </c>
      <c r="L7" s="10" t="n">
        <v>0.32</v>
      </c>
      <c r="M7" s="10" t="n">
        <v>0.08</v>
      </c>
      <c r="N7" s="10" t="n">
        <v>0.21</v>
      </c>
      <c r="O7" s="10" t="n">
        <v>-0.58</v>
      </c>
      <c r="P7" s="10" t="n">
        <v>0.17</v>
      </c>
      <c r="Q7" s="10" t="n">
        <v>0.16</v>
      </c>
      <c r="R7" s="10">
        <f>(H7-I7)-(F7-G7)</f>
        <v/>
      </c>
      <c r="S7" s="10">
        <f>(H7+I7)-(F7+G7)</f>
        <v/>
      </c>
      <c r="T7" s="10" t="n">
        <v>1.81</v>
      </c>
      <c r="U7" s="10" t="n">
        <v>1.44</v>
      </c>
      <c r="V7" s="10" t="n">
        <v>0.38</v>
      </c>
      <c r="W7" s="10" t="n">
        <v>7.7</v>
      </c>
      <c r="X7" s="10" t="n">
        <v>6.96</v>
      </c>
      <c r="Z7" s="6" t="inlineStr">
        <is>
          <t>Goals Against vs expected</t>
        </is>
      </c>
      <c r="AA7" s="5">
        <f>SUMPRODUCT(--($E$2:$E$9&gt;$G$2:$G$9))</f>
        <v/>
      </c>
      <c r="AB7" s="5">
        <f>SUMPRODUCT(--($E$2:$E$9&lt;$G$2:$G$9))</f>
        <v/>
      </c>
    </row>
    <row r="8">
      <c r="A8" s="6" t="inlineStr">
        <is>
          <t>2026-10-17</t>
        </is>
      </c>
      <c r="B8" s="6" t="inlineStr">
        <is>
          <t>Hull</t>
        </is>
      </c>
      <c r="C8" s="6" t="inlineStr">
        <is>
          <t>Home</t>
        </is>
      </c>
      <c r="D8" s="6" t="n">
        <v>1</v>
      </c>
      <c r="E8" s="6" t="n">
        <v>0</v>
      </c>
      <c r="F8" s="9" t="n">
        <v>1.83</v>
      </c>
      <c r="G8" s="9" t="n">
        <v>1.05</v>
      </c>
      <c r="H8" s="9" t="n">
        <v>1.38</v>
      </c>
      <c r="I8" s="9" t="n">
        <v>0.16</v>
      </c>
      <c r="J8" s="9" t="n">
        <v>-0.45</v>
      </c>
      <c r="K8" s="9" t="n">
        <v>-0.89</v>
      </c>
      <c r="L8" s="9" t="n">
        <v>0.23</v>
      </c>
      <c r="M8" s="9" t="n">
        <v>-0.15</v>
      </c>
      <c r="N8" s="9" t="n">
        <v>-0.04</v>
      </c>
      <c r="O8" s="9" t="n">
        <v>-1.08</v>
      </c>
      <c r="P8" s="9" t="n">
        <v>0.17</v>
      </c>
      <c r="Q8" s="9" t="n">
        <v>-0.21</v>
      </c>
      <c r="R8" s="9">
        <f>(H8-I8)-(F8-G8)</f>
        <v/>
      </c>
      <c r="S8" s="9">
        <f>(H8+I8)-(F8+G8)</f>
        <v/>
      </c>
      <c r="T8" s="9" t="n">
        <v>2.35</v>
      </c>
      <c r="U8" s="9" t="n">
        <v>1.9</v>
      </c>
      <c r="V8" s="9" t="n">
        <v>0.45</v>
      </c>
      <c r="W8" s="9" t="n">
        <v>10.04</v>
      </c>
      <c r="X8" s="9" t="n">
        <v>8.85</v>
      </c>
      <c r="Z8" s="12" t="inlineStr">
        <is>
          <t>For: Above = beat expectation. Against: Above = conceded more than expected (worse).</t>
        </is>
      </c>
    </row>
    <row r="9">
      <c r="A9" s="8" t="inlineStr">
        <is>
          <t>2026-10-24</t>
        </is>
      </c>
      <c r="B9" s="8" t="inlineStr">
        <is>
          <t>Coventry</t>
        </is>
      </c>
      <c r="C9" s="8" t="inlineStr">
        <is>
          <t>Away</t>
        </is>
      </c>
      <c r="D9" s="8" t="n">
        <v>1</v>
      </c>
      <c r="E9" s="8" t="n">
        <v>0</v>
      </c>
      <c r="F9" s="10" t="n">
        <v>1.57</v>
      </c>
      <c r="G9" s="10" t="n">
        <v>1.29</v>
      </c>
      <c r="H9" s="10" t="n">
        <v>0.55</v>
      </c>
      <c r="I9" s="10" t="n">
        <v>0.51</v>
      </c>
      <c r="J9" s="10" t="n">
        <v>-1.02</v>
      </c>
      <c r="K9" s="10" t="n">
        <v>-0.78</v>
      </c>
      <c r="L9" s="10" t="n">
        <v>0.1</v>
      </c>
      <c r="M9" s="10" t="n">
        <v>-0.39</v>
      </c>
      <c r="N9" s="10" t="n">
        <v>-0.64</v>
      </c>
      <c r="O9" s="10" t="n">
        <v>-0.76</v>
      </c>
      <c r="P9" s="10" t="n">
        <v>0.16</v>
      </c>
      <c r="Q9" s="10" t="n">
        <v>-0.4</v>
      </c>
      <c r="R9" s="10">
        <f>(H9-I9)-(F9-G9)</f>
        <v/>
      </c>
      <c r="S9" s="10">
        <f>(H9+I9)-(F9+G9)</f>
        <v/>
      </c>
      <c r="T9" s="10" t="n">
        <v>1.31</v>
      </c>
      <c r="U9" s="10" t="n">
        <v>1.56</v>
      </c>
      <c r="V9" s="10" t="n">
        <v>-0.25</v>
      </c>
      <c r="W9" s="10" t="n">
        <v>11.36</v>
      </c>
      <c r="X9" s="10" t="n">
        <v>10.41</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6</v>
      </c>
      <c r="D37" s="16" t="n">
        <v>7</v>
      </c>
      <c r="E37" s="20" t="n">
        <v>0.37</v>
      </c>
      <c r="F37" s="20" t="n">
        <v>0.47</v>
      </c>
      <c r="G37" s="20" t="n">
        <v>0.45</v>
      </c>
      <c r="H37" s="20" t="n">
        <v>0.33</v>
      </c>
      <c r="AF37" s="11" t="inlineStr">
        <is>
          <t>Fulham: closing odds to win, by opponent (league table order)</t>
        </is>
      </c>
    </row>
    <row r="38">
      <c r="A38" s="16" t="inlineStr">
        <is>
          <t>Away</t>
        </is>
      </c>
      <c r="B38" s="16" t="n">
        <v>4</v>
      </c>
      <c r="C38" s="16" t="n">
        <v>2</v>
      </c>
      <c r="D38" s="16" t="n">
        <v>3</v>
      </c>
      <c r="E38" s="20" t="n">
        <v>0.04</v>
      </c>
      <c r="F38" s="20" t="n">
        <v>0.16</v>
      </c>
      <c r="G38" s="20" t="n">
        <v>-0.64</v>
      </c>
      <c r="H38" s="20" t="n">
        <v>-0.59</v>
      </c>
      <c r="AF38" s="4" t="inlineStr">
        <is>
          <t>League Table</t>
        </is>
      </c>
      <c r="AG38" s="4" t="inlineStr">
        <is>
          <t>Home Odds</t>
        </is>
      </c>
      <c r="AH38" s="4" t="inlineStr">
        <is>
          <t>Away Odds</t>
        </is>
      </c>
    </row>
    <row r="39">
      <c r="A39" s="21" t="inlineStr">
        <is>
          <t>Total</t>
        </is>
      </c>
      <c r="B39" s="21" t="n">
        <v>8</v>
      </c>
      <c r="C39" s="21" t="n">
        <v>8</v>
      </c>
      <c r="D39" s="21" t="n">
        <v>10</v>
      </c>
      <c r="E39" s="22" t="n">
        <v>0.21</v>
      </c>
      <c r="F39" s="22" t="n">
        <v>0.47</v>
      </c>
      <c r="G39" s="22" t="n">
        <v>-0.1</v>
      </c>
      <c r="H39" s="22" t="n">
        <v>0.11</v>
      </c>
      <c r="AF39" s="6" t="inlineStr">
        <is>
          <t>1. Manchester City</t>
        </is>
      </c>
      <c r="AG39" s="15" t="n"/>
      <c r="AH39" s="15" t="n"/>
    </row>
    <row r="40">
      <c r="AF40" s="6" t="inlineStr">
        <is>
          <t>2. Arsenal</t>
        </is>
      </c>
      <c r="AG40" s="15" t="n"/>
      <c r="AH40" s="15" t="n"/>
    </row>
    <row r="41">
      <c r="AF41" s="6" t="inlineStr">
        <is>
          <t>3. Brighton &amp; Hove Albion</t>
        </is>
      </c>
      <c r="AG41" s="15" t="n"/>
      <c r="AH41" s="15" t="n"/>
    </row>
    <row r="42">
      <c r="AF42" s="6" t="inlineStr">
        <is>
          <t>4. Liverpool</t>
        </is>
      </c>
      <c r="AG42" s="15" t="n"/>
      <c r="AH42" s="30" t="n">
        <v>6</v>
      </c>
    </row>
    <row r="43">
      <c r="AF43" s="6" t="inlineStr">
        <is>
          <t>5. Chelsea</t>
        </is>
      </c>
      <c r="AG43" s="25" t="n">
        <v>3.6</v>
      </c>
      <c r="AH43" s="15" t="n"/>
    </row>
    <row r="44">
      <c r="AF44" s="6" t="inlineStr">
        <is>
          <t>6. Brentford</t>
        </is>
      </c>
      <c r="AG44" s="15" t="n"/>
      <c r="AH44" s="15" t="n"/>
    </row>
    <row r="45">
      <c r="AF45" s="6" t="inlineStr">
        <is>
          <t>7. Leeds United</t>
        </is>
      </c>
      <c r="AG45" s="15" t="n"/>
      <c r="AH45" s="15" t="n"/>
    </row>
    <row r="46">
      <c r="AF46" s="6" t="inlineStr">
        <is>
          <t>8. Newcastle United</t>
        </is>
      </c>
      <c r="AG46" s="15" t="n"/>
      <c r="AH46" s="15" t="n"/>
    </row>
    <row r="47">
      <c r="AF47" s="6" t="inlineStr">
        <is>
          <t>9. Aston Villa</t>
        </is>
      </c>
      <c r="AG47" s="15" t="n"/>
      <c r="AH47" s="15" t="n"/>
    </row>
    <row r="48">
      <c r="AF48" s="6" t="inlineStr">
        <is>
          <t>10. Hull</t>
        </is>
      </c>
      <c r="AG48" s="26" t="n">
        <v>1.6</v>
      </c>
      <c r="AH48" s="15" t="n"/>
    </row>
    <row r="49">
      <c r="AF49" s="6" t="inlineStr">
        <is>
          <t>11. Everton</t>
        </is>
      </c>
      <c r="AG49" s="15" t="n"/>
      <c r="AH49" s="15" t="n"/>
    </row>
    <row r="50">
      <c r="AF50" s="6" t="inlineStr">
        <is>
          <t>12. Ipswich</t>
        </is>
      </c>
      <c r="AG50" s="15" t="n"/>
      <c r="AH50" s="25" t="n">
        <v>2.3</v>
      </c>
    </row>
    <row r="51">
      <c r="AF51" s="6" t="inlineStr">
        <is>
          <t>13. Bournemouth</t>
        </is>
      </c>
      <c r="AG51" s="15" t="n"/>
      <c r="AH51" s="15" t="n"/>
    </row>
    <row r="52">
      <c r="AF52" s="6" t="inlineStr">
        <is>
          <t>14. Tottenham Hotspur</t>
        </is>
      </c>
      <c r="AG52" s="15" t="n"/>
      <c r="AH52" s="15" t="n"/>
    </row>
    <row r="53">
      <c r="AF53" s="23" t="inlineStr">
        <is>
          <t>15. Fulham</t>
        </is>
      </c>
      <c r="AG53" s="24" t="n"/>
      <c r="AH53" s="24" t="n"/>
    </row>
    <row r="54">
      <c r="AF54" s="6" t="inlineStr">
        <is>
          <t>16. Manchester United</t>
        </is>
      </c>
      <c r="AG54" s="30" t="n">
        <v>3.5</v>
      </c>
      <c r="AH54" s="15" t="n"/>
    </row>
    <row r="55">
      <c r="AF55" s="6" t="inlineStr">
        <is>
          <t>17. Crystal Palace</t>
        </is>
      </c>
      <c r="AG55" s="25" t="n">
        <v>2.1</v>
      </c>
      <c r="AH55" s="15" t="n"/>
    </row>
    <row r="56">
      <c r="AF56" s="6" t="inlineStr">
        <is>
          <t>18. Nottingham Forest</t>
        </is>
      </c>
      <c r="AG56" s="15" t="n"/>
      <c r="AH56" s="15" t="n"/>
    </row>
    <row r="57">
      <c r="AF57" s="6" t="inlineStr">
        <is>
          <t>19. Coventry</t>
        </is>
      </c>
      <c r="AG57" s="15" t="n"/>
      <c r="AH57" s="26" t="n">
        <v>2.1</v>
      </c>
    </row>
    <row r="58">
      <c r="AF58" s="6" t="inlineStr">
        <is>
          <t>20. Sunderland</t>
        </is>
      </c>
      <c r="AG58" s="15" t="n"/>
      <c r="AH58" s="25" t="n">
        <v>3.3</v>
      </c>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Manchester United</t>
        </is>
      </c>
      <c r="C2" s="6" t="inlineStr">
        <is>
          <t>Home</t>
        </is>
      </c>
      <c r="D2" s="6" t="n">
        <v>2</v>
      </c>
      <c r="E2" s="6" t="n">
        <v>0</v>
      </c>
      <c r="F2" s="9" t="n">
        <v>0.77</v>
      </c>
      <c r="G2" s="9" t="n">
        <v>2.23</v>
      </c>
      <c r="H2" s="9" t="n">
        <v>1.01</v>
      </c>
      <c r="I2" s="9" t="n">
        <v>1.83</v>
      </c>
      <c r="J2" s="9" t="n">
        <v>0.24</v>
      </c>
      <c r="K2" s="9" t="n">
        <v>-0.4</v>
      </c>
      <c r="L2" s="9" t="n">
        <v>0.24</v>
      </c>
      <c r="M2" s="9" t="n">
        <v>-0.4</v>
      </c>
      <c r="N2" s="9" t="n">
        <v>0.02</v>
      </c>
      <c r="O2" s="9" t="n">
        <v>-0.21</v>
      </c>
      <c r="P2" s="9" t="n">
        <v>0.02</v>
      </c>
      <c r="Q2" s="9" t="n">
        <v>-0.21</v>
      </c>
      <c r="R2" s="9">
        <f>(H2-I2)-(F2-G2)</f>
        <v/>
      </c>
      <c r="S2" s="9">
        <f>(H2+I2)-(F2+G2)</f>
        <v/>
      </c>
      <c r="T2" s="9" t="n">
        <v>0.85</v>
      </c>
      <c r="U2" s="9" t="n">
        <v>0.52</v>
      </c>
      <c r="V2" s="9" t="n">
        <v>0.32</v>
      </c>
      <c r="W2" s="9" t="n">
        <v>0.85</v>
      </c>
      <c r="X2" s="9" t="n">
        <v>0.52</v>
      </c>
      <c r="Z2" s="12" t="inlineStr">
        <is>
          <t>Expected = the pre-match market xG (what the odds implied) for each side.</t>
        </is>
      </c>
    </row>
    <row r="3">
      <c r="A3" s="8" t="inlineStr">
        <is>
          <t>2026-08-29</t>
        </is>
      </c>
      <c r="B3" s="8" t="inlineStr">
        <is>
          <t>Coventry</t>
        </is>
      </c>
      <c r="C3" s="8" t="inlineStr">
        <is>
          <t>Away</t>
        </is>
      </c>
      <c r="D3" s="8" t="n">
        <v>1</v>
      </c>
      <c r="E3" s="8" t="n">
        <v>0</v>
      </c>
      <c r="F3" s="10" t="n">
        <v>1.05</v>
      </c>
      <c r="G3" s="10" t="n">
        <v>1.65</v>
      </c>
      <c r="H3" s="10" t="n">
        <v>0.72</v>
      </c>
      <c r="I3" s="10" t="n">
        <v>1.29</v>
      </c>
      <c r="J3" s="10" t="n">
        <v>-0.33</v>
      </c>
      <c r="K3" s="10" t="n">
        <v>-0.36</v>
      </c>
      <c r="L3" s="10" t="n">
        <v>-0.04</v>
      </c>
      <c r="M3" s="10" t="n">
        <v>-0.38</v>
      </c>
      <c r="N3" s="10" t="n">
        <v>0.15</v>
      </c>
      <c r="O3" s="10" t="n">
        <v>-0.28</v>
      </c>
      <c r="P3" s="10" t="n">
        <v>0.09</v>
      </c>
      <c r="Q3" s="10" t="n">
        <v>-0.24</v>
      </c>
      <c r="R3" s="10">
        <f>(H3-I3)-(F3-G3)</f>
        <v/>
      </c>
      <c r="S3" s="10">
        <f>(H3+I3)-(F3+G3)</f>
        <v/>
      </c>
      <c r="T3" s="10" t="n">
        <v>0.92</v>
      </c>
      <c r="U3" s="10" t="n">
        <v>0.97</v>
      </c>
      <c r="V3" s="10" t="n">
        <v>-0.05</v>
      </c>
      <c r="W3" s="10" t="n">
        <v>1.76</v>
      </c>
      <c r="X3" s="10" t="n">
        <v>1.49</v>
      </c>
      <c r="Z3" s="4" t="inlineStr">
        <is>
          <t>Games vs expected</t>
        </is>
      </c>
      <c r="AA3" s="4" t="inlineStr">
        <is>
          <t>Above</t>
        </is>
      </c>
      <c r="AB3" s="4" t="inlineStr">
        <is>
          <t>Below</t>
        </is>
      </c>
    </row>
    <row r="4">
      <c r="A4" s="6" t="inlineStr">
        <is>
          <t>2026-09-05</t>
        </is>
      </c>
      <c r="B4" s="6" t="inlineStr">
        <is>
          <t>Aston Villa</t>
        </is>
      </c>
      <c r="C4" s="6" t="inlineStr">
        <is>
          <t>Home</t>
        </is>
      </c>
      <c r="D4" s="6" t="n">
        <v>0</v>
      </c>
      <c r="E4" s="6" t="n">
        <v>0</v>
      </c>
      <c r="F4" s="9" t="n">
        <v>1.04</v>
      </c>
      <c r="G4" s="9" t="n">
        <v>1.68</v>
      </c>
      <c r="H4" s="9" t="n">
        <v>0.57</v>
      </c>
      <c r="I4" s="9" t="n">
        <v>1.93</v>
      </c>
      <c r="J4" s="9" t="n">
        <v>-0.47</v>
      </c>
      <c r="K4" s="9" t="n">
        <v>0.25</v>
      </c>
      <c r="L4" s="9" t="n">
        <v>-0.19</v>
      </c>
      <c r="M4" s="9" t="n">
        <v>-0.17</v>
      </c>
      <c r="N4" s="9" t="n">
        <v>-0.57</v>
      </c>
      <c r="O4" s="9" t="n">
        <v>0.49</v>
      </c>
      <c r="P4" s="9" t="n">
        <v>-0.13</v>
      </c>
      <c r="Q4" s="9" t="n">
        <v>0</v>
      </c>
      <c r="R4" s="9">
        <f>(H4-I4)-(F4-G4)</f>
        <v/>
      </c>
      <c r="S4" s="9">
        <f>(H4+I4)-(F4+G4)</f>
        <v/>
      </c>
      <c r="T4" s="9" t="n">
        <v>0.5</v>
      </c>
      <c r="U4" s="9" t="n">
        <v>0.95</v>
      </c>
      <c r="V4" s="9" t="n">
        <v>-0.45</v>
      </c>
      <c r="W4" s="9" t="n">
        <v>2.26</v>
      </c>
      <c r="X4" s="9" t="n">
        <v>2.44</v>
      </c>
      <c r="Z4" s="6" t="inlineStr">
        <is>
          <t>xG For vs expected</t>
        </is>
      </c>
      <c r="AA4" s="5">
        <f>COUNTIF($J$2:$J$9,"&gt;0")</f>
        <v/>
      </c>
      <c r="AB4" s="5">
        <f>COUNTIF($J$2:$J$9,"&lt;0")</f>
        <v/>
      </c>
    </row>
    <row r="5">
      <c r="A5" s="8" t="inlineStr">
        <is>
          <t>2026-09-12</t>
        </is>
      </c>
      <c r="B5" s="8" t="inlineStr">
        <is>
          <t>Chelsea</t>
        </is>
      </c>
      <c r="C5" s="8" t="inlineStr">
        <is>
          <t>Away</t>
        </is>
      </c>
      <c r="D5" s="8" t="n">
        <v>2</v>
      </c>
      <c r="E5" s="8" t="n">
        <v>2</v>
      </c>
      <c r="F5" s="10" t="n">
        <v>0.78</v>
      </c>
      <c r="G5" s="10" t="n">
        <v>2.69</v>
      </c>
      <c r="H5" s="10" t="n">
        <v>1.38</v>
      </c>
      <c r="I5" s="10" t="n">
        <v>0.91</v>
      </c>
      <c r="J5" s="10" t="n">
        <v>0.6</v>
      </c>
      <c r="K5" s="10" t="n">
        <v>-1.77</v>
      </c>
      <c r="L5" s="10" t="n">
        <v>0.01</v>
      </c>
      <c r="M5" s="10" t="n">
        <v>-0.57</v>
      </c>
      <c r="N5" s="10" t="n">
        <v>0.54</v>
      </c>
      <c r="O5" s="10" t="n">
        <v>-1.4</v>
      </c>
      <c r="P5" s="10" t="n">
        <v>0.04</v>
      </c>
      <c r="Q5" s="10" t="n">
        <v>-0.35</v>
      </c>
      <c r="R5" s="10">
        <f>(H5-I5)-(F5-G5)</f>
        <v/>
      </c>
      <c r="S5" s="10">
        <f>(H5+I5)-(F5+G5)</f>
        <v/>
      </c>
      <c r="T5" s="10" t="n">
        <v>1.71</v>
      </c>
      <c r="U5" s="10" t="n">
        <v>0.39</v>
      </c>
      <c r="V5" s="10" t="n">
        <v>1.32</v>
      </c>
      <c r="W5" s="10" t="n">
        <v>3.97</v>
      </c>
      <c r="X5" s="10" t="n">
        <v>2.83</v>
      </c>
      <c r="Z5" s="6" t="inlineStr">
        <is>
          <t>xG Against vs expected</t>
        </is>
      </c>
      <c r="AA5" s="5">
        <f>COUNTIF($K$2:$K$9,"&gt;0")</f>
        <v/>
      </c>
      <c r="AB5" s="5">
        <f>COUNTIF($K$2:$K$9,"&lt;0")</f>
        <v/>
      </c>
    </row>
    <row r="6">
      <c r="A6" s="6" t="inlineStr">
        <is>
          <t>2026-09-19</t>
        </is>
      </c>
      <c r="B6" s="6" t="inlineStr">
        <is>
          <t>Newcastle United</t>
        </is>
      </c>
      <c r="C6" s="6" t="inlineStr">
        <is>
          <t>Away</t>
        </is>
      </c>
      <c r="D6" s="6" t="n">
        <v>1</v>
      </c>
      <c r="E6" s="6" t="n">
        <v>2</v>
      </c>
      <c r="F6" s="9" t="n">
        <v>1.05</v>
      </c>
      <c r="G6" s="9" t="n">
        <v>2.02</v>
      </c>
      <c r="H6" s="9" t="n">
        <v>1.59</v>
      </c>
      <c r="I6" s="9" t="n">
        <v>1.44</v>
      </c>
      <c r="J6" s="9" t="n">
        <v>0.54</v>
      </c>
      <c r="K6" s="9" t="n">
        <v>-0.58</v>
      </c>
      <c r="L6" s="9" t="n">
        <v>0.12</v>
      </c>
      <c r="M6" s="9" t="n">
        <v>-0.57</v>
      </c>
      <c r="N6" s="9" t="n">
        <v>0.32</v>
      </c>
      <c r="O6" s="9" t="n">
        <v>-0.14</v>
      </c>
      <c r="P6" s="9" t="n">
        <v>0.09</v>
      </c>
      <c r="Q6" s="9" t="n">
        <v>-0.31</v>
      </c>
      <c r="R6" s="9">
        <f>(H6-I6)-(F6-G6)</f>
        <v/>
      </c>
      <c r="S6" s="9">
        <f>(H6+I6)-(F6+G6)</f>
        <v/>
      </c>
      <c r="T6" s="9" t="n">
        <v>1.48</v>
      </c>
      <c r="U6" s="9" t="n">
        <v>0.78</v>
      </c>
      <c r="V6" s="9" t="n">
        <v>0.7</v>
      </c>
      <c r="W6" s="9" t="n">
        <v>5.45</v>
      </c>
      <c r="X6" s="9" t="n">
        <v>3.61</v>
      </c>
      <c r="Z6" s="6" t="inlineStr">
        <is>
          <t>Goals For vs expected</t>
        </is>
      </c>
      <c r="AA6" s="5">
        <f>SUMPRODUCT(--($D$2:$D$9&gt;$F$2:$F$9))</f>
        <v/>
      </c>
      <c r="AB6" s="5">
        <f>SUMPRODUCT(--($D$2:$D$9&lt;$F$2:$F$9))</f>
        <v/>
      </c>
    </row>
    <row r="7">
      <c r="A7" s="8" t="inlineStr">
        <is>
          <t>2026-10-11</t>
        </is>
      </c>
      <c r="B7" s="8" t="inlineStr">
        <is>
          <t>Everton</t>
        </is>
      </c>
      <c r="C7" s="8" t="inlineStr">
        <is>
          <t>Home</t>
        </is>
      </c>
      <c r="D7" s="8" t="n">
        <v>2</v>
      </c>
      <c r="E7" s="8" t="n">
        <v>2</v>
      </c>
      <c r="F7" s="10" t="n">
        <v>1.07</v>
      </c>
      <c r="G7" s="10" t="n">
        <v>1.51</v>
      </c>
      <c r="H7" s="10" t="n">
        <v>1.33</v>
      </c>
      <c r="I7" s="10" t="n">
        <v>1.68</v>
      </c>
      <c r="J7" s="10" t="n">
        <v>0.26</v>
      </c>
      <c r="K7" s="10" t="n">
        <v>0.17</v>
      </c>
      <c r="L7" s="10" t="n">
        <v>0.14</v>
      </c>
      <c r="M7" s="10" t="n">
        <v>-0.45</v>
      </c>
      <c r="N7" s="10" t="n">
        <v>0.31</v>
      </c>
      <c r="O7" s="10" t="n">
        <v>0.23</v>
      </c>
      <c r="P7" s="10" t="n">
        <v>0.13</v>
      </c>
      <c r="Q7" s="10" t="n">
        <v>-0.22</v>
      </c>
      <c r="R7" s="10">
        <f>(H7-I7)-(F7-G7)</f>
        <v/>
      </c>
      <c r="S7" s="10">
        <f>(H7+I7)-(F7+G7)</f>
        <v/>
      </c>
      <c r="T7" s="10" t="n">
        <v>1.15</v>
      </c>
      <c r="U7" s="10" t="n">
        <v>1.06</v>
      </c>
      <c r="V7" s="10" t="n">
        <v>0.09</v>
      </c>
      <c r="W7" s="10" t="n">
        <v>6.6</v>
      </c>
      <c r="X7" s="10" t="n">
        <v>4.67</v>
      </c>
      <c r="Z7" s="6" t="inlineStr">
        <is>
          <t>Goals Against vs expected</t>
        </is>
      </c>
      <c r="AA7" s="5">
        <f>SUMPRODUCT(--($E$2:$E$9&gt;$G$2:$G$9))</f>
        <v/>
      </c>
      <c r="AB7" s="5">
        <f>SUMPRODUCT(--($E$2:$E$9&lt;$G$2:$G$9))</f>
        <v/>
      </c>
    </row>
    <row r="8">
      <c r="A8" s="6" t="inlineStr">
        <is>
          <t>2026-10-17</t>
        </is>
      </c>
      <c r="B8" s="6" t="inlineStr">
        <is>
          <t>Fulham</t>
        </is>
      </c>
      <c r="C8" s="6" t="inlineStr">
        <is>
          <t>Away</t>
        </is>
      </c>
      <c r="D8" s="6" t="n">
        <v>0</v>
      </c>
      <c r="E8" s="6" t="n">
        <v>1</v>
      </c>
      <c r="F8" s="9" t="n">
        <v>1.05</v>
      </c>
      <c r="G8" s="9" t="n">
        <v>1.83</v>
      </c>
      <c r="H8" s="9" t="n">
        <v>0.16</v>
      </c>
      <c r="I8" s="9" t="n">
        <v>1.38</v>
      </c>
      <c r="J8" s="9" t="n">
        <v>-0.89</v>
      </c>
      <c r="K8" s="9" t="n">
        <v>-0.45</v>
      </c>
      <c r="L8" s="9" t="n">
        <v>-0.05</v>
      </c>
      <c r="M8" s="9" t="n">
        <v>-0.46</v>
      </c>
      <c r="N8" s="9" t="n">
        <v>-0.84</v>
      </c>
      <c r="O8" s="9" t="n">
        <v>-0.57</v>
      </c>
      <c r="P8" s="9" t="n">
        <v>-0.02</v>
      </c>
      <c r="Q8" s="9" t="n">
        <v>-0.28</v>
      </c>
      <c r="R8" s="9">
        <f>(H8-I8)-(F8-G8)</f>
        <v/>
      </c>
      <c r="S8" s="9">
        <f>(H8+I8)-(F8+G8)</f>
        <v/>
      </c>
      <c r="T8" s="9" t="n">
        <v>0.39</v>
      </c>
      <c r="U8" s="9" t="n">
        <v>0.88</v>
      </c>
      <c r="V8" s="9" t="n">
        <v>-0.49</v>
      </c>
      <c r="W8" s="9" t="n">
        <v>6.99</v>
      </c>
      <c r="X8" s="9" t="n">
        <v>5.55</v>
      </c>
      <c r="Z8" s="12" t="inlineStr">
        <is>
          <t>For: Above = beat expectation. Against: Above = conceded more than expected (worse).</t>
        </is>
      </c>
    </row>
    <row r="9">
      <c r="A9" s="8" t="inlineStr">
        <is>
          <t>2026-10-25</t>
        </is>
      </c>
      <c r="B9" s="8" t="inlineStr">
        <is>
          <t>Brentford</t>
        </is>
      </c>
      <c r="C9" s="8" t="inlineStr">
        <is>
          <t>Home</t>
        </is>
      </c>
      <c r="D9" s="8" t="n">
        <v>1</v>
      </c>
      <c r="E9" s="8" t="n">
        <v>1</v>
      </c>
      <c r="F9" s="10" t="n">
        <v>1.06</v>
      </c>
      <c r="G9" s="10" t="n">
        <v>1.91</v>
      </c>
      <c r="H9" s="10" t="n">
        <v>1.57</v>
      </c>
      <c r="I9" s="10" t="n">
        <v>1.74</v>
      </c>
      <c r="J9" s="10" t="n">
        <v>0.51</v>
      </c>
      <c r="K9" s="10" t="n">
        <v>-0.17</v>
      </c>
      <c r="L9" s="10" t="n">
        <v>0.09</v>
      </c>
      <c r="M9" s="10" t="n">
        <v>-0.43</v>
      </c>
      <c r="N9" s="10" t="n">
        <v>0.44</v>
      </c>
      <c r="O9" s="10" t="n">
        <v>-0.31</v>
      </c>
      <c r="P9" s="10" t="n">
        <v>0.03</v>
      </c>
      <c r="Q9" s="10" t="n">
        <v>-0.28</v>
      </c>
      <c r="R9" s="10">
        <f>(H9-I9)-(F9-G9)</f>
        <v/>
      </c>
      <c r="S9" s="10">
        <f>(H9+I9)-(F9+G9)</f>
        <v/>
      </c>
      <c r="T9" s="10" t="n">
        <v>1.28</v>
      </c>
      <c r="U9" s="10" t="n">
        <v>0.84</v>
      </c>
      <c r="V9" s="10" t="n">
        <v>0.44</v>
      </c>
      <c r="W9" s="10" t="n">
        <v>8.27</v>
      </c>
      <c r="X9" s="10" t="n">
        <v>6.39</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5</v>
      </c>
      <c r="D37" s="16" t="n">
        <v>3</v>
      </c>
      <c r="E37" s="20" t="n">
        <v>0.17</v>
      </c>
      <c r="F37" s="20" t="n">
        <v>0.36</v>
      </c>
      <c r="G37" s="20" t="n">
        <v>0.1</v>
      </c>
      <c r="H37" s="20" t="n">
        <v>0.1</v>
      </c>
      <c r="AF37" s="11" t="inlineStr">
        <is>
          <t>Hull: closing odds to win, by opponent (league table order)</t>
        </is>
      </c>
    </row>
    <row r="38">
      <c r="A38" s="16" t="inlineStr">
        <is>
          <t>Away</t>
        </is>
      </c>
      <c r="B38" s="16" t="n">
        <v>4</v>
      </c>
      <c r="C38" s="16" t="n">
        <v>4</v>
      </c>
      <c r="D38" s="16" t="n">
        <v>5</v>
      </c>
      <c r="E38" s="20" t="n">
        <v>0.77</v>
      </c>
      <c r="F38" s="20" t="n">
        <v>0.58</v>
      </c>
      <c r="G38" s="20" t="n">
        <v>-0.8100000000000001</v>
      </c>
      <c r="H38" s="20" t="n">
        <v>-0.93</v>
      </c>
      <c r="AF38" s="4" t="inlineStr">
        <is>
          <t>League Table</t>
        </is>
      </c>
      <c r="AG38" s="4" t="inlineStr">
        <is>
          <t>Home Odds</t>
        </is>
      </c>
      <c r="AH38" s="4" t="inlineStr">
        <is>
          <t>Away Odds</t>
        </is>
      </c>
    </row>
    <row r="39">
      <c r="A39" s="21" t="inlineStr">
        <is>
          <t>Total</t>
        </is>
      </c>
      <c r="B39" s="21" t="n">
        <v>8</v>
      </c>
      <c r="C39" s="21" t="n">
        <v>9</v>
      </c>
      <c r="D39" s="21" t="n">
        <v>8</v>
      </c>
      <c r="E39" s="22" t="n">
        <v>0.47</v>
      </c>
      <c r="F39" s="22" t="n">
        <v>0.36</v>
      </c>
      <c r="G39" s="22" t="n">
        <v>-0.35</v>
      </c>
      <c r="H39" s="22" t="n">
        <v>-0.18</v>
      </c>
      <c r="AF39" s="6" t="inlineStr">
        <is>
          <t>1. Manchester City</t>
        </is>
      </c>
      <c r="AG39" s="15" t="n"/>
      <c r="AH39" s="15" t="n"/>
    </row>
    <row r="40">
      <c r="AF40" s="6" t="inlineStr">
        <is>
          <t>2. Arsenal</t>
        </is>
      </c>
      <c r="AG40" s="15" t="n"/>
      <c r="AH40" s="15" t="n"/>
    </row>
    <row r="41">
      <c r="AF41" s="6" t="inlineStr">
        <is>
          <t>3. Brighton &amp; Hove Albion</t>
        </is>
      </c>
      <c r="AG41" s="15" t="n"/>
      <c r="AH41" s="15" t="n"/>
    </row>
    <row r="42">
      <c r="AF42" s="6" t="inlineStr">
        <is>
          <t>4. Liverpool</t>
        </is>
      </c>
      <c r="AG42" s="15" t="n"/>
      <c r="AH42" s="15" t="n"/>
    </row>
    <row r="43">
      <c r="AF43" s="6" t="inlineStr">
        <is>
          <t>5. Chelsea</t>
        </is>
      </c>
      <c r="AG43" s="15" t="n"/>
      <c r="AH43" s="30" t="n">
        <v>12</v>
      </c>
    </row>
    <row r="44">
      <c r="AF44" s="6" t="inlineStr">
        <is>
          <t>6. Brentford</t>
        </is>
      </c>
      <c r="AG44" s="30" t="n">
        <v>5</v>
      </c>
      <c r="AH44" s="15" t="n"/>
    </row>
    <row r="45">
      <c r="AF45" s="6" t="inlineStr">
        <is>
          <t>7. Leeds United</t>
        </is>
      </c>
      <c r="AG45" s="15" t="n"/>
      <c r="AH45" s="15" t="n"/>
    </row>
    <row r="46">
      <c r="AF46" s="6" t="inlineStr">
        <is>
          <t>8. Newcastle United</t>
        </is>
      </c>
      <c r="AG46" s="15" t="n"/>
      <c r="AH46" s="25" t="n">
        <v>5</v>
      </c>
    </row>
    <row r="47">
      <c r="AF47" s="6" t="inlineStr">
        <is>
          <t>9. Aston Villa</t>
        </is>
      </c>
      <c r="AG47" s="30" t="n">
        <v>3.8</v>
      </c>
      <c r="AH47" s="15" t="n"/>
    </row>
    <row r="48">
      <c r="AF48" s="23" t="inlineStr">
        <is>
          <t>10. Hull</t>
        </is>
      </c>
      <c r="AG48" s="24" t="n"/>
      <c r="AH48" s="24" t="n"/>
    </row>
    <row r="49">
      <c r="AF49" s="6" t="inlineStr">
        <is>
          <t>11. Everton</t>
        </is>
      </c>
      <c r="AG49" s="30" t="n">
        <v>4</v>
      </c>
      <c r="AH49" s="15" t="n"/>
    </row>
    <row r="50">
      <c r="AF50" s="6" t="inlineStr">
        <is>
          <t>12. Ipswich</t>
        </is>
      </c>
      <c r="AG50" s="15" t="n"/>
      <c r="AH50" s="15" t="n"/>
    </row>
    <row r="51">
      <c r="AF51" s="6" t="inlineStr">
        <is>
          <t>13. Bournemouth</t>
        </is>
      </c>
      <c r="AG51" s="15" t="n"/>
      <c r="AH51" s="15" t="n"/>
    </row>
    <row r="52">
      <c r="AF52" s="6" t="inlineStr">
        <is>
          <t>14. Tottenham Hotspur</t>
        </is>
      </c>
      <c r="AG52" s="15" t="n"/>
      <c r="AH52" s="15" t="n"/>
    </row>
    <row r="53">
      <c r="AF53" s="6" t="inlineStr">
        <is>
          <t>15. Fulham</t>
        </is>
      </c>
      <c r="AG53" s="15" t="n"/>
      <c r="AH53" s="25" t="n">
        <v>5</v>
      </c>
    </row>
    <row r="54">
      <c r="AF54" s="6" t="inlineStr">
        <is>
          <t>16. Manchester United</t>
        </is>
      </c>
      <c r="AG54" s="26" t="n">
        <v>8.5</v>
      </c>
      <c r="AH54" s="15" t="n"/>
    </row>
    <row r="55">
      <c r="AF55" s="6" t="inlineStr">
        <is>
          <t>17. Crystal Palace</t>
        </is>
      </c>
      <c r="AG55" s="15" t="n"/>
      <c r="AH55" s="15" t="n"/>
    </row>
    <row r="56">
      <c r="AF56" s="6" t="inlineStr">
        <is>
          <t>18. Nottingham Forest</t>
        </is>
      </c>
      <c r="AG56" s="15" t="n"/>
      <c r="AH56" s="15" t="n"/>
    </row>
    <row r="57">
      <c r="AF57" s="6" t="inlineStr">
        <is>
          <t>19. Coventry</t>
        </is>
      </c>
      <c r="AG57" s="15" t="n"/>
      <c r="AH57" s="26" t="n">
        <v>4.75</v>
      </c>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Sunderland</t>
        </is>
      </c>
      <c r="C2" s="6" t="inlineStr">
        <is>
          <t>Home</t>
        </is>
      </c>
      <c r="D2" s="6" t="n">
        <v>2</v>
      </c>
      <c r="E2" s="6" t="n">
        <v>1</v>
      </c>
      <c r="F2" s="9" t="n">
        <v>1.29</v>
      </c>
      <c r="G2" s="9" t="n">
        <v>1.31</v>
      </c>
      <c r="H2" s="9" t="n">
        <v>1.8</v>
      </c>
      <c r="I2" s="9" t="n">
        <v>0.66</v>
      </c>
      <c r="J2" s="9" t="n">
        <v>0.51</v>
      </c>
      <c r="K2" s="9" t="n">
        <v>-0.65</v>
      </c>
      <c r="L2" s="9" t="n">
        <v>0.51</v>
      </c>
      <c r="M2" s="9" t="n">
        <v>-0.65</v>
      </c>
      <c r="N2" s="9" t="n">
        <v>0.28</v>
      </c>
      <c r="O2" s="9" t="n">
        <v>-1.15</v>
      </c>
      <c r="P2" s="9" t="n">
        <v>0.28</v>
      </c>
      <c r="Q2" s="9" t="n">
        <v>-1.15</v>
      </c>
      <c r="R2" s="9">
        <f>(H2-I2)-(F2-G2)</f>
        <v/>
      </c>
      <c r="S2" s="9">
        <f>(H2+I2)-(F2+G2)</f>
        <v/>
      </c>
      <c r="T2" s="9" t="n">
        <v>2.17</v>
      </c>
      <c r="U2" s="9" t="n">
        <v>1.35</v>
      </c>
      <c r="V2" s="9" t="n">
        <v>0.8100000000000001</v>
      </c>
      <c r="W2" s="9" t="n">
        <v>2.17</v>
      </c>
      <c r="X2" s="9" t="n">
        <v>1.35</v>
      </c>
      <c r="Z2" s="12" t="inlineStr">
        <is>
          <t>Expected = the pre-match market xG (what the odds implied) for each side.</t>
        </is>
      </c>
    </row>
    <row r="3">
      <c r="A3" s="8" t="inlineStr">
        <is>
          <t>2026-08-30</t>
        </is>
      </c>
      <c r="B3" s="8" t="inlineStr">
        <is>
          <t>Manchester United</t>
        </is>
      </c>
      <c r="C3" s="8" t="inlineStr">
        <is>
          <t>Away</t>
        </is>
      </c>
      <c r="D3" s="8" t="n">
        <v>2</v>
      </c>
      <c r="E3" s="8" t="n">
        <v>5</v>
      </c>
      <c r="F3" s="10" t="n">
        <v>0.87</v>
      </c>
      <c r="G3" s="10" t="n">
        <v>2.22</v>
      </c>
      <c r="H3" s="10" t="n">
        <v>2.06</v>
      </c>
      <c r="I3" s="10" t="n">
        <v>4.77</v>
      </c>
      <c r="J3" s="10" t="n">
        <v>1.19</v>
      </c>
      <c r="K3" s="10" t="n">
        <v>2.55</v>
      </c>
      <c r="L3" s="10" t="n">
        <v>0.85</v>
      </c>
      <c r="M3" s="10" t="n">
        <v>0.95</v>
      </c>
      <c r="N3" s="10" t="n">
        <v>1.1</v>
      </c>
      <c r="O3" s="10" t="n">
        <v>3.15</v>
      </c>
      <c r="P3" s="10" t="n">
        <v>0.6899999999999999</v>
      </c>
      <c r="Q3" s="10" t="n">
        <v>1</v>
      </c>
      <c r="R3" s="10">
        <f>(H3-I3)-(F3-G3)</f>
        <v/>
      </c>
      <c r="S3" s="10">
        <f>(H3+I3)-(F3+G3)</f>
        <v/>
      </c>
      <c r="T3" s="10" t="n">
        <v>0.4</v>
      </c>
      <c r="U3" s="10" t="n">
        <v>0.59</v>
      </c>
      <c r="V3" s="10" t="n">
        <v>-0.19</v>
      </c>
      <c r="W3" s="10" t="n">
        <v>2.57</v>
      </c>
      <c r="X3" s="10" t="n">
        <v>1.94</v>
      </c>
      <c r="Z3" s="4" t="inlineStr">
        <is>
          <t>Games vs expected</t>
        </is>
      </c>
      <c r="AA3" s="4" t="inlineStr">
        <is>
          <t>Above</t>
        </is>
      </c>
      <c r="AB3" s="4" t="inlineStr">
        <is>
          <t>Below</t>
        </is>
      </c>
    </row>
    <row r="4">
      <c r="A4" s="6" t="inlineStr">
        <is>
          <t>2026-09-04</t>
        </is>
      </c>
      <c r="B4" s="6" t="inlineStr">
        <is>
          <t>Liverpool</t>
        </is>
      </c>
      <c r="C4" s="6" t="inlineStr">
        <is>
          <t>Home</t>
        </is>
      </c>
      <c r="D4" s="6" t="n">
        <v>0</v>
      </c>
      <c r="E4" s="6" t="n">
        <v>2</v>
      </c>
      <c r="F4" s="9" t="n">
        <v>1.2</v>
      </c>
      <c r="G4" s="9" t="n">
        <v>2.35</v>
      </c>
      <c r="H4" s="9" t="n">
        <v>0.75</v>
      </c>
      <c r="I4" s="9" t="n">
        <v>0.6899999999999999</v>
      </c>
      <c r="J4" s="9" t="n">
        <v>-0.45</v>
      </c>
      <c r="K4" s="9" t="n">
        <v>-1.66</v>
      </c>
      <c r="L4" s="9" t="n">
        <v>0.41</v>
      </c>
      <c r="M4" s="9" t="n">
        <v>0.08</v>
      </c>
      <c r="N4" s="9" t="n">
        <v>-0.38</v>
      </c>
      <c r="O4" s="9" t="n">
        <v>-1.46</v>
      </c>
      <c r="P4" s="9" t="n">
        <v>0.33</v>
      </c>
      <c r="Q4" s="9" t="n">
        <v>0.18</v>
      </c>
      <c r="R4" s="9">
        <f>(H4-I4)-(F4-G4)</f>
        <v/>
      </c>
      <c r="S4" s="9">
        <f>(H4+I4)-(F4+G4)</f>
        <v/>
      </c>
      <c r="T4" s="9" t="n">
        <v>1.36</v>
      </c>
      <c r="U4" s="9" t="n">
        <v>0.73</v>
      </c>
      <c r="V4" s="9" t="n">
        <v>0.63</v>
      </c>
      <c r="W4" s="9" t="n">
        <v>3.93</v>
      </c>
      <c r="X4" s="9" t="n">
        <v>2.68</v>
      </c>
      <c r="Z4" s="6" t="inlineStr">
        <is>
          <t>xG For vs expected</t>
        </is>
      </c>
      <c r="AA4" s="5">
        <f>COUNTIF($J$2:$J$9,"&gt;0")</f>
        <v/>
      </c>
      <c r="AB4" s="5">
        <f>COUNTIF($J$2:$J$9,"&lt;0")</f>
        <v/>
      </c>
    </row>
    <row r="5">
      <c r="A5" s="8" t="inlineStr">
        <is>
          <t>2026-09-12</t>
        </is>
      </c>
      <c r="B5" s="8" t="inlineStr">
        <is>
          <t>Crystal Palace</t>
        </is>
      </c>
      <c r="C5" s="8" t="inlineStr">
        <is>
          <t>Away</t>
        </is>
      </c>
      <c r="D5" s="8" t="n">
        <v>3</v>
      </c>
      <c r="E5" s="8" t="n">
        <v>2</v>
      </c>
      <c r="F5" s="10" t="n">
        <v>1.1</v>
      </c>
      <c r="G5" s="10" t="n">
        <v>1.72</v>
      </c>
      <c r="H5" s="10" t="n">
        <v>1.68</v>
      </c>
      <c r="I5" s="10" t="n">
        <v>0.62</v>
      </c>
      <c r="J5" s="10" t="n">
        <v>0.58</v>
      </c>
      <c r="K5" s="10" t="n">
        <v>-1.1</v>
      </c>
      <c r="L5" s="10" t="n">
        <v>0.45</v>
      </c>
      <c r="M5" s="10" t="n">
        <v>-0.22</v>
      </c>
      <c r="N5" s="10" t="n">
        <v>0.24</v>
      </c>
      <c r="O5" s="10" t="n">
        <v>-1.42</v>
      </c>
      <c r="P5" s="10" t="n">
        <v>0.31</v>
      </c>
      <c r="Q5" s="10" t="n">
        <v>-0.22</v>
      </c>
      <c r="R5" s="10">
        <f>(H5-I5)-(F5-G5)</f>
        <v/>
      </c>
      <c r="S5" s="10">
        <f>(H5+I5)-(F5+G5)</f>
        <v/>
      </c>
      <c r="T5" s="10" t="n">
        <v>2.13</v>
      </c>
      <c r="U5" s="10" t="n">
        <v>0.97</v>
      </c>
      <c r="V5" s="10" t="n">
        <v>1.16</v>
      </c>
      <c r="W5" s="10" t="n">
        <v>6.06</v>
      </c>
      <c r="X5" s="10" t="n">
        <v>3.65</v>
      </c>
      <c r="Z5" s="6" t="inlineStr">
        <is>
          <t>xG Against vs expected</t>
        </is>
      </c>
      <c r="AA5" s="5">
        <f>COUNTIF($K$2:$K$9,"&gt;0")</f>
        <v/>
      </c>
      <c r="AB5" s="5">
        <f>COUNTIF($K$2:$K$9,"&lt;0")</f>
        <v/>
      </c>
    </row>
    <row r="6">
      <c r="A6" s="6" t="inlineStr">
        <is>
          <t>2026-09-19</t>
        </is>
      </c>
      <c r="B6" s="6" t="inlineStr">
        <is>
          <t>Everton</t>
        </is>
      </c>
      <c r="C6" s="6" t="inlineStr">
        <is>
          <t>Away</t>
        </is>
      </c>
      <c r="D6" s="6" t="n">
        <v>0</v>
      </c>
      <c r="E6" s="6" t="n">
        <v>1</v>
      </c>
      <c r="F6" s="9" t="n">
        <v>1.06</v>
      </c>
      <c r="G6" s="9" t="n">
        <v>1.82</v>
      </c>
      <c r="H6" s="9" t="n">
        <v>1.44</v>
      </c>
      <c r="I6" s="9" t="n">
        <v>2.24</v>
      </c>
      <c r="J6" s="9" t="n">
        <v>0.38</v>
      </c>
      <c r="K6" s="9" t="n">
        <v>0.42</v>
      </c>
      <c r="L6" s="9" t="n">
        <v>0.44</v>
      </c>
      <c r="M6" s="9" t="n">
        <v>-0.09</v>
      </c>
      <c r="N6" s="9" t="n">
        <v>0.44</v>
      </c>
      <c r="O6" s="9" t="n">
        <v>0.52</v>
      </c>
      <c r="P6" s="9" t="n">
        <v>0.33</v>
      </c>
      <c r="Q6" s="9" t="n">
        <v>-0.07000000000000001</v>
      </c>
      <c r="R6" s="9">
        <f>(H6-I6)-(F6-G6)</f>
        <v/>
      </c>
      <c r="S6" s="9">
        <f>(H6+I6)-(F6+G6)</f>
        <v/>
      </c>
      <c r="T6" s="9" t="n">
        <v>0.93</v>
      </c>
      <c r="U6" s="9" t="n">
        <v>0.89</v>
      </c>
      <c r="V6" s="9" t="n">
        <v>0.04</v>
      </c>
      <c r="W6" s="9" t="n">
        <v>6.99</v>
      </c>
      <c r="X6" s="9" t="n">
        <v>4.54</v>
      </c>
      <c r="Z6" s="6" t="inlineStr">
        <is>
          <t>Goals For vs expected</t>
        </is>
      </c>
      <c r="AA6" s="5">
        <f>SUMPRODUCT(--($D$2:$D$9&gt;$F$2:$F$9))</f>
        <v/>
      </c>
      <c r="AB6" s="5">
        <f>SUMPRODUCT(--($D$2:$D$9&lt;$F$2:$F$9))</f>
        <v/>
      </c>
    </row>
    <row r="7">
      <c r="A7" s="8" t="inlineStr">
        <is>
          <t>2026-10-10</t>
        </is>
      </c>
      <c r="B7" s="8" t="inlineStr">
        <is>
          <t>Fulham</t>
        </is>
      </c>
      <c r="C7" s="8" t="inlineStr">
        <is>
          <t>Home</t>
        </is>
      </c>
      <c r="D7" s="8" t="n">
        <v>2</v>
      </c>
      <c r="E7" s="8" t="n">
        <v>1</v>
      </c>
      <c r="F7" s="10" t="n">
        <v>1.38</v>
      </c>
      <c r="G7" s="10" t="n">
        <v>1.47</v>
      </c>
      <c r="H7" s="10" t="n">
        <v>1.15</v>
      </c>
      <c r="I7" s="10" t="n">
        <v>1.81</v>
      </c>
      <c r="J7" s="10" t="n">
        <v>-0.23</v>
      </c>
      <c r="K7" s="10" t="n">
        <v>0.34</v>
      </c>
      <c r="L7" s="10" t="n">
        <v>0.33</v>
      </c>
      <c r="M7" s="10" t="n">
        <v>-0.02</v>
      </c>
      <c r="N7" s="10" t="n">
        <v>-0.09</v>
      </c>
      <c r="O7" s="10" t="n">
        <v>0.32</v>
      </c>
      <c r="P7" s="10" t="n">
        <v>0.26</v>
      </c>
      <c r="Q7" s="10" t="n">
        <v>-0</v>
      </c>
      <c r="R7" s="10">
        <f>(H7-I7)-(F7-G7)</f>
        <v/>
      </c>
      <c r="S7" s="10">
        <f>(H7+I7)-(F7+G7)</f>
        <v/>
      </c>
      <c r="T7" s="10" t="n">
        <v>0.95</v>
      </c>
      <c r="U7" s="10" t="n">
        <v>1.31</v>
      </c>
      <c r="V7" s="10" t="n">
        <v>-0.36</v>
      </c>
      <c r="W7" s="10" t="n">
        <v>7.95</v>
      </c>
      <c r="X7" s="10" t="n">
        <v>5.85</v>
      </c>
      <c r="Z7" s="6" t="inlineStr">
        <is>
          <t>Goals Against vs expected</t>
        </is>
      </c>
      <c r="AA7" s="5">
        <f>SUMPRODUCT(--($E$2:$E$9&gt;$G$2:$G$9))</f>
        <v/>
      </c>
      <c r="AB7" s="5">
        <f>SUMPRODUCT(--($E$2:$E$9&lt;$G$2:$G$9))</f>
        <v/>
      </c>
    </row>
    <row r="8">
      <c r="A8" s="6" t="inlineStr">
        <is>
          <t>2026-10-17</t>
        </is>
      </c>
      <c r="B8" s="6" t="inlineStr">
        <is>
          <t>Manchester City</t>
        </is>
      </c>
      <c r="C8" s="6" t="inlineStr">
        <is>
          <t>Away</t>
        </is>
      </c>
      <c r="D8" s="6" t="n">
        <v>2</v>
      </c>
      <c r="E8" s="6" t="n">
        <v>3</v>
      </c>
      <c r="F8" s="9" t="n">
        <v>0.79</v>
      </c>
      <c r="G8" s="9" t="n">
        <v>2.76</v>
      </c>
      <c r="H8" s="9" t="n">
        <v>1.86</v>
      </c>
      <c r="I8" s="9" t="n">
        <v>3.35</v>
      </c>
      <c r="J8" s="9" t="n">
        <v>1.07</v>
      </c>
      <c r="K8" s="9" t="n">
        <v>0.59</v>
      </c>
      <c r="L8" s="9" t="n">
        <v>0.42</v>
      </c>
      <c r="M8" s="9" t="n">
        <v>0.19</v>
      </c>
      <c r="N8" s="9" t="n">
        <v>0.91</v>
      </c>
      <c r="O8" s="9" t="n">
        <v>0.83</v>
      </c>
      <c r="P8" s="9" t="n">
        <v>0.37</v>
      </c>
      <c r="Q8" s="9" t="n">
        <v>0.32</v>
      </c>
      <c r="R8" s="9">
        <f>(H8-I8)-(F8-G8)</f>
        <v/>
      </c>
      <c r="S8" s="9">
        <f>(H8+I8)-(F8+G8)</f>
        <v/>
      </c>
      <c r="T8" s="9" t="n">
        <v>0.71</v>
      </c>
      <c r="U8" s="9" t="n">
        <v>0.38</v>
      </c>
      <c r="V8" s="9" t="n">
        <v>0.33</v>
      </c>
      <c r="W8" s="9" t="n">
        <v>8.65</v>
      </c>
      <c r="X8" s="9" t="n">
        <v>6.23</v>
      </c>
      <c r="Z8" s="12" t="inlineStr">
        <is>
          <t>For: Above = beat expectation. Against: Above = conceded more than expected (worse).</t>
        </is>
      </c>
    </row>
    <row r="9">
      <c r="A9" s="8" t="inlineStr">
        <is>
          <t>2026-10-23</t>
        </is>
      </c>
      <c r="B9" s="8" t="inlineStr">
        <is>
          <t>Nottingham Forest</t>
        </is>
      </c>
      <c r="C9" s="8" t="inlineStr">
        <is>
          <t>Home</t>
        </is>
      </c>
      <c r="D9" s="8" t="n">
        <v>1</v>
      </c>
      <c r="E9" s="8" t="n">
        <v>1</v>
      </c>
      <c r="F9" s="10" t="n">
        <v>1.31</v>
      </c>
      <c r="G9" s="10" t="n">
        <v>1.54</v>
      </c>
      <c r="H9" s="10" t="n">
        <v>0.46</v>
      </c>
      <c r="I9" s="10" t="n">
        <v>2.29</v>
      </c>
      <c r="J9" s="10" t="n">
        <v>-0.85</v>
      </c>
      <c r="K9" s="10" t="n">
        <v>0.75</v>
      </c>
      <c r="L9" s="10" t="n">
        <v>0.08</v>
      </c>
      <c r="M9" s="10" t="n">
        <v>-0.11</v>
      </c>
      <c r="N9" s="10" t="n">
        <v>-0.6</v>
      </c>
      <c r="O9" s="10" t="n">
        <v>0.4</v>
      </c>
      <c r="P9" s="10" t="n">
        <v>0.09</v>
      </c>
      <c r="Q9" s="10" t="n">
        <v>-0.14</v>
      </c>
      <c r="R9" s="10">
        <f>(H9-I9)-(F9-G9)</f>
        <v/>
      </c>
      <c r="S9" s="10">
        <f>(H9+I9)-(F9+G9)</f>
        <v/>
      </c>
      <c r="T9" s="10" t="n">
        <v>0.33</v>
      </c>
      <c r="U9" s="10" t="n">
        <v>1.22</v>
      </c>
      <c r="V9" s="10" t="n">
        <v>-0.89</v>
      </c>
      <c r="W9" s="10" t="n">
        <v>8.98</v>
      </c>
      <c r="X9" s="10" t="n">
        <v>7.45</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5</v>
      </c>
      <c r="D37" s="16" t="n">
        <v>5</v>
      </c>
      <c r="E37" s="20" t="n">
        <v>0.05</v>
      </c>
      <c r="F37" s="20" t="n">
        <v>0.29</v>
      </c>
      <c r="G37" s="20" t="n">
        <v>-0.5600000000000001</v>
      </c>
      <c r="H37" s="20" t="n">
        <v>-0.12</v>
      </c>
      <c r="AF37" s="11" t="inlineStr">
        <is>
          <t>Ipswich: closing odds to win, by opponent (league table order)</t>
        </is>
      </c>
    </row>
    <row r="38">
      <c r="A38" s="16" t="inlineStr">
        <is>
          <t>Away</t>
        </is>
      </c>
      <c r="B38" s="16" t="n">
        <v>4</v>
      </c>
      <c r="C38" s="16" t="n">
        <v>7</v>
      </c>
      <c r="D38" s="16" t="n">
        <v>11</v>
      </c>
      <c r="E38" s="20" t="n">
        <v>0.18</v>
      </c>
      <c r="F38" s="20" t="n">
        <v>0.22</v>
      </c>
      <c r="G38" s="20" t="n">
        <v>1.42</v>
      </c>
      <c r="H38" s="20" t="n">
        <v>1.23</v>
      </c>
      <c r="AF38" s="4" t="inlineStr">
        <is>
          <t>League Table</t>
        </is>
      </c>
      <c r="AG38" s="4" t="inlineStr">
        <is>
          <t>Home Odds</t>
        </is>
      </c>
      <c r="AH38" s="4" t="inlineStr">
        <is>
          <t>Away Odds</t>
        </is>
      </c>
    </row>
    <row r="39">
      <c r="A39" s="21" t="inlineStr">
        <is>
          <t>Total</t>
        </is>
      </c>
      <c r="B39" s="21" t="n">
        <v>8</v>
      </c>
      <c r="C39" s="21" t="n">
        <v>12</v>
      </c>
      <c r="D39" s="21" t="n">
        <v>16</v>
      </c>
      <c r="E39" s="22" t="n">
        <v>0.12</v>
      </c>
      <c r="F39" s="22" t="n">
        <v>0.22</v>
      </c>
      <c r="G39" s="22" t="n">
        <v>0.43</v>
      </c>
      <c r="H39" s="22" t="n">
        <v>0</v>
      </c>
      <c r="AF39" s="6" t="inlineStr">
        <is>
          <t>1. Manchester City</t>
        </is>
      </c>
      <c r="AG39" s="15" t="n"/>
      <c r="AH39" s="25" t="n">
        <v>11</v>
      </c>
    </row>
    <row r="40">
      <c r="AF40" s="6" t="inlineStr">
        <is>
          <t>2. Arsenal</t>
        </is>
      </c>
      <c r="AG40" s="15" t="n"/>
      <c r="AH40" s="15" t="n"/>
    </row>
    <row r="41">
      <c r="AF41" s="6" t="inlineStr">
        <is>
          <t>3. Brighton &amp; Hove Albion</t>
        </is>
      </c>
      <c r="AG41" s="15" t="n"/>
      <c r="AH41" s="15" t="n"/>
    </row>
    <row r="42">
      <c r="AF42" s="6" t="inlineStr">
        <is>
          <t>4. Liverpool</t>
        </is>
      </c>
      <c r="AG42" s="25" t="n">
        <v>5</v>
      </c>
      <c r="AH42" s="15" t="n"/>
    </row>
    <row r="43">
      <c r="AF43" s="6" t="inlineStr">
        <is>
          <t>5. Chelsea</t>
        </is>
      </c>
      <c r="AG43" s="15" t="n"/>
      <c r="AH43" s="15" t="n"/>
    </row>
    <row r="44">
      <c r="AF44" s="6" t="inlineStr">
        <is>
          <t>6. Brentford</t>
        </is>
      </c>
      <c r="AG44" s="15" t="n"/>
      <c r="AH44" s="15" t="n"/>
    </row>
    <row r="45">
      <c r="AF45" s="6" t="inlineStr">
        <is>
          <t>7. Leeds United</t>
        </is>
      </c>
      <c r="AG45" s="15" t="n"/>
      <c r="AH45" s="15" t="n"/>
    </row>
    <row r="46">
      <c r="AF46" s="6" t="inlineStr">
        <is>
          <t>8. Newcastle United</t>
        </is>
      </c>
      <c r="AG46" s="15" t="n"/>
      <c r="AH46" s="15" t="n"/>
    </row>
    <row r="47">
      <c r="AF47" s="6" t="inlineStr">
        <is>
          <t>9. Aston Villa</t>
        </is>
      </c>
      <c r="AG47" s="15" t="n"/>
      <c r="AH47" s="15" t="n"/>
    </row>
    <row r="48">
      <c r="AF48" s="6" t="inlineStr">
        <is>
          <t>10. Hull</t>
        </is>
      </c>
      <c r="AG48" s="15" t="n"/>
      <c r="AH48" s="15" t="n"/>
    </row>
    <row r="49">
      <c r="AF49" s="6" t="inlineStr">
        <is>
          <t>11. Everton</t>
        </is>
      </c>
      <c r="AG49" s="15" t="n"/>
      <c r="AH49" s="25" t="n">
        <v>4.5</v>
      </c>
    </row>
    <row r="50">
      <c r="AF50" s="23" t="inlineStr">
        <is>
          <t>12. Ipswich</t>
        </is>
      </c>
      <c r="AG50" s="24" t="n"/>
      <c r="AH50" s="24" t="n"/>
    </row>
    <row r="51">
      <c r="AF51" s="6" t="inlineStr">
        <is>
          <t>13. Bournemouth</t>
        </is>
      </c>
      <c r="AG51" s="15" t="n"/>
      <c r="AH51" s="15" t="n"/>
    </row>
    <row r="52">
      <c r="AF52" s="6" t="inlineStr">
        <is>
          <t>14. Tottenham Hotspur</t>
        </is>
      </c>
      <c r="AG52" s="15" t="n"/>
      <c r="AH52" s="15" t="n"/>
    </row>
    <row r="53">
      <c r="AF53" s="6" t="inlineStr">
        <is>
          <t>15. Fulham</t>
        </is>
      </c>
      <c r="AG53" s="26" t="n">
        <v>3</v>
      </c>
      <c r="AH53" s="15" t="n"/>
    </row>
    <row r="54">
      <c r="AF54" s="6" t="inlineStr">
        <is>
          <t>16. Manchester United</t>
        </is>
      </c>
      <c r="AG54" s="15" t="n"/>
      <c r="AH54" s="25" t="n">
        <v>8</v>
      </c>
    </row>
    <row r="55">
      <c r="AF55" s="6" t="inlineStr">
        <is>
          <t>17. Crystal Palace</t>
        </is>
      </c>
      <c r="AG55" s="15" t="n"/>
      <c r="AH55" s="26" t="n">
        <v>3.3</v>
      </c>
    </row>
    <row r="56">
      <c r="AF56" s="6" t="inlineStr">
        <is>
          <t>18. Nottingham Forest</t>
        </is>
      </c>
      <c r="AG56" s="30" t="n">
        <v>3.2</v>
      </c>
      <c r="AH56" s="15" t="n"/>
    </row>
    <row r="57">
      <c r="AF57" s="6" t="inlineStr">
        <is>
          <t>19. Coventry</t>
        </is>
      </c>
      <c r="AG57" s="15" t="n"/>
      <c r="AH57" s="15" t="n"/>
    </row>
    <row r="58">
      <c r="AF58" s="6" t="inlineStr">
        <is>
          <t>20. Sunderland</t>
        </is>
      </c>
      <c r="AG58" s="26" t="n">
        <v>2.8</v>
      </c>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Nottingham Forest</t>
        </is>
      </c>
      <c r="C2" s="6" t="inlineStr">
        <is>
          <t>Away</t>
        </is>
      </c>
      <c r="D2" s="6" t="n">
        <v>1</v>
      </c>
      <c r="E2" s="6" t="n">
        <v>0</v>
      </c>
      <c r="F2" s="9" t="n">
        <v>1.2</v>
      </c>
      <c r="G2" s="9" t="n">
        <v>1.43</v>
      </c>
      <c r="H2" s="9" t="n">
        <v>0.47</v>
      </c>
      <c r="I2" s="9" t="n">
        <v>0.66</v>
      </c>
      <c r="J2" s="9" t="n">
        <v>-0.73</v>
      </c>
      <c r="K2" s="9" t="n">
        <v>-0.77</v>
      </c>
      <c r="L2" s="9" t="n">
        <v>-0.73</v>
      </c>
      <c r="M2" s="9" t="n">
        <v>-0.77</v>
      </c>
      <c r="N2" s="9" t="n">
        <v>-0.47</v>
      </c>
      <c r="O2" s="9" t="n">
        <v>-1.34</v>
      </c>
      <c r="P2" s="9" t="n">
        <v>-0.47</v>
      </c>
      <c r="Q2" s="9" t="n">
        <v>-1.34</v>
      </c>
      <c r="R2" s="9">
        <f>(H2-I2)-(F2-G2)</f>
        <v/>
      </c>
      <c r="S2" s="9">
        <f>(H2+I2)-(F2+G2)</f>
        <v/>
      </c>
      <c r="T2" s="9" t="n">
        <v>1.1</v>
      </c>
      <c r="U2" s="9" t="n">
        <v>1.21</v>
      </c>
      <c r="V2" s="9" t="n">
        <v>-0.11</v>
      </c>
      <c r="W2" s="9" t="n">
        <v>1.1</v>
      </c>
      <c r="X2" s="9" t="n">
        <v>1.21</v>
      </c>
      <c r="Z2" s="12" t="inlineStr">
        <is>
          <t>Expected = the pre-match market xG (what the odds implied) for each side.</t>
        </is>
      </c>
    </row>
    <row r="3">
      <c r="A3" s="8" t="inlineStr">
        <is>
          <t>2026-08-30</t>
        </is>
      </c>
      <c r="B3" s="8" t="inlineStr">
        <is>
          <t>Brentford</t>
        </is>
      </c>
      <c r="C3" s="8" t="inlineStr">
        <is>
          <t>Home</t>
        </is>
      </c>
      <c r="D3" s="8" t="n">
        <v>1</v>
      </c>
      <c r="E3" s="8" t="n">
        <v>1</v>
      </c>
      <c r="F3" s="10" t="n">
        <v>1.35</v>
      </c>
      <c r="G3" s="10" t="n">
        <v>1.33</v>
      </c>
      <c r="H3" s="10" t="n">
        <v>1.46</v>
      </c>
      <c r="I3" s="10" t="n">
        <v>1.67</v>
      </c>
      <c r="J3" s="10" t="n">
        <v>0.1</v>
      </c>
      <c r="K3" s="10" t="n">
        <v>0.34</v>
      </c>
      <c r="L3" s="10" t="n">
        <v>-0.31</v>
      </c>
      <c r="M3" s="10" t="n">
        <v>-0.22</v>
      </c>
      <c r="N3" s="10" t="n">
        <v>-0.02</v>
      </c>
      <c r="O3" s="10" t="n">
        <v>0.28</v>
      </c>
      <c r="P3" s="10" t="n">
        <v>-0.24</v>
      </c>
      <c r="Q3" s="10" t="n">
        <v>-0.53</v>
      </c>
      <c r="R3" s="10">
        <f>(H3-I3)-(F3-G3)</f>
        <v/>
      </c>
      <c r="S3" s="10">
        <f>(H3+I3)-(F3+G3)</f>
        <v/>
      </c>
      <c r="T3" s="10" t="n">
        <v>1.25</v>
      </c>
      <c r="U3" s="10" t="n">
        <v>1.39</v>
      </c>
      <c r="V3" s="10" t="n">
        <v>-0.14</v>
      </c>
      <c r="W3" s="10" t="n">
        <v>2.35</v>
      </c>
      <c r="X3" s="10" t="n">
        <v>2.6</v>
      </c>
      <c r="Z3" s="4" t="inlineStr">
        <is>
          <t>Games vs expected</t>
        </is>
      </c>
      <c r="AA3" s="4" t="inlineStr">
        <is>
          <t>Above</t>
        </is>
      </c>
      <c r="AB3" s="4" t="inlineStr">
        <is>
          <t>Below</t>
        </is>
      </c>
    </row>
    <row r="4">
      <c r="A4" s="6" t="inlineStr">
        <is>
          <t>2026-09-05</t>
        </is>
      </c>
      <c r="B4" s="6" t="inlineStr">
        <is>
          <t>Brighton &amp; Hove Albion</t>
        </is>
      </c>
      <c r="C4" s="6" t="inlineStr">
        <is>
          <t>Away</t>
        </is>
      </c>
      <c r="D4" s="6" t="n">
        <v>1</v>
      </c>
      <c r="E4" s="6" t="n">
        <v>1</v>
      </c>
      <c r="F4" s="9" t="n">
        <v>1.08</v>
      </c>
      <c r="G4" s="9" t="n">
        <v>1.61</v>
      </c>
      <c r="H4" s="9" t="n">
        <v>2.49</v>
      </c>
      <c r="I4" s="9" t="n">
        <v>2.19</v>
      </c>
      <c r="J4" s="9" t="n">
        <v>1.41</v>
      </c>
      <c r="K4" s="9" t="n">
        <v>0.57</v>
      </c>
      <c r="L4" s="9" t="n">
        <v>0.26</v>
      </c>
      <c r="M4" s="9" t="n">
        <v>0.05</v>
      </c>
      <c r="N4" s="9" t="n">
        <v>1.61</v>
      </c>
      <c r="O4" s="9" t="n">
        <v>0.08</v>
      </c>
      <c r="P4" s="9" t="n">
        <v>0.37</v>
      </c>
      <c r="Q4" s="9" t="n">
        <v>-0.33</v>
      </c>
      <c r="R4" s="9">
        <f>(H4-I4)-(F4-G4)</f>
        <v/>
      </c>
      <c r="S4" s="9">
        <f>(H4+I4)-(F4+G4)</f>
        <v/>
      </c>
      <c r="T4" s="9" t="n">
        <v>1.57</v>
      </c>
      <c r="U4" s="9" t="n">
        <v>1.01</v>
      </c>
      <c r="V4" s="9" t="n">
        <v>0.5600000000000001</v>
      </c>
      <c r="W4" s="9" t="n">
        <v>3.91</v>
      </c>
      <c r="X4" s="9" t="n">
        <v>3.61</v>
      </c>
      <c r="Z4" s="6" t="inlineStr">
        <is>
          <t>xG For vs expected</t>
        </is>
      </c>
      <c r="AA4" s="5">
        <f>COUNTIF($J$2:$J$9,"&gt;0")</f>
        <v/>
      </c>
      <c r="AB4" s="5">
        <f>COUNTIF($J$2:$J$9,"&lt;0")</f>
        <v/>
      </c>
    </row>
    <row r="5">
      <c r="A5" s="8" t="inlineStr">
        <is>
          <t>2026-09-14</t>
        </is>
      </c>
      <c r="B5" s="8" t="inlineStr">
        <is>
          <t>Newcastle United</t>
        </is>
      </c>
      <c r="C5" s="8" t="inlineStr">
        <is>
          <t>Home</t>
        </is>
      </c>
      <c r="D5" s="8" t="n">
        <v>4</v>
      </c>
      <c r="E5" s="8" t="n">
        <v>1</v>
      </c>
      <c r="F5" s="10" t="n">
        <v>1.49</v>
      </c>
      <c r="G5" s="10" t="n">
        <v>1.33</v>
      </c>
      <c r="H5" s="10" t="n">
        <v>1.99</v>
      </c>
      <c r="I5" s="10" t="n">
        <v>0.88</v>
      </c>
      <c r="J5" s="10" t="n">
        <v>0.5</v>
      </c>
      <c r="K5" s="10" t="n">
        <v>-0.45</v>
      </c>
      <c r="L5" s="10" t="n">
        <v>0.32</v>
      </c>
      <c r="M5" s="10" t="n">
        <v>-0.08</v>
      </c>
      <c r="N5" s="10" t="n">
        <v>0.28</v>
      </c>
      <c r="O5" s="10" t="n">
        <v>0</v>
      </c>
      <c r="P5" s="10" t="n">
        <v>0.35</v>
      </c>
      <c r="Q5" s="10" t="n">
        <v>-0.25</v>
      </c>
      <c r="R5" s="10">
        <f>(H5-I5)-(F5-G5)</f>
        <v/>
      </c>
      <c r="S5" s="10">
        <f>(H5+I5)-(F5+G5)</f>
        <v/>
      </c>
      <c r="T5" s="10" t="n">
        <v>2.11</v>
      </c>
      <c r="U5" s="10" t="n">
        <v>1.48</v>
      </c>
      <c r="V5" s="10" t="n">
        <v>0.63</v>
      </c>
      <c r="W5" s="10" t="n">
        <v>6.02</v>
      </c>
      <c r="X5" s="10" t="n">
        <v>5.09</v>
      </c>
      <c r="Z5" s="6" t="inlineStr">
        <is>
          <t>xG Against vs expected</t>
        </is>
      </c>
      <c r="AA5" s="5">
        <f>COUNTIF($K$2:$K$9,"&gt;0")</f>
        <v/>
      </c>
      <c r="AB5" s="5">
        <f>COUNTIF($K$2:$K$9,"&lt;0")</f>
        <v/>
      </c>
    </row>
    <row r="6">
      <c r="A6" s="6" t="inlineStr">
        <is>
          <t>2026-09-20</t>
        </is>
      </c>
      <c r="B6" s="6" t="inlineStr">
        <is>
          <t>Crystal Palace</t>
        </is>
      </c>
      <c r="C6" s="6" t="inlineStr">
        <is>
          <t>Home</t>
        </is>
      </c>
      <c r="D6" s="6" t="n">
        <v>0</v>
      </c>
      <c r="E6" s="6" t="n">
        <v>0</v>
      </c>
      <c r="F6" s="9" t="n">
        <v>1.83</v>
      </c>
      <c r="G6" s="9" t="n">
        <v>1.02</v>
      </c>
      <c r="H6" s="9" t="n">
        <v>1.31</v>
      </c>
      <c r="I6" s="9" t="n">
        <v>1.06</v>
      </c>
      <c r="J6" s="9" t="n">
        <v>-0.52</v>
      </c>
      <c r="K6" s="9" t="n">
        <v>0.04</v>
      </c>
      <c r="L6" s="9" t="n">
        <v>0.15</v>
      </c>
      <c r="M6" s="9" t="n">
        <v>-0.05</v>
      </c>
      <c r="N6" s="9" t="n">
        <v>-1</v>
      </c>
      <c r="O6" s="9" t="n">
        <v>-0.12</v>
      </c>
      <c r="P6" s="9" t="n">
        <v>0.08</v>
      </c>
      <c r="Q6" s="9" t="n">
        <v>-0.22</v>
      </c>
      <c r="R6" s="9">
        <f>(H6-I6)-(F6-G6)</f>
        <v/>
      </c>
      <c r="S6" s="9">
        <f>(H6+I6)-(F6+G6)</f>
        <v/>
      </c>
      <c r="T6" s="9" t="n">
        <v>1.54</v>
      </c>
      <c r="U6" s="9" t="n">
        <v>1.92</v>
      </c>
      <c r="V6" s="9" t="n">
        <v>-0.37</v>
      </c>
      <c r="W6" s="9" t="n">
        <v>7.56</v>
      </c>
      <c r="X6" s="9" t="n">
        <v>7.01</v>
      </c>
      <c r="Z6" s="6" t="inlineStr">
        <is>
          <t>Goals For vs expected</t>
        </is>
      </c>
      <c r="AA6" s="5">
        <f>SUMPRODUCT(--($D$2:$D$9&gt;$F$2:$F$9))</f>
        <v/>
      </c>
      <c r="AB6" s="5">
        <f>SUMPRODUCT(--($D$2:$D$9&lt;$F$2:$F$9))</f>
        <v/>
      </c>
    </row>
    <row r="7">
      <c r="A7" s="8" t="inlineStr">
        <is>
          <t>2026-10-10</t>
        </is>
      </c>
      <c r="B7" s="8" t="inlineStr">
        <is>
          <t>Arsenal</t>
        </is>
      </c>
      <c r="C7" s="8" t="inlineStr">
        <is>
          <t>Away</t>
        </is>
      </c>
      <c r="D7" s="8" t="n">
        <v>1</v>
      </c>
      <c r="E7" s="8" t="n">
        <v>2</v>
      </c>
      <c r="F7" s="10" t="n">
        <v>0.72</v>
      </c>
      <c r="G7" s="10" t="n">
        <v>2.07</v>
      </c>
      <c r="H7" s="10" t="n">
        <v>0.62</v>
      </c>
      <c r="I7" s="10" t="n">
        <v>2.33</v>
      </c>
      <c r="J7" s="10" t="n">
        <v>-0.1</v>
      </c>
      <c r="K7" s="10" t="n">
        <v>0.26</v>
      </c>
      <c r="L7" s="10" t="n">
        <v>0.11</v>
      </c>
      <c r="M7" s="10" t="n">
        <v>-0</v>
      </c>
      <c r="N7" s="10" t="n">
        <v>-0.08</v>
      </c>
      <c r="O7" s="10" t="n">
        <v>0.6</v>
      </c>
      <c r="P7" s="10" t="n">
        <v>0.05</v>
      </c>
      <c r="Q7" s="10" t="n">
        <v>-0.08</v>
      </c>
      <c r="R7" s="10">
        <f>(H7-I7)-(F7-G7)</f>
        <v/>
      </c>
      <c r="S7" s="10">
        <f>(H7+I7)-(F7+G7)</f>
        <v/>
      </c>
      <c r="T7" s="10" t="n">
        <v>0.41</v>
      </c>
      <c r="U7" s="10" t="n">
        <v>0.55</v>
      </c>
      <c r="V7" s="10" t="n">
        <v>-0.14</v>
      </c>
      <c r="W7" s="10" t="n">
        <v>7.97</v>
      </c>
      <c r="X7" s="10" t="n">
        <v>7.55</v>
      </c>
      <c r="Z7" s="6" t="inlineStr">
        <is>
          <t>Goals Against vs expected</t>
        </is>
      </c>
      <c r="AA7" s="5">
        <f>SUMPRODUCT(--($E$2:$E$9&gt;$G$2:$G$9))</f>
        <v/>
      </c>
      <c r="AB7" s="5">
        <f>SUMPRODUCT(--($E$2:$E$9&lt;$G$2:$G$9))</f>
        <v/>
      </c>
    </row>
    <row r="8">
      <c r="A8" s="6" t="inlineStr">
        <is>
          <t>2026-10-18</t>
        </is>
      </c>
      <c r="B8" s="6" t="inlineStr">
        <is>
          <t>Manchester United</t>
        </is>
      </c>
      <c r="C8" s="6" t="inlineStr">
        <is>
          <t>Home</t>
        </is>
      </c>
      <c r="D8" s="6" t="n">
        <v>1</v>
      </c>
      <c r="E8" s="6" t="n">
        <v>1</v>
      </c>
      <c r="F8" s="9" t="n">
        <v>1.59</v>
      </c>
      <c r="G8" s="9" t="n">
        <v>1.41</v>
      </c>
      <c r="H8" s="9" t="n">
        <v>1.41</v>
      </c>
      <c r="I8" s="9" t="n">
        <v>0.92</v>
      </c>
      <c r="J8" s="9" t="n">
        <v>-0.18</v>
      </c>
      <c r="K8" s="9" t="n">
        <v>-0.49</v>
      </c>
      <c r="L8" s="9" t="n">
        <v>0.2</v>
      </c>
      <c r="M8" s="9" t="n">
        <v>0.05</v>
      </c>
      <c r="N8" s="9" t="n">
        <v>-0.46</v>
      </c>
      <c r="O8" s="9" t="n">
        <v>-0.32</v>
      </c>
      <c r="P8" s="9" t="n">
        <v>0.05</v>
      </c>
      <c r="Q8" s="9" t="n">
        <v>0.09</v>
      </c>
      <c r="R8" s="9">
        <f>(H8-I8)-(F8-G8)</f>
        <v/>
      </c>
      <c r="S8" s="9">
        <f>(H8+I8)-(F8+G8)</f>
        <v/>
      </c>
      <c r="T8" s="9" t="n">
        <v>1.72</v>
      </c>
      <c r="U8" s="9" t="n">
        <v>1.5</v>
      </c>
      <c r="V8" s="9" t="n">
        <v>0.23</v>
      </c>
      <c r="W8" s="9" t="n">
        <v>9.69</v>
      </c>
      <c r="X8" s="9" t="n">
        <v>9.050000000000001</v>
      </c>
      <c r="Z8" s="12" t="inlineStr">
        <is>
          <t>For: Above = beat expectation. Against: Above = conceded more than expected (worse).</t>
        </is>
      </c>
    </row>
    <row r="9">
      <c r="A9" s="8" t="inlineStr">
        <is>
          <t>2026-10-25</t>
        </is>
      </c>
      <c r="B9" s="8" t="inlineStr">
        <is>
          <t>Sunderland</t>
        </is>
      </c>
      <c r="C9" s="8" t="inlineStr">
        <is>
          <t>Away</t>
        </is>
      </c>
      <c r="D9" s="8" t="n">
        <v>0</v>
      </c>
      <c r="E9" s="8" t="n">
        <v>0</v>
      </c>
      <c r="F9" s="10" t="n">
        <v>1.33</v>
      </c>
      <c r="G9" s="10" t="n">
        <v>1.15</v>
      </c>
      <c r="H9" s="10" t="n">
        <v>0.76</v>
      </c>
      <c r="I9" s="10" t="n">
        <v>0.83</v>
      </c>
      <c r="J9" s="10" t="n">
        <v>-0.57</v>
      </c>
      <c r="K9" s="10" t="n">
        <v>-0.32</v>
      </c>
      <c r="L9" s="10" t="n">
        <v>0.09</v>
      </c>
      <c r="M9" s="10" t="n">
        <v>-0.06</v>
      </c>
      <c r="N9" s="10" t="n">
        <v>-0.95</v>
      </c>
      <c r="O9" s="10" t="n">
        <v>-0.76</v>
      </c>
      <c r="P9" s="10" t="n">
        <v>-0.1</v>
      </c>
      <c r="Q9" s="10" t="n">
        <v>-0.09</v>
      </c>
      <c r="R9" s="10">
        <f>(H9-I9)-(F9-G9)</f>
        <v/>
      </c>
      <c r="S9" s="10">
        <f>(H9+I9)-(F9+G9)</f>
        <v/>
      </c>
      <c r="T9" s="10" t="n">
        <v>1.26</v>
      </c>
      <c r="U9" s="10" t="n">
        <v>1.5</v>
      </c>
      <c r="V9" s="10" t="n">
        <v>-0.24</v>
      </c>
      <c r="W9" s="10" t="n">
        <v>10.95</v>
      </c>
      <c r="X9" s="10" t="n">
        <v>10.55</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6</v>
      </c>
      <c r="D37" s="16" t="n">
        <v>3</v>
      </c>
      <c r="E37" s="20" t="n">
        <v>0.12</v>
      </c>
      <c r="F37" s="20" t="n">
        <v>0.04</v>
      </c>
      <c r="G37" s="20" t="n">
        <v>-0.16</v>
      </c>
      <c r="H37" s="20" t="n">
        <v>-0.21</v>
      </c>
      <c r="AF37" s="11" t="inlineStr">
        <is>
          <t>Leeds United: closing odds to win, by opponent (league table order)</t>
        </is>
      </c>
    </row>
    <row r="38">
      <c r="A38" s="16" t="inlineStr">
        <is>
          <t>Away</t>
        </is>
      </c>
      <c r="B38" s="16" t="n">
        <v>4</v>
      </c>
      <c r="C38" s="16" t="n">
        <v>3</v>
      </c>
      <c r="D38" s="16" t="n">
        <v>3</v>
      </c>
      <c r="E38" s="20" t="n">
        <v>0.06</v>
      </c>
      <c r="F38" s="20" t="n">
        <v>-0.11</v>
      </c>
      <c r="G38" s="20" t="n">
        <v>-0.07000000000000001</v>
      </c>
      <c r="H38" s="20" t="n">
        <v>-0.36</v>
      </c>
      <c r="AF38" s="4" t="inlineStr">
        <is>
          <t>League Table</t>
        </is>
      </c>
      <c r="AG38" s="4" t="inlineStr">
        <is>
          <t>Home Odds</t>
        </is>
      </c>
      <c r="AH38" s="4" t="inlineStr">
        <is>
          <t>Away Odds</t>
        </is>
      </c>
    </row>
    <row r="39">
      <c r="A39" s="21" t="inlineStr">
        <is>
          <t>Total</t>
        </is>
      </c>
      <c r="B39" s="21" t="n">
        <v>8</v>
      </c>
      <c r="C39" s="21" t="n">
        <v>9</v>
      </c>
      <c r="D39" s="21" t="n">
        <v>6</v>
      </c>
      <c r="E39" s="22" t="n">
        <v>0.09</v>
      </c>
      <c r="F39" s="22" t="n">
        <v>-0.1</v>
      </c>
      <c r="G39" s="22" t="n">
        <v>-0.11</v>
      </c>
      <c r="H39" s="22" t="n">
        <v>-0.21</v>
      </c>
      <c r="AF39" s="6" t="inlineStr">
        <is>
          <t>1. Manchester City</t>
        </is>
      </c>
      <c r="AG39" s="15" t="n"/>
      <c r="AH39" s="15" t="n"/>
    </row>
    <row r="40">
      <c r="AF40" s="6" t="inlineStr">
        <is>
          <t>2. Arsenal</t>
        </is>
      </c>
      <c r="AG40" s="15" t="n"/>
      <c r="AH40" s="25" t="n">
        <v>7.5</v>
      </c>
    </row>
    <row r="41">
      <c r="AF41" s="6" t="inlineStr">
        <is>
          <t>3. Brighton &amp; Hove Albion</t>
        </is>
      </c>
      <c r="AG41" s="15" t="n"/>
      <c r="AH41" s="30" t="n">
        <v>3.75</v>
      </c>
    </row>
    <row r="42">
      <c r="AF42" s="6" t="inlineStr">
        <is>
          <t>4. Liverpool</t>
        </is>
      </c>
      <c r="AG42" s="15" t="n"/>
      <c r="AH42" s="15" t="n"/>
    </row>
    <row r="43">
      <c r="AF43" s="6" t="inlineStr">
        <is>
          <t>5. Chelsea</t>
        </is>
      </c>
      <c r="AG43" s="15" t="n"/>
      <c r="AH43" s="15" t="n"/>
    </row>
    <row r="44">
      <c r="AF44" s="6" t="inlineStr">
        <is>
          <t>6. Brentford</t>
        </is>
      </c>
      <c r="AG44" s="30" t="n">
        <v>2.75</v>
      </c>
      <c r="AH44" s="15" t="n"/>
    </row>
    <row r="45">
      <c r="AF45" s="23" t="inlineStr">
        <is>
          <t>7. Leeds United</t>
        </is>
      </c>
      <c r="AG45" s="24" t="n"/>
      <c r="AH45" s="24" t="n"/>
    </row>
    <row r="46">
      <c r="AF46" s="6" t="inlineStr">
        <is>
          <t>8. Newcastle United</t>
        </is>
      </c>
      <c r="AG46" s="26" t="n">
        <v>2.3</v>
      </c>
      <c r="AH46" s="15" t="n"/>
    </row>
    <row r="47">
      <c r="AF47" s="6" t="inlineStr">
        <is>
          <t>9. Aston Villa</t>
        </is>
      </c>
      <c r="AG47" s="15" t="n"/>
      <c r="AH47" s="15" t="n"/>
    </row>
    <row r="48">
      <c r="AF48" s="6" t="inlineStr">
        <is>
          <t>10. Hull</t>
        </is>
      </c>
      <c r="AG48" s="15" t="n"/>
      <c r="AH48" s="15" t="n"/>
    </row>
    <row r="49">
      <c r="AF49" s="6" t="inlineStr">
        <is>
          <t>11. Everton</t>
        </is>
      </c>
      <c r="AG49" s="15" t="n"/>
      <c r="AH49" s="15" t="n"/>
    </row>
    <row r="50">
      <c r="AF50" s="6" t="inlineStr">
        <is>
          <t>12. Ipswich</t>
        </is>
      </c>
      <c r="AG50" s="15" t="n"/>
      <c r="AH50" s="15" t="n"/>
    </row>
    <row r="51">
      <c r="AF51" s="6" t="inlineStr">
        <is>
          <t>13. Bournemouth</t>
        </is>
      </c>
      <c r="AG51" s="15" t="n"/>
      <c r="AH51" s="15" t="n"/>
    </row>
    <row r="52">
      <c r="AF52" s="6" t="inlineStr">
        <is>
          <t>14. Tottenham Hotspur</t>
        </is>
      </c>
      <c r="AG52" s="15" t="n"/>
      <c r="AH52" s="15" t="n"/>
    </row>
    <row r="53">
      <c r="AF53" s="6" t="inlineStr">
        <is>
          <t>15. Fulham</t>
        </is>
      </c>
      <c r="AG53" s="15" t="n"/>
      <c r="AH53" s="15" t="n"/>
    </row>
    <row r="54">
      <c r="AF54" s="6" t="inlineStr">
        <is>
          <t>16. Manchester United</t>
        </is>
      </c>
      <c r="AG54" s="30" t="n">
        <v>2.5</v>
      </c>
      <c r="AH54" s="15" t="n"/>
    </row>
    <row r="55">
      <c r="AF55" s="6" t="inlineStr">
        <is>
          <t>17. Crystal Palace</t>
        </is>
      </c>
      <c r="AG55" s="30" t="n">
        <v>1.65</v>
      </c>
      <c r="AH55" s="15" t="n"/>
    </row>
    <row r="56">
      <c r="AF56" s="6" t="inlineStr">
        <is>
          <t>18. Nottingham Forest</t>
        </is>
      </c>
      <c r="AG56" s="15" t="n"/>
      <c r="AH56" s="26" t="n">
        <v>3</v>
      </c>
    </row>
    <row r="57">
      <c r="AF57" s="6" t="inlineStr">
        <is>
          <t>19. Coventry</t>
        </is>
      </c>
      <c r="AG57" s="15" t="n"/>
      <c r="AH57" s="15" t="n"/>
    </row>
    <row r="58">
      <c r="AF58" s="6" t="inlineStr">
        <is>
          <t>20. Sunderland</t>
        </is>
      </c>
      <c r="AG58" s="15" t="n"/>
      <c r="AH58" s="30" t="n">
        <v>2.75</v>
      </c>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Newcastle United</t>
        </is>
      </c>
      <c r="C2" s="6" t="inlineStr">
        <is>
          <t>Away</t>
        </is>
      </c>
      <c r="D2" s="6" t="n">
        <v>2</v>
      </c>
      <c r="E2" s="6" t="n">
        <v>2</v>
      </c>
      <c r="F2" s="9" t="n">
        <v>1.92</v>
      </c>
      <c r="G2" s="9" t="n">
        <v>1.29</v>
      </c>
      <c r="H2" s="9" t="n">
        <v>2.98</v>
      </c>
      <c r="I2" s="9" t="n">
        <v>1.58</v>
      </c>
      <c r="J2" s="9" t="n">
        <v>1.06</v>
      </c>
      <c r="K2" s="9" t="n">
        <v>0.29</v>
      </c>
      <c r="L2" s="9" t="n">
        <v>1.06</v>
      </c>
      <c r="M2" s="9" t="n">
        <v>0.29</v>
      </c>
      <c r="N2" s="9" t="n">
        <v>0.91</v>
      </c>
      <c r="O2" s="9" t="n">
        <v>0.85</v>
      </c>
      <c r="P2" s="9" t="n">
        <v>0.91</v>
      </c>
      <c r="Q2" s="9" t="n">
        <v>0.85</v>
      </c>
      <c r="R2" s="9">
        <f>(H2-I2)-(F2-G2)</f>
        <v/>
      </c>
      <c r="S2" s="9">
        <f>(H2+I2)-(F2+G2)</f>
        <v/>
      </c>
      <c r="T2" s="9" t="n">
        <v>2.14</v>
      </c>
      <c r="U2" s="9" t="n">
        <v>1.78</v>
      </c>
      <c r="V2" s="9" t="n">
        <v>0.36</v>
      </c>
      <c r="W2" s="9" t="n">
        <v>2.14</v>
      </c>
      <c r="X2" s="9" t="n">
        <v>1.78</v>
      </c>
      <c r="Z2" s="12" t="inlineStr">
        <is>
          <t>Expected = the pre-match market xG (what the odds implied) for each side.</t>
        </is>
      </c>
    </row>
    <row r="3">
      <c r="A3" s="8" t="inlineStr">
        <is>
          <t>2026-08-29</t>
        </is>
      </c>
      <c r="B3" s="8" t="inlineStr">
        <is>
          <t>Nottingham Forest</t>
        </is>
      </c>
      <c r="C3" s="8" t="inlineStr">
        <is>
          <t>Home</t>
        </is>
      </c>
      <c r="D3" s="8" t="n">
        <v>2</v>
      </c>
      <c r="E3" s="8" t="n">
        <v>2</v>
      </c>
      <c r="F3" s="10" t="n">
        <v>2.08</v>
      </c>
      <c r="G3" s="10" t="n">
        <v>0.95</v>
      </c>
      <c r="H3" s="10" t="n">
        <v>1.75</v>
      </c>
      <c r="I3" s="10" t="n">
        <v>2.3</v>
      </c>
      <c r="J3" s="10" t="n">
        <v>-0.33</v>
      </c>
      <c r="K3" s="10" t="n">
        <v>1.35</v>
      </c>
      <c r="L3" s="10" t="n">
        <v>0.37</v>
      </c>
      <c r="M3" s="10" t="n">
        <v>0.82</v>
      </c>
      <c r="N3" s="10" t="n">
        <v>-0</v>
      </c>
      <c r="O3" s="10" t="n">
        <v>1.09</v>
      </c>
      <c r="P3" s="10" t="n">
        <v>0.45</v>
      </c>
      <c r="Q3" s="10" t="n">
        <v>0.97</v>
      </c>
      <c r="R3" s="10">
        <f>(H3-I3)-(F3-G3)</f>
        <v/>
      </c>
      <c r="S3" s="10">
        <f>(H3+I3)-(F3+G3)</f>
        <v/>
      </c>
      <c r="T3" s="10" t="n">
        <v>1.09</v>
      </c>
      <c r="U3" s="10" t="n">
        <v>2.1</v>
      </c>
      <c r="V3" s="10" t="n">
        <v>-1.02</v>
      </c>
      <c r="W3" s="10" t="n">
        <v>3.23</v>
      </c>
      <c r="X3" s="10" t="n">
        <v>3.89</v>
      </c>
      <c r="Z3" s="4" t="inlineStr">
        <is>
          <t>Games vs expected</t>
        </is>
      </c>
      <c r="AA3" s="4" t="inlineStr">
        <is>
          <t>Above</t>
        </is>
      </c>
      <c r="AB3" s="4" t="inlineStr">
        <is>
          <t>Below</t>
        </is>
      </c>
    </row>
    <row r="4">
      <c r="A4" s="6" t="inlineStr">
        <is>
          <t>2026-09-04</t>
        </is>
      </c>
      <c r="B4" s="6" t="inlineStr">
        <is>
          <t>Ipswich</t>
        </is>
      </c>
      <c r="C4" s="6" t="inlineStr">
        <is>
          <t>Away</t>
        </is>
      </c>
      <c r="D4" s="6" t="n">
        <v>2</v>
      </c>
      <c r="E4" s="6" t="n">
        <v>0</v>
      </c>
      <c r="F4" s="9" t="n">
        <v>2.35</v>
      </c>
      <c r="G4" s="9" t="n">
        <v>1.2</v>
      </c>
      <c r="H4" s="9" t="n">
        <v>0.6899999999999999</v>
      </c>
      <c r="I4" s="9" t="n">
        <v>0.75</v>
      </c>
      <c r="J4" s="9" t="n">
        <v>-1.66</v>
      </c>
      <c r="K4" s="9" t="n">
        <v>-0.45</v>
      </c>
      <c r="L4" s="9" t="n">
        <v>-0.31</v>
      </c>
      <c r="M4" s="9" t="n">
        <v>0.4</v>
      </c>
      <c r="N4" s="9" t="n">
        <v>-2.08</v>
      </c>
      <c r="O4" s="9" t="n">
        <v>-0.82</v>
      </c>
      <c r="P4" s="9" t="n">
        <v>-0.39</v>
      </c>
      <c r="Q4" s="9" t="n">
        <v>0.37</v>
      </c>
      <c r="R4" s="9">
        <f>(H4-I4)-(F4-G4)</f>
        <v/>
      </c>
      <c r="S4" s="9">
        <f>(H4+I4)-(F4+G4)</f>
        <v/>
      </c>
      <c r="T4" s="9" t="n">
        <v>1.26</v>
      </c>
      <c r="U4" s="9" t="n">
        <v>2.08</v>
      </c>
      <c r="V4" s="9" t="n">
        <v>-0.82</v>
      </c>
      <c r="W4" s="9" t="n">
        <v>4.49</v>
      </c>
      <c r="X4" s="9" t="n">
        <v>5.97</v>
      </c>
      <c r="Z4" s="6" t="inlineStr">
        <is>
          <t>xG For vs expected</t>
        </is>
      </c>
      <c r="AA4" s="5">
        <f>COUNTIF($J$2:$J$9,"&gt;0")</f>
        <v/>
      </c>
      <c r="AB4" s="5">
        <f>COUNTIF($J$2:$J$9,"&lt;0")</f>
        <v/>
      </c>
    </row>
    <row r="5">
      <c r="A5" s="8" t="inlineStr">
        <is>
          <t>2026-09-12</t>
        </is>
      </c>
      <c r="B5" s="8" t="inlineStr">
        <is>
          <t>Fulham</t>
        </is>
      </c>
      <c r="C5" s="8" t="inlineStr">
        <is>
          <t>Home</t>
        </is>
      </c>
      <c r="D5" s="8" t="n">
        <v>0</v>
      </c>
      <c r="E5" s="8" t="n">
        <v>0</v>
      </c>
      <c r="F5" s="10" t="n">
        <v>2.3</v>
      </c>
      <c r="G5" s="10" t="n">
        <v>0.99</v>
      </c>
      <c r="H5" s="10" t="n">
        <v>1.28</v>
      </c>
      <c r="I5" s="10" t="n">
        <v>0.7</v>
      </c>
      <c r="J5" s="10" t="n">
        <v>-1.02</v>
      </c>
      <c r="K5" s="10" t="n">
        <v>-0.29</v>
      </c>
      <c r="L5" s="10" t="n">
        <v>-0.49</v>
      </c>
      <c r="M5" s="10" t="n">
        <v>0.23</v>
      </c>
      <c r="N5" s="10" t="n">
        <v>-0.99</v>
      </c>
      <c r="O5" s="10" t="n">
        <v>-0.39</v>
      </c>
      <c r="P5" s="10" t="n">
        <v>-0.54</v>
      </c>
      <c r="Q5" s="10" t="n">
        <v>0.18</v>
      </c>
      <c r="R5" s="10">
        <f>(H5-I5)-(F5-G5)</f>
        <v/>
      </c>
      <c r="S5" s="10">
        <f>(H5+I5)-(F5+G5)</f>
        <v/>
      </c>
      <c r="T5" s="10" t="n">
        <v>1.8</v>
      </c>
      <c r="U5" s="10" t="n">
        <v>2.19</v>
      </c>
      <c r="V5" s="10" t="n">
        <v>-0.38</v>
      </c>
      <c r="W5" s="10" t="n">
        <v>6.29</v>
      </c>
      <c r="X5" s="10" t="n">
        <v>8.15</v>
      </c>
      <c r="Z5" s="6" t="inlineStr">
        <is>
          <t>xG Against vs expected</t>
        </is>
      </c>
      <c r="AA5" s="5">
        <f>COUNTIF($K$2:$K$9,"&gt;0")</f>
        <v/>
      </c>
      <c r="AB5" s="5">
        <f>COUNTIF($K$2:$K$9,"&lt;0")</f>
        <v/>
      </c>
    </row>
    <row r="6">
      <c r="A6" s="6" t="inlineStr">
        <is>
          <t>2026-09-20</t>
        </is>
      </c>
      <c r="B6" s="6" t="inlineStr">
        <is>
          <t>Bournemouth</t>
        </is>
      </c>
      <c r="C6" s="6" t="inlineStr">
        <is>
          <t>Away</t>
        </is>
      </c>
      <c r="D6" s="6" t="n">
        <v>1</v>
      </c>
      <c r="E6" s="6" t="n">
        <v>0</v>
      </c>
      <c r="F6" s="9" t="n">
        <v>1.79</v>
      </c>
      <c r="G6" s="9" t="n">
        <v>1.43</v>
      </c>
      <c r="H6" s="9" t="n">
        <v>1.65</v>
      </c>
      <c r="I6" s="9" t="n">
        <v>0.79</v>
      </c>
      <c r="J6" s="9" t="n">
        <v>-0.14</v>
      </c>
      <c r="K6" s="9" t="n">
        <v>-0.64</v>
      </c>
      <c r="L6" s="9" t="n">
        <v>-0.42</v>
      </c>
      <c r="M6" s="9" t="n">
        <v>0.05</v>
      </c>
      <c r="N6" s="9" t="n">
        <v>0.42</v>
      </c>
      <c r="O6" s="9" t="n">
        <v>-1.21</v>
      </c>
      <c r="P6" s="9" t="n">
        <v>-0.35</v>
      </c>
      <c r="Q6" s="9" t="n">
        <v>-0.1</v>
      </c>
      <c r="R6" s="9">
        <f>(H6-I6)-(F6-G6)</f>
        <v/>
      </c>
      <c r="S6" s="9">
        <f>(H6+I6)-(F6+G6)</f>
        <v/>
      </c>
      <c r="T6" s="9" t="n">
        <v>1.98</v>
      </c>
      <c r="U6" s="9" t="n">
        <v>1.62</v>
      </c>
      <c r="V6" s="9" t="n">
        <v>0.36</v>
      </c>
      <c r="W6" s="9" t="n">
        <v>8.27</v>
      </c>
      <c r="X6" s="9" t="n">
        <v>9.77</v>
      </c>
      <c r="Z6" s="6" t="inlineStr">
        <is>
          <t>Goals For vs expected</t>
        </is>
      </c>
      <c r="AA6" s="5">
        <f>SUMPRODUCT(--($D$2:$D$9&gt;$F$2:$F$9))</f>
        <v/>
      </c>
      <c r="AB6" s="5">
        <f>SUMPRODUCT(--($D$2:$D$9&lt;$F$2:$F$9))</f>
        <v/>
      </c>
    </row>
    <row r="7">
      <c r="A7" s="8" t="inlineStr">
        <is>
          <t>2026-10-11</t>
        </is>
      </c>
      <c r="B7" s="8" t="inlineStr">
        <is>
          <t>Manchester City</t>
        </is>
      </c>
      <c r="C7" s="8" t="inlineStr">
        <is>
          <t>Home</t>
        </is>
      </c>
      <c r="D7" s="8" t="n">
        <v>0</v>
      </c>
      <c r="E7" s="8" t="n">
        <v>3</v>
      </c>
      <c r="F7" s="10" t="n">
        <v>1.52</v>
      </c>
      <c r="G7" s="10" t="n">
        <v>1.6</v>
      </c>
      <c r="H7" s="10" t="n">
        <v>0.9399999999999999</v>
      </c>
      <c r="I7" s="10" t="n">
        <v>1.28</v>
      </c>
      <c r="J7" s="10" t="n">
        <v>-0.58</v>
      </c>
      <c r="K7" s="10" t="n">
        <v>-0.32</v>
      </c>
      <c r="L7" s="10" t="n">
        <v>-0.45</v>
      </c>
      <c r="M7" s="10" t="n">
        <v>-0.01</v>
      </c>
      <c r="N7" s="10" t="n">
        <v>-0.98</v>
      </c>
      <c r="O7" s="10" t="n">
        <v>-0.22</v>
      </c>
      <c r="P7" s="10" t="n">
        <v>-0.45</v>
      </c>
      <c r="Q7" s="10" t="n">
        <v>-0.12</v>
      </c>
      <c r="R7" s="10">
        <f>(H7-I7)-(F7-G7)</f>
        <v/>
      </c>
      <c r="S7" s="10">
        <f>(H7+I7)-(F7+G7)</f>
        <v/>
      </c>
      <c r="T7" s="10" t="n">
        <v>1.1</v>
      </c>
      <c r="U7" s="10" t="n">
        <v>1.33</v>
      </c>
      <c r="V7" s="10" t="n">
        <v>-0.23</v>
      </c>
      <c r="W7" s="10" t="n">
        <v>9.369999999999999</v>
      </c>
      <c r="X7" s="10" t="n">
        <v>11.1</v>
      </c>
      <c r="Z7" s="6" t="inlineStr">
        <is>
          <t>Goals Against vs expected</t>
        </is>
      </c>
      <c r="AA7" s="5">
        <f>SUMPRODUCT(--($E$2:$E$9&gt;$G$2:$G$9))</f>
        <v/>
      </c>
      <c r="AB7" s="5">
        <f>SUMPRODUCT(--($E$2:$E$9&lt;$G$2:$G$9))</f>
        <v/>
      </c>
    </row>
    <row r="8">
      <c r="A8" s="6" t="inlineStr">
        <is>
          <t>2026-10-17</t>
        </is>
      </c>
      <c r="B8" s="6" t="inlineStr">
        <is>
          <t>Brentford</t>
        </is>
      </c>
      <c r="C8" s="6" t="inlineStr">
        <is>
          <t>Away</t>
        </is>
      </c>
      <c r="D8" s="6" t="n">
        <v>2</v>
      </c>
      <c r="E8" s="6" t="n">
        <v>1</v>
      </c>
      <c r="F8" s="9" t="n">
        <v>1.46</v>
      </c>
      <c r="G8" s="9" t="n">
        <v>1.66</v>
      </c>
      <c r="H8" s="9" t="n">
        <v>1.64</v>
      </c>
      <c r="I8" s="9" t="n">
        <v>0.88</v>
      </c>
      <c r="J8" s="9" t="n">
        <v>0.18</v>
      </c>
      <c r="K8" s="9" t="n">
        <v>-0.78</v>
      </c>
      <c r="L8" s="9" t="n">
        <v>-0.59</v>
      </c>
      <c r="M8" s="9" t="n">
        <v>-0.19</v>
      </c>
      <c r="N8" s="9" t="n">
        <v>0.06</v>
      </c>
      <c r="O8" s="9" t="n">
        <v>-1</v>
      </c>
      <c r="P8" s="9" t="n">
        <v>-0.59</v>
      </c>
      <c r="Q8" s="9" t="n">
        <v>-0.43</v>
      </c>
      <c r="R8" s="9">
        <f>(H8-I8)-(F8-G8)</f>
        <v/>
      </c>
      <c r="S8" s="9">
        <f>(H8+I8)-(F8+G8)</f>
        <v/>
      </c>
      <c r="T8" s="9" t="n">
        <v>1.91</v>
      </c>
      <c r="U8" s="9" t="n">
        <v>1.26</v>
      </c>
      <c r="V8" s="9" t="n">
        <v>0.65</v>
      </c>
      <c r="W8" s="9" t="n">
        <v>11.28</v>
      </c>
      <c r="X8" s="9" t="n">
        <v>12.36</v>
      </c>
      <c r="Z8" s="12" t="inlineStr">
        <is>
          <t>For: Above = beat expectation. Against: Above = conceded more than expected (worse).</t>
        </is>
      </c>
    </row>
    <row r="9">
      <c r="A9" s="8" t="inlineStr">
        <is>
          <t>2026-10-25</t>
        </is>
      </c>
      <c r="B9" s="8" t="inlineStr">
        <is>
          <t>Brighton &amp; Hove Albion</t>
        </is>
      </c>
      <c r="C9" s="8" t="inlineStr">
        <is>
          <t>Home</t>
        </is>
      </c>
      <c r="D9" s="8" t="n">
        <v>2</v>
      </c>
      <c r="E9" s="8" t="n">
        <v>0</v>
      </c>
      <c r="F9" s="10" t="n">
        <v>1.77</v>
      </c>
      <c r="G9" s="10" t="n">
        <v>1.37</v>
      </c>
      <c r="H9" s="10" t="n">
        <v>1.2</v>
      </c>
      <c r="I9" s="10" t="n">
        <v>1.32</v>
      </c>
      <c r="J9" s="10" t="n">
        <v>-0.57</v>
      </c>
      <c r="K9" s="10" t="n">
        <v>-0.05</v>
      </c>
      <c r="L9" s="10" t="n">
        <v>-0.63</v>
      </c>
      <c r="M9" s="10" t="n">
        <v>-0.42</v>
      </c>
      <c r="N9" s="10" t="n">
        <v>-0.65</v>
      </c>
      <c r="O9" s="10" t="n">
        <v>-0.64</v>
      </c>
      <c r="P9" s="10" t="n">
        <v>-0.7</v>
      </c>
      <c r="Q9" s="10" t="n">
        <v>-0.71</v>
      </c>
      <c r="R9" s="10">
        <f>(H9-I9)-(F9-G9)</f>
        <v/>
      </c>
      <c r="S9" s="10">
        <f>(H9+I9)-(F9+G9)</f>
        <v/>
      </c>
      <c r="T9" s="10" t="n">
        <v>1.28</v>
      </c>
      <c r="U9" s="10" t="n">
        <v>1.64</v>
      </c>
      <c r="V9" s="10" t="n">
        <v>-0.36</v>
      </c>
      <c r="W9" s="10" t="n">
        <v>12.56</v>
      </c>
      <c r="X9" s="10" t="n">
        <v>14</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4</v>
      </c>
      <c r="D37" s="16" t="n">
        <v>5</v>
      </c>
      <c r="E37" s="20" t="n">
        <v>-0.8</v>
      </c>
      <c r="F37" s="20" t="n">
        <v>-0.62</v>
      </c>
      <c r="G37" s="20" t="n">
        <v>-0.45</v>
      </c>
      <c r="H37" s="20" t="n">
        <v>-0.77</v>
      </c>
      <c r="AF37" s="11" t="inlineStr">
        <is>
          <t>Liverpool: closing odds to win, by opponent (league table order)</t>
        </is>
      </c>
    </row>
    <row r="38">
      <c r="A38" s="16" t="inlineStr">
        <is>
          <t>Away</t>
        </is>
      </c>
      <c r="B38" s="16" t="n">
        <v>4</v>
      </c>
      <c r="C38" s="16" t="n">
        <v>7</v>
      </c>
      <c r="D38" s="16" t="n">
        <v>3</v>
      </c>
      <c r="E38" s="20" t="n">
        <v>0.25</v>
      </c>
      <c r="F38" s="20" t="n">
        <v>0.63</v>
      </c>
      <c r="G38" s="20" t="n">
        <v>-0.53</v>
      </c>
      <c r="H38" s="20" t="n">
        <v>-0.6899999999999999</v>
      </c>
      <c r="AF38" s="4" t="inlineStr">
        <is>
          <t>League Table</t>
        </is>
      </c>
      <c r="AG38" s="4" t="inlineStr">
        <is>
          <t>Home Odds</t>
        </is>
      </c>
      <c r="AH38" s="4" t="inlineStr">
        <is>
          <t>Away Odds</t>
        </is>
      </c>
    </row>
    <row r="39">
      <c r="A39" s="21" t="inlineStr">
        <is>
          <t>Total</t>
        </is>
      </c>
      <c r="B39" s="21" t="n">
        <v>8</v>
      </c>
      <c r="C39" s="21" t="n">
        <v>11</v>
      </c>
      <c r="D39" s="21" t="n">
        <v>8</v>
      </c>
      <c r="E39" s="22" t="n">
        <v>-0.27</v>
      </c>
      <c r="F39" s="22" t="n">
        <v>-0.39</v>
      </c>
      <c r="G39" s="22" t="n">
        <v>-0.49</v>
      </c>
      <c r="H39" s="22" t="n">
        <v>-0.7</v>
      </c>
      <c r="AF39" s="6" t="inlineStr">
        <is>
          <t>1. Manchester City</t>
        </is>
      </c>
      <c r="AG39" s="25" t="n">
        <v>3.5</v>
      </c>
      <c r="AH39" s="15" t="n"/>
    </row>
    <row r="40">
      <c r="AF40" s="6" t="inlineStr">
        <is>
          <t>2. Arsenal</t>
        </is>
      </c>
      <c r="AG40" s="15" t="n"/>
      <c r="AH40" s="15" t="n"/>
    </row>
    <row r="41">
      <c r="AF41" s="6" t="inlineStr">
        <is>
          <t>3. Brighton &amp; Hove Albion</t>
        </is>
      </c>
      <c r="AG41" s="26" t="n">
        <v>1.95</v>
      </c>
      <c r="AH41" s="15" t="n"/>
    </row>
    <row r="42">
      <c r="AF42" s="23" t="inlineStr">
        <is>
          <t>4. Liverpool</t>
        </is>
      </c>
      <c r="AG42" s="24" t="n"/>
      <c r="AH42" s="24" t="n"/>
    </row>
    <row r="43">
      <c r="AF43" s="6" t="inlineStr">
        <is>
          <t>5. Chelsea</t>
        </is>
      </c>
      <c r="AG43" s="15" t="n"/>
      <c r="AH43" s="15" t="n"/>
    </row>
    <row r="44">
      <c r="AF44" s="6" t="inlineStr">
        <is>
          <t>6. Brentford</t>
        </is>
      </c>
      <c r="AG44" s="15" t="n"/>
      <c r="AH44" s="26" t="n">
        <v>2.45</v>
      </c>
    </row>
    <row r="45">
      <c r="AF45" s="6" t="inlineStr">
        <is>
          <t>7. Leeds United</t>
        </is>
      </c>
      <c r="AG45" s="15" t="n"/>
      <c r="AH45" s="15" t="n"/>
    </row>
    <row r="46">
      <c r="AF46" s="6" t="inlineStr">
        <is>
          <t>8. Newcastle United</t>
        </is>
      </c>
      <c r="AG46" s="15" t="n"/>
      <c r="AH46" s="30" t="n">
        <v>1.85</v>
      </c>
    </row>
    <row r="47">
      <c r="AF47" s="6" t="inlineStr">
        <is>
          <t>9. Aston Villa</t>
        </is>
      </c>
      <c r="AG47" s="15" t="n"/>
      <c r="AH47" s="15" t="n"/>
    </row>
    <row r="48">
      <c r="AF48" s="6" t="inlineStr">
        <is>
          <t>10. Hull</t>
        </is>
      </c>
      <c r="AG48" s="15" t="n"/>
      <c r="AH48" s="15" t="n"/>
    </row>
    <row r="49">
      <c r="AF49" s="6" t="inlineStr">
        <is>
          <t>11. Everton</t>
        </is>
      </c>
      <c r="AG49" s="15" t="n"/>
      <c r="AH49" s="15" t="n"/>
    </row>
    <row r="50">
      <c r="AF50" s="6" t="inlineStr">
        <is>
          <t>12. Ipswich</t>
        </is>
      </c>
      <c r="AG50" s="15" t="n"/>
      <c r="AH50" s="26" t="n">
        <v>1.6</v>
      </c>
    </row>
    <row r="51">
      <c r="AF51" s="6" t="inlineStr">
        <is>
          <t>13. Bournemouth</t>
        </is>
      </c>
      <c r="AG51" s="15" t="n"/>
      <c r="AH51" s="26" t="n">
        <v>2.15</v>
      </c>
    </row>
    <row r="52">
      <c r="AF52" s="6" t="inlineStr">
        <is>
          <t>14. Tottenham Hotspur</t>
        </is>
      </c>
      <c r="AG52" s="15" t="n"/>
      <c r="AH52" s="15" t="n"/>
    </row>
    <row r="53">
      <c r="AF53" s="6" t="inlineStr">
        <is>
          <t>15. Fulham</t>
        </is>
      </c>
      <c r="AG53" s="30" t="n">
        <v>1.5</v>
      </c>
      <c r="AH53" s="15" t="n"/>
    </row>
    <row r="54">
      <c r="AF54" s="6" t="inlineStr">
        <is>
          <t>16. Manchester United</t>
        </is>
      </c>
      <c r="AG54" s="15" t="n"/>
      <c r="AH54" s="15" t="n"/>
    </row>
    <row r="55">
      <c r="AF55" s="6" t="inlineStr">
        <is>
          <t>17. Crystal Palace</t>
        </is>
      </c>
      <c r="AG55" s="15" t="n"/>
      <c r="AH55" s="15" t="n"/>
    </row>
    <row r="56">
      <c r="AF56" s="6" t="inlineStr">
        <is>
          <t>18. Nottingham Forest</t>
        </is>
      </c>
      <c r="AG56" s="30" t="n">
        <v>1.44</v>
      </c>
      <c r="AH56" s="15" t="n"/>
    </row>
    <row r="57">
      <c r="AF57" s="6" t="inlineStr">
        <is>
          <t>19. Coventry</t>
        </is>
      </c>
      <c r="AG57" s="15" t="n"/>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Bournemouth</t>
        </is>
      </c>
      <c r="C2" s="6" t="inlineStr">
        <is>
          <t>Home</t>
        </is>
      </c>
      <c r="D2" s="6" t="n">
        <v>2</v>
      </c>
      <c r="E2" s="6" t="n">
        <v>1</v>
      </c>
      <c r="F2" s="9" t="n">
        <v>2.32</v>
      </c>
      <c r="G2" s="9" t="n">
        <v>1.09</v>
      </c>
      <c r="H2" s="9" t="n">
        <v>2.25</v>
      </c>
      <c r="I2" s="9" t="n">
        <v>0.65</v>
      </c>
      <c r="J2" s="9" t="n">
        <v>-0.07000000000000001</v>
      </c>
      <c r="K2" s="9" t="n">
        <v>-0.44</v>
      </c>
      <c r="L2" s="9" t="n">
        <v>-0.07000000000000001</v>
      </c>
      <c r="M2" s="9" t="n">
        <v>-0.44</v>
      </c>
      <c r="N2" s="9" t="n">
        <v>0.51</v>
      </c>
      <c r="O2" s="9" t="n">
        <v>-0.98</v>
      </c>
      <c r="P2" s="9" t="n">
        <v>0.51</v>
      </c>
      <c r="Q2" s="9" t="n">
        <v>-0.98</v>
      </c>
      <c r="R2" s="9">
        <f>(H2-I2)-(F2-G2)</f>
        <v/>
      </c>
      <c r="S2" s="9">
        <f>(H2+I2)-(F2+G2)</f>
        <v/>
      </c>
      <c r="T2" s="9" t="n">
        <v>2.38</v>
      </c>
      <c r="U2" s="9" t="n">
        <v>2.13</v>
      </c>
      <c r="V2" s="9" t="n">
        <v>0.25</v>
      </c>
      <c r="W2" s="9" t="n">
        <v>2.38</v>
      </c>
      <c r="X2" s="9" t="n">
        <v>2.13</v>
      </c>
      <c r="Z2" s="12" t="inlineStr">
        <is>
          <t>Expected = the pre-match market xG (what the odds implied) for each side.</t>
        </is>
      </c>
    </row>
    <row r="3">
      <c r="A3" s="8" t="inlineStr">
        <is>
          <t>2026-08-28</t>
        </is>
      </c>
      <c r="B3" s="8" t="inlineStr">
        <is>
          <t>Crystal Palace</t>
        </is>
      </c>
      <c r="C3" s="8" t="inlineStr">
        <is>
          <t>Away</t>
        </is>
      </c>
      <c r="D3" s="8" t="n">
        <v>4</v>
      </c>
      <c r="E3" s="8" t="n">
        <v>1</v>
      </c>
      <c r="F3" s="10" t="n">
        <v>1.9</v>
      </c>
      <c r="G3" s="10" t="n">
        <v>1.02</v>
      </c>
      <c r="H3" s="10" t="n">
        <v>2.21</v>
      </c>
      <c r="I3" s="10" t="n">
        <v>0.66</v>
      </c>
      <c r="J3" s="10" t="n">
        <v>0.31</v>
      </c>
      <c r="K3" s="10" t="n">
        <v>-0.36</v>
      </c>
      <c r="L3" s="10" t="n">
        <v>0.12</v>
      </c>
      <c r="M3" s="10" t="n">
        <v>-0.4</v>
      </c>
      <c r="N3" s="10" t="n">
        <v>-0.05</v>
      </c>
      <c r="O3" s="10" t="n">
        <v>-0.58</v>
      </c>
      <c r="P3" s="10" t="n">
        <v>0.23</v>
      </c>
      <c r="Q3" s="10" t="n">
        <v>-0.78</v>
      </c>
      <c r="R3" s="10">
        <f>(H3-I3)-(F3-G3)</f>
        <v/>
      </c>
      <c r="S3" s="10">
        <f>(H3+I3)-(F3+G3)</f>
        <v/>
      </c>
      <c r="T3" s="10" t="n">
        <v>2.36</v>
      </c>
      <c r="U3" s="10" t="n">
        <v>1.96</v>
      </c>
      <c r="V3" s="10" t="n">
        <v>0.41</v>
      </c>
      <c r="W3" s="10" t="n">
        <v>4.75</v>
      </c>
      <c r="X3" s="10" t="n">
        <v>4.09</v>
      </c>
      <c r="Z3" s="4" t="inlineStr">
        <is>
          <t>Games vs expected</t>
        </is>
      </c>
      <c r="AA3" s="4" t="inlineStr">
        <is>
          <t>Above</t>
        </is>
      </c>
      <c r="AB3" s="4" t="inlineStr">
        <is>
          <t>Below</t>
        </is>
      </c>
    </row>
    <row r="4">
      <c r="A4" s="6" t="inlineStr">
        <is>
          <t>2026-09-05</t>
        </is>
      </c>
      <c r="B4" s="6" t="inlineStr">
        <is>
          <t>Coventry</t>
        </is>
      </c>
      <c r="C4" s="6" t="inlineStr">
        <is>
          <t>Home</t>
        </is>
      </c>
      <c r="D4" s="6" t="n">
        <v>1</v>
      </c>
      <c r="E4" s="6" t="n">
        <v>0</v>
      </c>
      <c r="F4" s="9" t="n">
        <v>2.89</v>
      </c>
      <c r="G4" s="9" t="n">
        <v>0.76</v>
      </c>
      <c r="H4" s="9" t="n">
        <v>2.12</v>
      </c>
      <c r="I4" s="9" t="n">
        <v>1.37</v>
      </c>
      <c r="J4" s="9" t="n">
        <v>-0.77</v>
      </c>
      <c r="K4" s="9" t="n">
        <v>0.61</v>
      </c>
      <c r="L4" s="9" t="n">
        <v>-0.18</v>
      </c>
      <c r="M4" s="9" t="n">
        <v>-0.06</v>
      </c>
      <c r="N4" s="9" t="n">
        <v>-0.36</v>
      </c>
      <c r="O4" s="9" t="n">
        <v>0.84</v>
      </c>
      <c r="P4" s="9" t="n">
        <v>0.03</v>
      </c>
      <c r="Q4" s="9" t="n">
        <v>-0.24</v>
      </c>
      <c r="R4" s="9">
        <f>(H4-I4)-(F4-G4)</f>
        <v/>
      </c>
      <c r="S4" s="9">
        <f>(H4+I4)-(F4+G4)</f>
        <v/>
      </c>
      <c r="T4" s="9" t="n">
        <v>1.85</v>
      </c>
      <c r="U4" s="9" t="n">
        <v>2.55</v>
      </c>
      <c r="V4" s="9" t="n">
        <v>-0.7</v>
      </c>
      <c r="W4" s="9" t="n">
        <v>6.59</v>
      </c>
      <c r="X4" s="9" t="n">
        <v>6.63</v>
      </c>
      <c r="Z4" s="6" t="inlineStr">
        <is>
          <t>xG For vs expected</t>
        </is>
      </c>
      <c r="AA4" s="5">
        <f>COUNTIF($J$2:$J$9,"&gt;0")</f>
        <v/>
      </c>
      <c r="AB4" s="5">
        <f>COUNTIF($J$2:$J$9,"&lt;0")</f>
        <v/>
      </c>
    </row>
    <row r="5">
      <c r="A5" s="8" t="inlineStr">
        <is>
          <t>2026-09-13</t>
        </is>
      </c>
      <c r="B5" s="8" t="inlineStr">
        <is>
          <t>Manchester United</t>
        </is>
      </c>
      <c r="C5" s="8" t="inlineStr">
        <is>
          <t>Away</t>
        </is>
      </c>
      <c r="D5" s="8" t="n">
        <v>1</v>
      </c>
      <c r="E5" s="8" t="n">
        <v>0</v>
      </c>
      <c r="F5" s="10" t="n">
        <v>1.8</v>
      </c>
      <c r="G5" s="10" t="n">
        <v>1.42</v>
      </c>
      <c r="H5" s="10" t="n">
        <v>1.1</v>
      </c>
      <c r="I5" s="10" t="n">
        <v>1</v>
      </c>
      <c r="J5" s="10" t="n">
        <v>-0.7</v>
      </c>
      <c r="K5" s="10" t="n">
        <v>-0.42</v>
      </c>
      <c r="L5" s="10" t="n">
        <v>-0.31</v>
      </c>
      <c r="M5" s="10" t="n">
        <v>-0.15</v>
      </c>
      <c r="N5" s="10" t="n">
        <v>-1.06</v>
      </c>
      <c r="O5" s="10" t="n">
        <v>-0.24</v>
      </c>
      <c r="P5" s="10" t="n">
        <v>-0.24</v>
      </c>
      <c r="Q5" s="10" t="n">
        <v>-0.24</v>
      </c>
      <c r="R5" s="10">
        <f>(H5-I5)-(F5-G5)</f>
        <v/>
      </c>
      <c r="S5" s="10">
        <f>(H5+I5)-(F5+G5)</f>
        <v/>
      </c>
      <c r="T5" s="10" t="n">
        <v>1.43</v>
      </c>
      <c r="U5" s="10" t="n">
        <v>1.63</v>
      </c>
      <c r="V5" s="10" t="n">
        <v>-0.2</v>
      </c>
      <c r="W5" s="10" t="n">
        <v>8.02</v>
      </c>
      <c r="X5" s="10" t="n">
        <v>8.26</v>
      </c>
      <c r="Z5" s="6" t="inlineStr">
        <is>
          <t>xG Against vs expected</t>
        </is>
      </c>
      <c r="AA5" s="5">
        <f>COUNTIF($K$2:$K$9,"&gt;0")</f>
        <v/>
      </c>
      <c r="AB5" s="5">
        <f>COUNTIF($K$2:$K$9,"&lt;0")</f>
        <v/>
      </c>
    </row>
    <row r="6">
      <c r="A6" s="6" t="inlineStr">
        <is>
          <t>2026-09-20</t>
        </is>
      </c>
      <c r="B6" s="6" t="inlineStr">
        <is>
          <t>Sunderland</t>
        </is>
      </c>
      <c r="C6" s="6" t="inlineStr">
        <is>
          <t>Home</t>
        </is>
      </c>
      <c r="D6" s="6" t="n">
        <v>5</v>
      </c>
      <c r="E6" s="6" t="n">
        <v>3</v>
      </c>
      <c r="F6" s="9" t="n">
        <v>2.35</v>
      </c>
      <c r="G6" s="9" t="n">
        <v>0.76</v>
      </c>
      <c r="H6" s="9" t="n">
        <v>2.82</v>
      </c>
      <c r="I6" s="9" t="n">
        <v>3.57</v>
      </c>
      <c r="J6" s="9" t="n">
        <v>0.46</v>
      </c>
      <c r="K6" s="9" t="n">
        <v>2.81</v>
      </c>
      <c r="L6" s="9" t="n">
        <v>-0.15</v>
      </c>
      <c r="M6" s="9" t="n">
        <v>0.44</v>
      </c>
      <c r="N6" s="9" t="n">
        <v>0.23</v>
      </c>
      <c r="O6" s="9" t="n">
        <v>2.82</v>
      </c>
      <c r="P6" s="9" t="n">
        <v>-0.15</v>
      </c>
      <c r="Q6" s="9" t="n">
        <v>0.37</v>
      </c>
      <c r="R6" s="9">
        <f>(H6-I6)-(F6-G6)</f>
        <v/>
      </c>
      <c r="S6" s="9">
        <f>(H6+I6)-(F6+G6)</f>
        <v/>
      </c>
      <c r="T6" s="9" t="n">
        <v>1.08</v>
      </c>
      <c r="U6" s="9" t="n">
        <v>2.36</v>
      </c>
      <c r="V6" s="9" t="n">
        <v>-1.28</v>
      </c>
      <c r="W6" s="9" t="n">
        <v>9.1</v>
      </c>
      <c r="X6" s="9" t="n">
        <v>10.62</v>
      </c>
      <c r="Z6" s="6" t="inlineStr">
        <is>
          <t>Goals For vs expected</t>
        </is>
      </c>
      <c r="AA6" s="5">
        <f>SUMPRODUCT(--($D$2:$D$9&gt;$F$2:$F$9))</f>
        <v/>
      </c>
      <c r="AB6" s="5">
        <f>SUMPRODUCT(--($D$2:$D$9&lt;$F$2:$F$9))</f>
        <v/>
      </c>
    </row>
    <row r="7">
      <c r="A7" s="8" t="inlineStr">
        <is>
          <t>2026-10-11</t>
        </is>
      </c>
      <c r="B7" s="8" t="inlineStr">
        <is>
          <t>Liverpool</t>
        </is>
      </c>
      <c r="C7" s="8" t="inlineStr">
        <is>
          <t>Away</t>
        </is>
      </c>
      <c r="D7" s="8" t="n">
        <v>3</v>
      </c>
      <c r="E7" s="8" t="n">
        <v>0</v>
      </c>
      <c r="F7" s="10" t="n">
        <v>1.6</v>
      </c>
      <c r="G7" s="10" t="n">
        <v>1.52</v>
      </c>
      <c r="H7" s="10" t="n">
        <v>1.28</v>
      </c>
      <c r="I7" s="10" t="n">
        <v>0.9399999999999999</v>
      </c>
      <c r="J7" s="10" t="n">
        <v>-0.32</v>
      </c>
      <c r="K7" s="10" t="n">
        <v>-0.58</v>
      </c>
      <c r="L7" s="10" t="n">
        <v>-0.18</v>
      </c>
      <c r="M7" s="10" t="n">
        <v>0.27</v>
      </c>
      <c r="N7" s="10" t="n">
        <v>-0.24</v>
      </c>
      <c r="O7" s="10" t="n">
        <v>-0.23</v>
      </c>
      <c r="P7" s="10" t="n">
        <v>-0.16</v>
      </c>
      <c r="Q7" s="10" t="n">
        <v>0.27</v>
      </c>
      <c r="R7" s="10">
        <f>(H7-I7)-(F7-G7)</f>
        <v/>
      </c>
      <c r="S7" s="10">
        <f>(H7+I7)-(F7+G7)</f>
        <v/>
      </c>
      <c r="T7" s="10" t="n">
        <v>1.61</v>
      </c>
      <c r="U7" s="10" t="n">
        <v>1.44</v>
      </c>
      <c r="V7" s="10" t="n">
        <v>0.18</v>
      </c>
      <c r="W7" s="10" t="n">
        <v>10.71</v>
      </c>
      <c r="X7" s="10" t="n">
        <v>12.05</v>
      </c>
      <c r="Z7" s="6" t="inlineStr">
        <is>
          <t>Goals Against vs expected</t>
        </is>
      </c>
      <c r="AA7" s="5">
        <f>SUMPRODUCT(--($E$2:$E$9&gt;$G$2:$G$9))</f>
        <v/>
      </c>
      <c r="AB7" s="5">
        <f>SUMPRODUCT(--($E$2:$E$9&lt;$G$2:$G$9))</f>
        <v/>
      </c>
    </row>
    <row r="8">
      <c r="A8" s="6" t="inlineStr">
        <is>
          <t>2026-10-17</t>
        </is>
      </c>
      <c r="B8" s="6" t="inlineStr">
        <is>
          <t>Ipswich</t>
        </is>
      </c>
      <c r="C8" s="6" t="inlineStr">
        <is>
          <t>Home</t>
        </is>
      </c>
      <c r="D8" s="6" t="n">
        <v>3</v>
      </c>
      <c r="E8" s="6" t="n">
        <v>2</v>
      </c>
      <c r="F8" s="9" t="n">
        <v>2.76</v>
      </c>
      <c r="G8" s="9" t="n">
        <v>0.79</v>
      </c>
      <c r="H8" s="9" t="n">
        <v>3.35</v>
      </c>
      <c r="I8" s="9" t="n">
        <v>1.86</v>
      </c>
      <c r="J8" s="9" t="n">
        <v>0.59</v>
      </c>
      <c r="K8" s="9" t="n">
        <v>1.07</v>
      </c>
      <c r="L8" s="9" t="n">
        <v>-0.07000000000000001</v>
      </c>
      <c r="M8" s="9" t="n">
        <v>0.52</v>
      </c>
      <c r="N8" s="9" t="n">
        <v>0.5</v>
      </c>
      <c r="O8" s="9" t="n">
        <v>0.91</v>
      </c>
      <c r="P8" s="9" t="n">
        <v>-0.16</v>
      </c>
      <c r="Q8" s="9" t="n">
        <v>0.59</v>
      </c>
      <c r="R8" s="9">
        <f>(H8-I8)-(F8-G8)</f>
        <v/>
      </c>
      <c r="S8" s="9">
        <f>(H8+I8)-(F8+G8)</f>
        <v/>
      </c>
      <c r="T8" s="9" t="n">
        <v>2.14</v>
      </c>
      <c r="U8" s="9" t="n">
        <v>2.49</v>
      </c>
      <c r="V8" s="9" t="n">
        <v>-0.34</v>
      </c>
      <c r="W8" s="9" t="n">
        <v>12.85</v>
      </c>
      <c r="X8" s="9" t="n">
        <v>14.54</v>
      </c>
      <c r="Z8" s="12" t="inlineStr">
        <is>
          <t>For: Above = beat expectation. Against: Above = conceded more than expected (worse).</t>
        </is>
      </c>
    </row>
    <row r="9">
      <c r="A9" s="8" t="inlineStr">
        <is>
          <t>2026-10-24</t>
        </is>
      </c>
      <c r="B9" s="8" t="inlineStr">
        <is>
          <t>Aston Villa</t>
        </is>
      </c>
      <c r="C9" s="8" t="inlineStr">
        <is>
          <t>Away</t>
        </is>
      </c>
      <c r="D9" s="8" t="n">
        <v>1</v>
      </c>
      <c r="E9" s="8" t="n">
        <v>2</v>
      </c>
      <c r="F9" s="10" t="n">
        <v>2.1</v>
      </c>
      <c r="G9" s="10" t="n">
        <v>1.13</v>
      </c>
      <c r="H9" s="10" t="n">
        <v>1.56</v>
      </c>
      <c r="I9" s="10" t="n">
        <v>0.61</v>
      </c>
      <c r="J9" s="10" t="n">
        <v>-0.54</v>
      </c>
      <c r="K9" s="10" t="n">
        <v>-0.52</v>
      </c>
      <c r="L9" s="10" t="n">
        <v>-0.21</v>
      </c>
      <c r="M9" s="10" t="n">
        <v>0.5</v>
      </c>
      <c r="N9" s="10" t="n">
        <v>-0.65</v>
      </c>
      <c r="O9" s="10" t="n">
        <v>-0.39</v>
      </c>
      <c r="P9" s="10" t="n">
        <v>-0.26</v>
      </c>
      <c r="Q9" s="10" t="n">
        <v>0.62</v>
      </c>
      <c r="R9" s="10">
        <f>(H9-I9)-(F9-G9)</f>
        <v/>
      </c>
      <c r="S9" s="10">
        <f>(H9+I9)-(F9+G9)</f>
        <v/>
      </c>
      <c r="T9" s="10" t="n">
        <v>2.07</v>
      </c>
      <c r="U9" s="10" t="n">
        <v>2</v>
      </c>
      <c r="V9" s="10" t="n">
        <v>0.07000000000000001</v>
      </c>
      <c r="W9" s="10" t="n">
        <v>14.92</v>
      </c>
      <c r="X9" s="10" t="n">
        <v>16.54</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11</v>
      </c>
      <c r="D37" s="16" t="n">
        <v>6</v>
      </c>
      <c r="E37" s="20" t="n">
        <v>-0.96</v>
      </c>
      <c r="F37" s="20" t="n">
        <v>-0.93</v>
      </c>
      <c r="G37" s="20" t="n">
        <v>1.07</v>
      </c>
      <c r="H37" s="20" t="n">
        <v>0.75</v>
      </c>
      <c r="AF37" s="11" t="inlineStr">
        <is>
          <t>Manchester City: closing odds to win, by opponent (league table order)</t>
        </is>
      </c>
    </row>
    <row r="38">
      <c r="A38" s="16" t="inlineStr">
        <is>
          <t>Away</t>
        </is>
      </c>
      <c r="B38" s="16" t="n">
        <v>4</v>
      </c>
      <c r="C38" s="16" t="n">
        <v>9</v>
      </c>
      <c r="D38" s="16" t="n">
        <v>3</v>
      </c>
      <c r="E38" s="20" t="n">
        <v>0.16</v>
      </c>
      <c r="F38" s="20" t="n">
        <v>0.12</v>
      </c>
      <c r="G38" s="20" t="n">
        <v>-0.79</v>
      </c>
      <c r="H38" s="20" t="n">
        <v>-0.99</v>
      </c>
      <c r="AF38" s="4" t="inlineStr">
        <is>
          <t>League Table</t>
        </is>
      </c>
      <c r="AG38" s="4" t="inlineStr">
        <is>
          <t>Home Odds</t>
        </is>
      </c>
      <c r="AH38" s="4" t="inlineStr">
        <is>
          <t>Away Odds</t>
        </is>
      </c>
    </row>
    <row r="39">
      <c r="A39" s="21" t="inlineStr">
        <is>
          <t>Total</t>
        </is>
      </c>
      <c r="B39" s="21" t="n">
        <v>8</v>
      </c>
      <c r="C39" s="21" t="n">
        <v>20</v>
      </c>
      <c r="D39" s="21" t="n">
        <v>9</v>
      </c>
      <c r="E39" s="22" t="n">
        <v>-0.4</v>
      </c>
      <c r="F39" s="22" t="n">
        <v>-0.15</v>
      </c>
      <c r="G39" s="22" t="n">
        <v>0.14</v>
      </c>
      <c r="H39" s="22" t="n">
        <v>-0.34</v>
      </c>
      <c r="AF39" s="23" t="inlineStr">
        <is>
          <t>1. Manchester City</t>
        </is>
      </c>
      <c r="AG39" s="24" t="n"/>
      <c r="AH39" s="24" t="n"/>
    </row>
    <row r="40">
      <c r="AF40" s="6" t="inlineStr">
        <is>
          <t>2. Arsenal</t>
        </is>
      </c>
      <c r="AG40" s="15" t="n"/>
      <c r="AH40" s="15" t="n"/>
    </row>
    <row r="41">
      <c r="AF41" s="6" t="inlineStr">
        <is>
          <t>3. Brighton &amp; Hove Albion</t>
        </is>
      </c>
      <c r="AG41" s="15" t="n"/>
      <c r="AH41" s="15" t="n"/>
    </row>
    <row r="42">
      <c r="AF42" s="6" t="inlineStr">
        <is>
          <t>4. Liverpool</t>
        </is>
      </c>
      <c r="AG42" s="15" t="n"/>
      <c r="AH42" s="26" t="n">
        <v>2</v>
      </c>
    </row>
    <row r="43">
      <c r="AF43" s="6" t="inlineStr">
        <is>
          <t>5. Chelsea</t>
        </is>
      </c>
      <c r="AG43" s="15" t="n"/>
      <c r="AH43" s="15" t="n"/>
    </row>
    <row r="44">
      <c r="AF44" s="6" t="inlineStr">
        <is>
          <t>6. Brentford</t>
        </is>
      </c>
      <c r="AG44" s="15" t="n"/>
      <c r="AH44" s="15" t="n"/>
    </row>
    <row r="45">
      <c r="AF45" s="6" t="inlineStr">
        <is>
          <t>7. Leeds United</t>
        </is>
      </c>
      <c r="AG45" s="15" t="n"/>
      <c r="AH45" s="15" t="n"/>
    </row>
    <row r="46">
      <c r="AF46" s="6" t="inlineStr">
        <is>
          <t>8. Newcastle United</t>
        </is>
      </c>
      <c r="AG46" s="15" t="n"/>
      <c r="AH46" s="15" t="n"/>
    </row>
    <row r="47">
      <c r="AF47" s="6" t="inlineStr">
        <is>
          <t>9. Aston Villa</t>
        </is>
      </c>
      <c r="AG47" s="15" t="n"/>
      <c r="AH47" s="25" t="n">
        <v>1.57</v>
      </c>
    </row>
    <row r="48">
      <c r="AF48" s="6" t="inlineStr">
        <is>
          <t>10. Hull</t>
        </is>
      </c>
      <c r="AG48" s="15" t="n"/>
      <c r="AH48" s="15" t="n"/>
    </row>
    <row r="49">
      <c r="AF49" s="6" t="inlineStr">
        <is>
          <t>11. Everton</t>
        </is>
      </c>
      <c r="AG49" s="15" t="n"/>
      <c r="AH49" s="15" t="n"/>
    </row>
    <row r="50">
      <c r="AF50" s="6" t="inlineStr">
        <is>
          <t>12. Ipswich</t>
        </is>
      </c>
      <c r="AG50" s="26" t="n">
        <v>1.2</v>
      </c>
      <c r="AH50" s="15" t="n"/>
    </row>
    <row r="51">
      <c r="AF51" s="6" t="inlineStr">
        <is>
          <t>13. Bournemouth</t>
        </is>
      </c>
      <c r="AG51" s="26" t="n">
        <v>1.44</v>
      </c>
      <c r="AH51" s="15" t="n"/>
    </row>
    <row r="52">
      <c r="AF52" s="6" t="inlineStr">
        <is>
          <t>14. Tottenham Hotspur</t>
        </is>
      </c>
      <c r="AG52" s="15" t="n"/>
      <c r="AH52" s="15" t="n"/>
    </row>
    <row r="53">
      <c r="AF53" s="6" t="inlineStr">
        <is>
          <t>15. Fulham</t>
        </is>
      </c>
      <c r="AG53" s="15" t="n"/>
      <c r="AH53" s="15" t="n"/>
    </row>
    <row r="54">
      <c r="AF54" s="6" t="inlineStr">
        <is>
          <t>16. Manchester United</t>
        </is>
      </c>
      <c r="AG54" s="15" t="n"/>
      <c r="AH54" s="26" t="n">
        <v>2.2</v>
      </c>
    </row>
    <row r="55">
      <c r="AF55" s="6" t="inlineStr">
        <is>
          <t>17. Crystal Palace</t>
        </is>
      </c>
      <c r="AG55" s="15" t="n"/>
      <c r="AH55" s="26" t="n">
        <v>1.62</v>
      </c>
    </row>
    <row r="56">
      <c r="AF56" s="6" t="inlineStr">
        <is>
          <t>18. Nottingham Forest</t>
        </is>
      </c>
      <c r="AG56" s="15" t="n"/>
      <c r="AH56" s="15" t="n"/>
    </row>
    <row r="57">
      <c r="AF57" s="6" t="inlineStr">
        <is>
          <t>19. Coventry</t>
        </is>
      </c>
      <c r="AG57" s="26" t="n">
        <v>1.17</v>
      </c>
      <c r="AH57" s="15" t="n"/>
    </row>
    <row r="58">
      <c r="AF58" s="6" t="inlineStr">
        <is>
          <t>20. Sunderland</t>
        </is>
      </c>
      <c r="AG58" s="26" t="n">
        <v>1.33</v>
      </c>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Hull</t>
        </is>
      </c>
      <c r="C2" s="6" t="inlineStr">
        <is>
          <t>Away</t>
        </is>
      </c>
      <c r="D2" s="6" t="n">
        <v>0</v>
      </c>
      <c r="E2" s="6" t="n">
        <v>2</v>
      </c>
      <c r="F2" s="9" t="n">
        <v>2.23</v>
      </c>
      <c r="G2" s="9" t="n">
        <v>0.77</v>
      </c>
      <c r="H2" s="9" t="n">
        <v>1.83</v>
      </c>
      <c r="I2" s="9" t="n">
        <v>1.01</v>
      </c>
      <c r="J2" s="9" t="n">
        <v>-0.4</v>
      </c>
      <c r="K2" s="9" t="n">
        <v>0.24</v>
      </c>
      <c r="L2" s="9" t="n">
        <v>-0.4</v>
      </c>
      <c r="M2" s="9" t="n">
        <v>0.24</v>
      </c>
      <c r="N2" s="9" t="n">
        <v>0.02</v>
      </c>
      <c r="O2" s="9" t="n">
        <v>0.21</v>
      </c>
      <c r="P2" s="9" t="n">
        <v>0.02</v>
      </c>
      <c r="Q2" s="9" t="n">
        <v>0.21</v>
      </c>
      <c r="R2" s="9">
        <f>(H2-I2)-(F2-G2)</f>
        <v/>
      </c>
      <c r="S2" s="9">
        <f>(H2+I2)-(F2+G2)</f>
        <v/>
      </c>
      <c r="T2" s="9" t="n">
        <v>1.93</v>
      </c>
      <c r="U2" s="9" t="n">
        <v>2.3</v>
      </c>
      <c r="V2" s="9" t="n">
        <v>-0.37</v>
      </c>
      <c r="W2" s="9" t="n">
        <v>1.93</v>
      </c>
      <c r="X2" s="9" t="n">
        <v>2.3</v>
      </c>
      <c r="Z2" s="12" t="inlineStr">
        <is>
          <t>Expected = the pre-match market xG (what the odds implied) for each side.</t>
        </is>
      </c>
    </row>
    <row r="3">
      <c r="A3" s="8" t="inlineStr">
        <is>
          <t>2026-08-30</t>
        </is>
      </c>
      <c r="B3" s="8" t="inlineStr">
        <is>
          <t>Ipswich</t>
        </is>
      </c>
      <c r="C3" s="8" t="inlineStr">
        <is>
          <t>Home</t>
        </is>
      </c>
      <c r="D3" s="8" t="n">
        <v>5</v>
      </c>
      <c r="E3" s="8" t="n">
        <v>2</v>
      </c>
      <c r="F3" s="10" t="n">
        <v>2.22</v>
      </c>
      <c r="G3" s="10" t="n">
        <v>0.87</v>
      </c>
      <c r="H3" s="10" t="n">
        <v>4.77</v>
      </c>
      <c r="I3" s="10" t="n">
        <v>2.06</v>
      </c>
      <c r="J3" s="10" t="n">
        <v>2.55</v>
      </c>
      <c r="K3" s="10" t="n">
        <v>1.19</v>
      </c>
      <c r="L3" s="10" t="n">
        <v>1.08</v>
      </c>
      <c r="M3" s="10" t="n">
        <v>0.71</v>
      </c>
      <c r="N3" s="10" t="n">
        <v>2.74</v>
      </c>
      <c r="O3" s="10" t="n">
        <v>1.04</v>
      </c>
      <c r="P3" s="10" t="n">
        <v>1.38</v>
      </c>
      <c r="Q3" s="10" t="n">
        <v>0.63</v>
      </c>
      <c r="R3" s="10">
        <f>(H3-I3)-(F3-G3)</f>
        <v/>
      </c>
      <c r="S3" s="10">
        <f>(H3+I3)-(F3+G3)</f>
        <v/>
      </c>
      <c r="T3" s="10" t="n">
        <v>2.47</v>
      </c>
      <c r="U3" s="10" t="n">
        <v>2.22</v>
      </c>
      <c r="V3" s="10" t="n">
        <v>0.25</v>
      </c>
      <c r="W3" s="10" t="n">
        <v>4.4</v>
      </c>
      <c r="X3" s="10" t="n">
        <v>4.52</v>
      </c>
      <c r="Z3" s="4" t="inlineStr">
        <is>
          <t>Games vs expected</t>
        </is>
      </c>
      <c r="AA3" s="4" t="inlineStr">
        <is>
          <t>Above</t>
        </is>
      </c>
      <c r="AB3" s="4" t="inlineStr">
        <is>
          <t>Below</t>
        </is>
      </c>
    </row>
    <row r="4">
      <c r="A4" s="6" t="inlineStr">
        <is>
          <t>2026-09-06</t>
        </is>
      </c>
      <c r="B4" s="6" t="inlineStr">
        <is>
          <t>Everton</t>
        </is>
      </c>
      <c r="C4" s="6" t="inlineStr">
        <is>
          <t>Away</t>
        </is>
      </c>
      <c r="D4" s="6" t="n">
        <v>2</v>
      </c>
      <c r="E4" s="6" t="n">
        <v>2</v>
      </c>
      <c r="F4" s="9" t="n">
        <v>1.64</v>
      </c>
      <c r="G4" s="9" t="n">
        <v>1.28</v>
      </c>
      <c r="H4" s="9" t="n">
        <v>0.6899999999999999</v>
      </c>
      <c r="I4" s="9" t="n">
        <v>1.01</v>
      </c>
      <c r="J4" s="9" t="n">
        <v>-0.95</v>
      </c>
      <c r="K4" s="9" t="n">
        <v>-0.27</v>
      </c>
      <c r="L4" s="9" t="n">
        <v>0.4</v>
      </c>
      <c r="M4" s="9" t="n">
        <v>0.39</v>
      </c>
      <c r="N4" s="9" t="n">
        <v>-1.08</v>
      </c>
      <c r="O4" s="9" t="n">
        <v>-0.26</v>
      </c>
      <c r="P4" s="9" t="n">
        <v>0.5600000000000001</v>
      </c>
      <c r="Q4" s="9" t="n">
        <v>0.33</v>
      </c>
      <c r="R4" s="9">
        <f>(H4-I4)-(F4-G4)</f>
        <v/>
      </c>
      <c r="S4" s="9">
        <f>(H4+I4)-(F4+G4)</f>
        <v/>
      </c>
      <c r="T4" s="9" t="n">
        <v>1.07</v>
      </c>
      <c r="U4" s="9" t="n">
        <v>1.62</v>
      </c>
      <c r="V4" s="9" t="n">
        <v>-0.5600000000000001</v>
      </c>
      <c r="W4" s="9" t="n">
        <v>5.47</v>
      </c>
      <c r="X4" s="9" t="n">
        <v>6.14</v>
      </c>
      <c r="Z4" s="6" t="inlineStr">
        <is>
          <t>xG For vs expected</t>
        </is>
      </c>
      <c r="AA4" s="5">
        <f>COUNTIF($J$2:$J$9,"&gt;0")</f>
        <v/>
      </c>
      <c r="AB4" s="5">
        <f>COUNTIF($J$2:$J$9,"&lt;0")</f>
        <v/>
      </c>
    </row>
    <row r="5">
      <c r="A5" s="8" t="inlineStr">
        <is>
          <t>2026-09-13</t>
        </is>
      </c>
      <c r="B5" s="8" t="inlineStr">
        <is>
          <t>Manchester City</t>
        </is>
      </c>
      <c r="C5" s="8" t="inlineStr">
        <is>
          <t>Home</t>
        </is>
      </c>
      <c r="D5" s="8" t="n">
        <v>0</v>
      </c>
      <c r="E5" s="8" t="n">
        <v>1</v>
      </c>
      <c r="F5" s="10" t="n">
        <v>1.42</v>
      </c>
      <c r="G5" s="10" t="n">
        <v>1.8</v>
      </c>
      <c r="H5" s="10" t="n">
        <v>1</v>
      </c>
      <c r="I5" s="10" t="n">
        <v>1.1</v>
      </c>
      <c r="J5" s="10" t="n">
        <v>-0.42</v>
      </c>
      <c r="K5" s="10" t="n">
        <v>-0.7</v>
      </c>
      <c r="L5" s="10" t="n">
        <v>0.2</v>
      </c>
      <c r="M5" s="10" t="n">
        <v>0.12</v>
      </c>
      <c r="N5" s="10" t="n">
        <v>-0.79</v>
      </c>
      <c r="O5" s="10" t="n">
        <v>-0.65</v>
      </c>
      <c r="P5" s="10" t="n">
        <v>0.22</v>
      </c>
      <c r="Q5" s="10" t="n">
        <v>0.09</v>
      </c>
      <c r="R5" s="10">
        <f>(H5-I5)-(F5-G5)</f>
        <v/>
      </c>
      <c r="S5" s="10">
        <f>(H5+I5)-(F5+G5)</f>
        <v/>
      </c>
      <c r="T5" s="10" t="n">
        <v>1.27</v>
      </c>
      <c r="U5" s="10" t="n">
        <v>1.14</v>
      </c>
      <c r="V5" s="10" t="n">
        <v>0.13</v>
      </c>
      <c r="W5" s="10" t="n">
        <v>6.74</v>
      </c>
      <c r="X5" s="10" t="n">
        <v>7.29</v>
      </c>
      <c r="Z5" s="6" t="inlineStr">
        <is>
          <t>xG Against vs expected</t>
        </is>
      </c>
      <c r="AA5" s="5">
        <f>COUNTIF($K$2:$K$9,"&gt;0")</f>
        <v/>
      </c>
      <c r="AB5" s="5">
        <f>COUNTIF($K$2:$K$9,"&lt;0")</f>
        <v/>
      </c>
    </row>
    <row r="6">
      <c r="A6" s="6" t="inlineStr">
        <is>
          <t>2026-09-20</t>
        </is>
      </c>
      <c r="B6" s="6" t="inlineStr">
        <is>
          <t>Fulham</t>
        </is>
      </c>
      <c r="C6" s="6" t="inlineStr">
        <is>
          <t>Away</t>
        </is>
      </c>
      <c r="D6" s="6" t="n">
        <v>1</v>
      </c>
      <c r="E6" s="6" t="n">
        <v>1</v>
      </c>
      <c r="F6" s="9" t="n">
        <v>1.8</v>
      </c>
      <c r="G6" s="9" t="n">
        <v>1.32</v>
      </c>
      <c r="H6" s="9" t="n">
        <v>1.6</v>
      </c>
      <c r="I6" s="9" t="n">
        <v>1.62</v>
      </c>
      <c r="J6" s="9" t="n">
        <v>-0.2</v>
      </c>
      <c r="K6" s="9" t="n">
        <v>0.3</v>
      </c>
      <c r="L6" s="9" t="n">
        <v>0.12</v>
      </c>
      <c r="M6" s="9" t="n">
        <v>0.15</v>
      </c>
      <c r="N6" s="9" t="n">
        <v>-0.05</v>
      </c>
      <c r="O6" s="9" t="n">
        <v>0.28</v>
      </c>
      <c r="P6" s="9" t="n">
        <v>0.17</v>
      </c>
      <c r="Q6" s="9" t="n">
        <v>0.12</v>
      </c>
      <c r="R6" s="9">
        <f>(H6-I6)-(F6-G6)</f>
        <v/>
      </c>
      <c r="S6" s="9">
        <f>(H6+I6)-(F6+G6)</f>
        <v/>
      </c>
      <c r="T6" s="9" t="n">
        <v>1.37</v>
      </c>
      <c r="U6" s="9" t="n">
        <v>1.69</v>
      </c>
      <c r="V6" s="9" t="n">
        <v>-0.32</v>
      </c>
      <c r="W6" s="9" t="n">
        <v>8.109999999999999</v>
      </c>
      <c r="X6" s="9" t="n">
        <v>8.98</v>
      </c>
      <c r="Z6" s="6" t="inlineStr">
        <is>
          <t>Goals For vs expected</t>
        </is>
      </c>
      <c r="AA6" s="5">
        <f>SUMPRODUCT(--($D$2:$D$9&gt;$F$2:$F$9))</f>
        <v/>
      </c>
      <c r="AB6" s="5">
        <f>SUMPRODUCT(--($D$2:$D$9&lt;$F$2:$F$9))</f>
        <v/>
      </c>
    </row>
    <row r="7">
      <c r="A7" s="8" t="inlineStr">
        <is>
          <t>2026-10-10</t>
        </is>
      </c>
      <c r="B7" s="8" t="inlineStr">
        <is>
          <t>Tottenham Hotspur</t>
        </is>
      </c>
      <c r="C7" s="8" t="inlineStr">
        <is>
          <t>Home</t>
        </is>
      </c>
      <c r="D7" s="8" t="n">
        <v>1</v>
      </c>
      <c r="E7" s="8" t="n">
        <v>1</v>
      </c>
      <c r="F7" s="10" t="n">
        <v>2.05</v>
      </c>
      <c r="G7" s="10" t="n">
        <v>1.2</v>
      </c>
      <c r="H7" s="10" t="n">
        <v>0.8</v>
      </c>
      <c r="I7" s="10" t="n">
        <v>1.62</v>
      </c>
      <c r="J7" s="10" t="n">
        <v>-1.25</v>
      </c>
      <c r="K7" s="10" t="n">
        <v>0.42</v>
      </c>
      <c r="L7" s="10" t="n">
        <v>-0.11</v>
      </c>
      <c r="M7" s="10" t="n">
        <v>0.2</v>
      </c>
      <c r="N7" s="10" t="n">
        <v>-1.19</v>
      </c>
      <c r="O7" s="10" t="n">
        <v>1.03</v>
      </c>
      <c r="P7" s="10" t="n">
        <v>-0.06</v>
      </c>
      <c r="Q7" s="10" t="n">
        <v>0.27</v>
      </c>
      <c r="R7" s="10">
        <f>(H7-I7)-(F7-G7)</f>
        <v/>
      </c>
      <c r="S7" s="10">
        <f>(H7+I7)-(F7+G7)</f>
        <v/>
      </c>
      <c r="T7" s="10" t="n">
        <v>0.8</v>
      </c>
      <c r="U7" s="10" t="n">
        <v>1.92</v>
      </c>
      <c r="V7" s="10" t="n">
        <v>-1.12</v>
      </c>
      <c r="W7" s="10" t="n">
        <v>8.91</v>
      </c>
      <c r="X7" s="10" t="n">
        <v>10.9</v>
      </c>
      <c r="Z7" s="6" t="inlineStr">
        <is>
          <t>Goals Against vs expected</t>
        </is>
      </c>
      <c r="AA7" s="5">
        <f>SUMPRODUCT(--($E$2:$E$9&gt;$G$2:$G$9))</f>
        <v/>
      </c>
      <c r="AB7" s="5">
        <f>SUMPRODUCT(--($E$2:$E$9&lt;$G$2:$G$9))</f>
        <v/>
      </c>
    </row>
    <row r="8">
      <c r="A8" s="6" t="inlineStr">
        <is>
          <t>2026-10-18</t>
        </is>
      </c>
      <c r="B8" s="6" t="inlineStr">
        <is>
          <t>Leeds United</t>
        </is>
      </c>
      <c r="C8" s="6" t="inlineStr">
        <is>
          <t>Away</t>
        </is>
      </c>
      <c r="D8" s="6" t="n">
        <v>1</v>
      </c>
      <c r="E8" s="6" t="n">
        <v>1</v>
      </c>
      <c r="F8" s="9" t="n">
        <v>1.41</v>
      </c>
      <c r="G8" s="9" t="n">
        <v>1.59</v>
      </c>
      <c r="H8" s="9" t="n">
        <v>0.92</v>
      </c>
      <c r="I8" s="9" t="n">
        <v>1.41</v>
      </c>
      <c r="J8" s="9" t="n">
        <v>-0.49</v>
      </c>
      <c r="K8" s="9" t="n">
        <v>-0.18</v>
      </c>
      <c r="L8" s="9" t="n">
        <v>-0.13</v>
      </c>
      <c r="M8" s="9" t="n">
        <v>0.13</v>
      </c>
      <c r="N8" s="9" t="n">
        <v>-0.45</v>
      </c>
      <c r="O8" s="9" t="n">
        <v>-0.19</v>
      </c>
      <c r="P8" s="9" t="n">
        <v>-0.14</v>
      </c>
      <c r="Q8" s="9" t="n">
        <v>0.21</v>
      </c>
      <c r="R8" s="9">
        <f>(H8-I8)-(F8-G8)</f>
        <v/>
      </c>
      <c r="S8" s="9">
        <f>(H8+I8)-(F8+G8)</f>
        <v/>
      </c>
      <c r="T8" s="9" t="n">
        <v>1.01</v>
      </c>
      <c r="U8" s="9" t="n">
        <v>1.26</v>
      </c>
      <c r="V8" s="9" t="n">
        <v>-0.26</v>
      </c>
      <c r="W8" s="9" t="n">
        <v>9.92</v>
      </c>
      <c r="X8" s="9" t="n">
        <v>12.16</v>
      </c>
      <c r="Z8" s="12" t="inlineStr">
        <is>
          <t>For: Above = beat expectation. Against: Above = conceded more than expected (worse).</t>
        </is>
      </c>
    </row>
    <row r="9">
      <c r="A9" s="8" t="inlineStr">
        <is>
          <t>2026-10-25</t>
        </is>
      </c>
      <c r="B9" s="8" t="inlineStr">
        <is>
          <t>Bournemouth</t>
        </is>
      </c>
      <c r="C9" s="8" t="inlineStr">
        <is>
          <t>Home</t>
        </is>
      </c>
      <c r="D9" s="8" t="n">
        <v>0</v>
      </c>
      <c r="E9" s="8" t="n">
        <v>3</v>
      </c>
      <c r="F9" s="10" t="n">
        <v>1.69</v>
      </c>
      <c r="G9" s="10" t="n">
        <v>1.34</v>
      </c>
      <c r="H9" s="10" t="n">
        <v>1.17</v>
      </c>
      <c r="I9" s="10" t="n">
        <v>2.15</v>
      </c>
      <c r="J9" s="10" t="n">
        <v>-0.52</v>
      </c>
      <c r="K9" s="10" t="n">
        <v>0.8</v>
      </c>
      <c r="L9" s="10" t="n">
        <v>-0.64</v>
      </c>
      <c r="M9" s="10" t="n">
        <v>0.06</v>
      </c>
      <c r="N9" s="10" t="n">
        <v>-0.01</v>
      </c>
      <c r="O9" s="10" t="n">
        <v>0.44</v>
      </c>
      <c r="P9" s="10" t="n">
        <v>-0.59</v>
      </c>
      <c r="Q9" s="10" t="n">
        <v>0.11</v>
      </c>
      <c r="R9" s="10">
        <f>(H9-I9)-(F9-G9)</f>
        <v/>
      </c>
      <c r="S9" s="10">
        <f>(H9+I9)-(F9+G9)</f>
        <v/>
      </c>
      <c r="T9" s="10" t="n">
        <v>0.8</v>
      </c>
      <c r="U9" s="10" t="n">
        <v>1.6</v>
      </c>
      <c r="V9" s="10" t="n">
        <v>-0.8</v>
      </c>
      <c r="W9" s="10" t="n">
        <v>10.72</v>
      </c>
      <c r="X9" s="10" t="n">
        <v>13.77</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6</v>
      </c>
      <c r="D37" s="16" t="n">
        <v>7</v>
      </c>
      <c r="E37" s="20" t="n">
        <v>-0.33</v>
      </c>
      <c r="F37" s="20" t="n">
        <v>-0.52</v>
      </c>
      <c r="G37" s="20" t="n">
        <v>0.52</v>
      </c>
      <c r="H37" s="20" t="n">
        <v>-0.27</v>
      </c>
      <c r="AF37" s="11" t="inlineStr">
        <is>
          <t>Manchester United: closing odds to win, by opponent (league table order)</t>
        </is>
      </c>
    </row>
    <row r="38">
      <c r="A38" s="16" t="inlineStr">
        <is>
          <t>Away</t>
        </is>
      </c>
      <c r="B38" s="16" t="n">
        <v>4</v>
      </c>
      <c r="C38" s="16" t="n">
        <v>4</v>
      </c>
      <c r="D38" s="16" t="n">
        <v>6</v>
      </c>
      <c r="E38" s="20" t="n">
        <v>-0.54</v>
      </c>
      <c r="F38" s="20" t="n">
        <v>-0.57</v>
      </c>
      <c r="G38" s="20" t="n">
        <v>-0.48</v>
      </c>
      <c r="H38" s="20" t="n">
        <v>-0.41</v>
      </c>
      <c r="AF38" s="4" t="inlineStr">
        <is>
          <t>League Table</t>
        </is>
      </c>
      <c r="AG38" s="4" t="inlineStr">
        <is>
          <t>Home Odds</t>
        </is>
      </c>
      <c r="AH38" s="4" t="inlineStr">
        <is>
          <t>Away Odds</t>
        </is>
      </c>
    </row>
    <row r="39">
      <c r="A39" s="21" t="inlineStr">
        <is>
          <t>Total</t>
        </is>
      </c>
      <c r="B39" s="21" t="n">
        <v>8</v>
      </c>
      <c r="C39" s="21" t="n">
        <v>10</v>
      </c>
      <c r="D39" s="21" t="n">
        <v>13</v>
      </c>
      <c r="E39" s="22" t="n">
        <v>-0.43</v>
      </c>
      <c r="F39" s="22" t="n">
        <v>-0.57</v>
      </c>
      <c r="G39" s="22" t="n">
        <v>0.02</v>
      </c>
      <c r="H39" s="22" t="n">
        <v>-0.41</v>
      </c>
      <c r="AF39" s="6" t="inlineStr">
        <is>
          <t>1. Manchester City</t>
        </is>
      </c>
      <c r="AG39" s="25" t="n">
        <v>3</v>
      </c>
      <c r="AH39" s="15" t="n"/>
    </row>
    <row r="40">
      <c r="AF40" s="6" t="inlineStr">
        <is>
          <t>2. Arsenal</t>
        </is>
      </c>
      <c r="AG40" s="15" t="n"/>
      <c r="AH40" s="15" t="n"/>
    </row>
    <row r="41">
      <c r="AF41" s="6" t="inlineStr">
        <is>
          <t>3. Brighton &amp; Hove Albion</t>
        </is>
      </c>
      <c r="AG41" s="15" t="n"/>
      <c r="AH41" s="15" t="n"/>
    </row>
    <row r="42">
      <c r="AF42" s="6" t="inlineStr">
        <is>
          <t>4. Liverpool</t>
        </is>
      </c>
      <c r="AG42" s="15" t="n"/>
      <c r="AH42" s="15" t="n"/>
    </row>
    <row r="43">
      <c r="AF43" s="6" t="inlineStr">
        <is>
          <t>5. Chelsea</t>
        </is>
      </c>
      <c r="AG43" s="15" t="n"/>
      <c r="AH43" s="15" t="n"/>
    </row>
    <row r="44">
      <c r="AF44" s="6" t="inlineStr">
        <is>
          <t>6. Brentford</t>
        </is>
      </c>
      <c r="AG44" s="15" t="n"/>
      <c r="AH44" s="15" t="n"/>
    </row>
    <row r="45">
      <c r="AF45" s="6" t="inlineStr">
        <is>
          <t>7. Leeds United</t>
        </is>
      </c>
      <c r="AG45" s="15" t="n"/>
      <c r="AH45" s="30" t="n">
        <v>2.75</v>
      </c>
    </row>
    <row r="46">
      <c r="AF46" s="6" t="inlineStr">
        <is>
          <t>8. Newcastle United</t>
        </is>
      </c>
      <c r="AG46" s="15" t="n"/>
      <c r="AH46" s="15" t="n"/>
    </row>
    <row r="47">
      <c r="AF47" s="6" t="inlineStr">
        <is>
          <t>9. Aston Villa</t>
        </is>
      </c>
      <c r="AG47" s="15" t="n"/>
      <c r="AH47" s="15" t="n"/>
    </row>
    <row r="48">
      <c r="AF48" s="6" t="inlineStr">
        <is>
          <t>10. Hull</t>
        </is>
      </c>
      <c r="AG48" s="15" t="n"/>
      <c r="AH48" s="25" t="n">
        <v>1.33</v>
      </c>
    </row>
    <row r="49">
      <c r="AF49" s="6" t="inlineStr">
        <is>
          <t>11. Everton</t>
        </is>
      </c>
      <c r="AG49" s="15" t="n"/>
      <c r="AH49" s="30" t="n">
        <v>1.91</v>
      </c>
    </row>
    <row r="50">
      <c r="AF50" s="6" t="inlineStr">
        <is>
          <t>12. Ipswich</t>
        </is>
      </c>
      <c r="AG50" s="26" t="n">
        <v>1.33</v>
      </c>
      <c r="AH50" s="15" t="n"/>
    </row>
    <row r="51">
      <c r="AF51" s="6" t="inlineStr">
        <is>
          <t>13. Bournemouth</t>
        </is>
      </c>
      <c r="AG51" s="25" t="n">
        <v>2.4</v>
      </c>
      <c r="AH51" s="15" t="n"/>
    </row>
    <row r="52">
      <c r="AF52" s="6" t="inlineStr">
        <is>
          <t>14. Tottenham Hotspur</t>
        </is>
      </c>
      <c r="AG52" s="30" t="n">
        <v>1.67</v>
      </c>
      <c r="AH52" s="15" t="n"/>
    </row>
    <row r="53">
      <c r="AF53" s="6" t="inlineStr">
        <is>
          <t>15. Fulham</t>
        </is>
      </c>
      <c r="AG53" s="15" t="n"/>
      <c r="AH53" s="30" t="n">
        <v>2</v>
      </c>
    </row>
    <row r="54">
      <c r="AF54" s="23" t="inlineStr">
        <is>
          <t>16. Manchester United</t>
        </is>
      </c>
      <c r="AG54" s="24" t="n"/>
      <c r="AH54" s="24" t="n"/>
    </row>
    <row r="55">
      <c r="AF55" s="6" t="inlineStr">
        <is>
          <t>17. Crystal Palace</t>
        </is>
      </c>
      <c r="AG55" s="15" t="n"/>
      <c r="AH55" s="15" t="n"/>
    </row>
    <row r="56">
      <c r="AF56" s="6" t="inlineStr">
        <is>
          <t>18. Nottingham Forest</t>
        </is>
      </c>
      <c r="AG56" s="15" t="n"/>
      <c r="AH56" s="15" t="n"/>
    </row>
    <row r="57">
      <c r="AF57" s="6" t="inlineStr">
        <is>
          <t>19. Coventry</t>
        </is>
      </c>
      <c r="AG57" s="15" t="n"/>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2026-08-23</t>
        </is>
      </c>
      <c r="B2" s="6" t="inlineStr">
        <is>
          <t>Liverpool</t>
        </is>
      </c>
      <c r="C2" s="6" t="inlineStr">
        <is>
          <t>Home</t>
        </is>
      </c>
      <c r="D2" s="6" t="n">
        <v>2</v>
      </c>
      <c r="E2" s="6" t="n">
        <v>2</v>
      </c>
      <c r="F2" s="9" t="n">
        <v>1.29</v>
      </c>
      <c r="G2" s="9" t="n">
        <v>1.92</v>
      </c>
      <c r="H2" s="9" t="n">
        <v>1.58</v>
      </c>
      <c r="I2" s="9" t="n">
        <v>2.98</v>
      </c>
      <c r="J2" s="9" t="n">
        <v>0.29</v>
      </c>
      <c r="K2" s="9" t="n">
        <v>1.06</v>
      </c>
      <c r="L2" s="9" t="n">
        <v>0.29</v>
      </c>
      <c r="M2" s="9" t="n">
        <v>1.06</v>
      </c>
      <c r="N2" s="9" t="n">
        <v>0.45</v>
      </c>
      <c r="O2" s="9" t="n">
        <v>1.65</v>
      </c>
      <c r="P2" s="9" t="n">
        <v>0.45</v>
      </c>
      <c r="Q2" s="9" t="n">
        <v>1.65</v>
      </c>
      <c r="R2" s="9">
        <f>(H2-I2)-(F2-G2)</f>
        <v/>
      </c>
      <c r="S2" s="9">
        <f>(H2+I2)-(F2+G2)</f>
        <v/>
      </c>
      <c r="T2" s="9" t="n">
        <v>0.7</v>
      </c>
      <c r="U2" s="9" t="n">
        <v>0.99</v>
      </c>
      <c r="V2" s="9" t="n">
        <v>-0.29</v>
      </c>
      <c r="W2" s="9" t="n">
        <v>0.7</v>
      </c>
      <c r="X2" s="9" t="n">
        <v>0.99</v>
      </c>
      <c r="Z2" s="12" t="inlineStr">
        <is>
          <t>Expected = the pre-match market xG (what the odds implied) for each side.</t>
        </is>
      </c>
    </row>
    <row r="3">
      <c r="A3" s="8" t="inlineStr">
        <is>
          <t>2026-08-29</t>
        </is>
      </c>
      <c r="B3" s="8" t="inlineStr">
        <is>
          <t>Tottenham Hotspur</t>
        </is>
      </c>
      <c r="C3" s="8" t="inlineStr">
        <is>
          <t>Away</t>
        </is>
      </c>
      <c r="D3" s="8" t="n">
        <v>2</v>
      </c>
      <c r="E3" s="8" t="n">
        <v>0</v>
      </c>
      <c r="F3" s="10" t="n">
        <v>1.39</v>
      </c>
      <c r="G3" s="10" t="n">
        <v>1.61</v>
      </c>
      <c r="H3" s="10" t="n">
        <v>0.72</v>
      </c>
      <c r="I3" s="10" t="n">
        <v>1.12</v>
      </c>
      <c r="J3" s="10" t="n">
        <v>-0.67</v>
      </c>
      <c r="K3" s="10" t="n">
        <v>-0.49</v>
      </c>
      <c r="L3" s="10" t="n">
        <v>-0.19</v>
      </c>
      <c r="M3" s="10" t="n">
        <v>0.29</v>
      </c>
      <c r="N3" s="10" t="n">
        <v>-0.53</v>
      </c>
      <c r="O3" s="10" t="n">
        <v>-0.01</v>
      </c>
      <c r="P3" s="10" t="n">
        <v>-0.04</v>
      </c>
      <c r="Q3" s="10" t="n">
        <v>0.82</v>
      </c>
      <c r="R3" s="10">
        <f>(H3-I3)-(F3-G3)</f>
        <v/>
      </c>
      <c r="S3" s="10">
        <f>(H3+I3)-(F3+G3)</f>
        <v/>
      </c>
      <c r="T3" s="10" t="n">
        <v>1.02</v>
      </c>
      <c r="U3" s="10" t="n">
        <v>1.24</v>
      </c>
      <c r="V3" s="10" t="n">
        <v>-0.22</v>
      </c>
      <c r="W3" s="10" t="n">
        <v>1.72</v>
      </c>
      <c r="X3" s="10" t="n">
        <v>2.23</v>
      </c>
      <c r="Z3" s="4" t="inlineStr">
        <is>
          <t>Games vs expected</t>
        </is>
      </c>
      <c r="AA3" s="4" t="inlineStr">
        <is>
          <t>Above</t>
        </is>
      </c>
      <c r="AB3" s="4" t="inlineStr">
        <is>
          <t>Below</t>
        </is>
      </c>
    </row>
    <row r="4">
      <c r="A4" s="6" t="inlineStr">
        <is>
          <t>2026-09-05</t>
        </is>
      </c>
      <c r="B4" s="6" t="inlineStr">
        <is>
          <t>Bournemouth</t>
        </is>
      </c>
      <c r="C4" s="6" t="inlineStr">
        <is>
          <t>Home</t>
        </is>
      </c>
      <c r="D4" s="6" t="n">
        <v>2</v>
      </c>
      <c r="E4" s="6" t="n">
        <v>2</v>
      </c>
      <c r="F4" s="9" t="n">
        <v>1.75</v>
      </c>
      <c r="G4" s="9" t="n">
        <v>1.37</v>
      </c>
      <c r="H4" s="9" t="n">
        <v>0.71</v>
      </c>
      <c r="I4" s="9" t="n">
        <v>1.37</v>
      </c>
      <c r="J4" s="9" t="n">
        <v>-1.04</v>
      </c>
      <c r="K4" s="9" t="n">
        <v>0</v>
      </c>
      <c r="L4" s="9" t="n">
        <v>-0.47</v>
      </c>
      <c r="M4" s="9" t="n">
        <v>0.19</v>
      </c>
      <c r="N4" s="9" t="n">
        <v>-0.6</v>
      </c>
      <c r="O4" s="9" t="n">
        <v>-0.48</v>
      </c>
      <c r="P4" s="9" t="n">
        <v>-0.23</v>
      </c>
      <c r="Q4" s="9" t="n">
        <v>0.39</v>
      </c>
      <c r="R4" s="9">
        <f>(H4-I4)-(F4-G4)</f>
        <v/>
      </c>
      <c r="S4" s="9">
        <f>(H4+I4)-(F4+G4)</f>
        <v/>
      </c>
      <c r="T4" s="9" t="n">
        <v>0.86</v>
      </c>
      <c r="U4" s="9" t="n">
        <v>1.63</v>
      </c>
      <c r="V4" s="9" t="n">
        <v>-0.77</v>
      </c>
      <c r="W4" s="9" t="n">
        <v>2.58</v>
      </c>
      <c r="X4" s="9" t="n">
        <v>3.86</v>
      </c>
      <c r="Z4" s="6" t="inlineStr">
        <is>
          <t>xG For vs expected</t>
        </is>
      </c>
      <c r="AA4" s="5">
        <f>COUNTIF($J$2:$J$9,"&gt;0")</f>
        <v/>
      </c>
      <c r="AB4" s="5">
        <f>COUNTIF($J$2:$J$9,"&lt;0")</f>
        <v/>
      </c>
    </row>
    <row r="5">
      <c r="A5" s="8" t="inlineStr">
        <is>
          <t>2026-09-14</t>
        </is>
      </c>
      <c r="B5" s="8" t="inlineStr">
        <is>
          <t>Leeds United</t>
        </is>
      </c>
      <c r="C5" s="8" t="inlineStr">
        <is>
          <t>Away</t>
        </is>
      </c>
      <c r="D5" s="8" t="n">
        <v>1</v>
      </c>
      <c r="E5" s="8" t="n">
        <v>4</v>
      </c>
      <c r="F5" s="10" t="n">
        <v>1.33</v>
      </c>
      <c r="G5" s="10" t="n">
        <v>1.49</v>
      </c>
      <c r="H5" s="10" t="n">
        <v>0.88</v>
      </c>
      <c r="I5" s="10" t="n">
        <v>1.99</v>
      </c>
      <c r="J5" s="10" t="n">
        <v>-0.45</v>
      </c>
      <c r="K5" s="10" t="n">
        <v>0.5</v>
      </c>
      <c r="L5" s="10" t="n">
        <v>-0.47</v>
      </c>
      <c r="M5" s="10" t="n">
        <v>0.27</v>
      </c>
      <c r="N5" s="10" t="n">
        <v>-0.4</v>
      </c>
      <c r="O5" s="10" t="n">
        <v>0.59</v>
      </c>
      <c r="P5" s="10" t="n">
        <v>-0.27</v>
      </c>
      <c r="Q5" s="10" t="n">
        <v>0.44</v>
      </c>
      <c r="R5" s="10">
        <f>(H5-I5)-(F5-G5)</f>
        <v/>
      </c>
      <c r="S5" s="10">
        <f>(H5+I5)-(F5+G5)</f>
        <v/>
      </c>
      <c r="T5" s="10" t="n">
        <v>0.68</v>
      </c>
      <c r="U5" s="10" t="n">
        <v>1.27</v>
      </c>
      <c r="V5" s="10" t="n">
        <v>-0.59</v>
      </c>
      <c r="W5" s="10" t="n">
        <v>3.27</v>
      </c>
      <c r="X5" s="10" t="n">
        <v>5.13</v>
      </c>
      <c r="Z5" s="6" t="inlineStr">
        <is>
          <t>xG Against vs expected</t>
        </is>
      </c>
      <c r="AA5" s="5">
        <f>COUNTIF($K$2:$K$9,"&gt;0")</f>
        <v/>
      </c>
      <c r="AB5" s="5">
        <f>COUNTIF($K$2:$K$9,"&lt;0")</f>
        <v/>
      </c>
    </row>
    <row r="6">
      <c r="A6" s="6" t="inlineStr">
        <is>
          <t>2026-09-19</t>
        </is>
      </c>
      <c r="B6" s="6" t="inlineStr">
        <is>
          <t>Hull</t>
        </is>
      </c>
      <c r="C6" s="6" t="inlineStr">
        <is>
          <t>Home</t>
        </is>
      </c>
      <c r="D6" s="6" t="n">
        <v>2</v>
      </c>
      <c r="E6" s="6" t="n">
        <v>1</v>
      </c>
      <c r="F6" s="9" t="n">
        <v>2.02</v>
      </c>
      <c r="G6" s="9" t="n">
        <v>1.05</v>
      </c>
      <c r="H6" s="9" t="n">
        <v>1.44</v>
      </c>
      <c r="I6" s="9" t="n">
        <v>1.59</v>
      </c>
      <c r="J6" s="9" t="n">
        <v>-0.58</v>
      </c>
      <c r="K6" s="9" t="n">
        <v>0.54</v>
      </c>
      <c r="L6" s="9" t="n">
        <v>-0.49</v>
      </c>
      <c r="M6" s="9" t="n">
        <v>0.32</v>
      </c>
      <c r="N6" s="9" t="n">
        <v>-0.19</v>
      </c>
      <c r="O6" s="9" t="n">
        <v>0.55</v>
      </c>
      <c r="P6" s="9" t="n">
        <v>-0.25</v>
      </c>
      <c r="Q6" s="9" t="n">
        <v>0.46</v>
      </c>
      <c r="R6" s="9">
        <f>(H6-I6)-(F6-G6)</f>
        <v/>
      </c>
      <c r="S6" s="9">
        <f>(H6+I6)-(F6+G6)</f>
        <v/>
      </c>
      <c r="T6" s="9" t="n">
        <v>1.28</v>
      </c>
      <c r="U6" s="9" t="n">
        <v>2.01</v>
      </c>
      <c r="V6" s="9" t="n">
        <v>-0.73</v>
      </c>
      <c r="W6" s="9" t="n">
        <v>4.55</v>
      </c>
      <c r="X6" s="9" t="n">
        <v>7.14</v>
      </c>
      <c r="Z6" s="6" t="inlineStr">
        <is>
          <t>Goals For vs expected</t>
        </is>
      </c>
      <c r="AA6" s="5">
        <f>SUMPRODUCT(--($D$2:$D$9&gt;$F$2:$F$9))</f>
        <v/>
      </c>
      <c r="AB6" s="5">
        <f>SUMPRODUCT(--($D$2:$D$9&lt;$F$2:$F$9))</f>
        <v/>
      </c>
    </row>
    <row r="7">
      <c r="A7" s="8" t="inlineStr">
        <is>
          <t>2026-10-12</t>
        </is>
      </c>
      <c r="B7" s="8" t="inlineStr">
        <is>
          <t>Coventry</t>
        </is>
      </c>
      <c r="C7" s="8" t="inlineStr">
        <is>
          <t>Away</t>
        </is>
      </c>
      <c r="D7" s="8" t="n">
        <v>1</v>
      </c>
      <c r="E7" s="8" t="n">
        <v>4</v>
      </c>
      <c r="F7" s="10" t="n">
        <v>1.68</v>
      </c>
      <c r="G7" s="10" t="n">
        <v>1.31</v>
      </c>
      <c r="H7" s="10" t="n">
        <v>1.84</v>
      </c>
      <c r="I7" s="10" t="n">
        <v>1.47</v>
      </c>
      <c r="J7" s="10" t="n">
        <v>0.16</v>
      </c>
      <c r="K7" s="10" t="n">
        <v>0.16</v>
      </c>
      <c r="L7" s="10" t="n">
        <v>-0.38</v>
      </c>
      <c r="M7" s="10" t="n">
        <v>0.3</v>
      </c>
      <c r="N7" s="10" t="n">
        <v>0.71</v>
      </c>
      <c r="O7" s="10" t="n">
        <v>0.32</v>
      </c>
      <c r="P7" s="10" t="n">
        <v>-0.09</v>
      </c>
      <c r="Q7" s="10" t="n">
        <v>0.44</v>
      </c>
      <c r="R7" s="10">
        <f>(H7-I7)-(F7-G7)</f>
        <v/>
      </c>
      <c r="S7" s="10">
        <f>(H7+I7)-(F7+G7)</f>
        <v/>
      </c>
      <c r="T7" s="10" t="n">
        <v>1.62</v>
      </c>
      <c r="U7" s="10" t="n">
        <v>1.63</v>
      </c>
      <c r="V7" s="10" t="n">
        <v>-0.01</v>
      </c>
      <c r="W7" s="10" t="n">
        <v>6.17</v>
      </c>
      <c r="X7" s="10" t="n">
        <v>8.77</v>
      </c>
      <c r="Z7" s="6" t="inlineStr">
        <is>
          <t>Goals Against vs expected</t>
        </is>
      </c>
      <c r="AA7" s="5">
        <f>SUMPRODUCT(--($E$2:$E$9&gt;$G$2:$G$9))</f>
        <v/>
      </c>
      <c r="AB7" s="5">
        <f>SUMPRODUCT(--($E$2:$E$9&lt;$G$2:$G$9))</f>
        <v/>
      </c>
    </row>
    <row r="8">
      <c r="A8" s="6" t="inlineStr">
        <is>
          <t>2026-10-17</t>
        </is>
      </c>
      <c r="B8" s="6" t="inlineStr">
        <is>
          <t>Aston Villa</t>
        </is>
      </c>
      <c r="C8" s="6" t="inlineStr">
        <is>
          <t>Home</t>
        </is>
      </c>
      <c r="D8" s="6" t="n">
        <v>0</v>
      </c>
      <c r="E8" s="6" t="n">
        <v>1</v>
      </c>
      <c r="F8" s="9" t="n">
        <v>1.65</v>
      </c>
      <c r="G8" s="9" t="n">
        <v>1.41</v>
      </c>
      <c r="H8" s="9" t="n">
        <v>0.99</v>
      </c>
      <c r="I8" s="9" t="n">
        <v>1.57</v>
      </c>
      <c r="J8" s="9" t="n">
        <v>-0.66</v>
      </c>
      <c r="K8" s="9" t="n">
        <v>0.16</v>
      </c>
      <c r="L8" s="9" t="n">
        <v>-0.54</v>
      </c>
      <c r="M8" s="9" t="n">
        <v>0.15</v>
      </c>
      <c r="N8" s="9" t="n">
        <v>-0.78</v>
      </c>
      <c r="O8" s="9" t="n">
        <v>0.39</v>
      </c>
      <c r="P8" s="9" t="n">
        <v>-0.3</v>
      </c>
      <c r="Q8" s="9" t="n">
        <v>0.23</v>
      </c>
      <c r="R8" s="9">
        <f>(H8-I8)-(F8-G8)</f>
        <v/>
      </c>
      <c r="S8" s="9">
        <f>(H8+I8)-(F8+G8)</f>
        <v/>
      </c>
      <c r="T8" s="9" t="n">
        <v>0.97</v>
      </c>
      <c r="U8" s="9" t="n">
        <v>1.54</v>
      </c>
      <c r="V8" s="9" t="n">
        <v>-0.57</v>
      </c>
      <c r="W8" s="9" t="n">
        <v>7.13</v>
      </c>
      <c r="X8" s="9" t="n">
        <v>10.3</v>
      </c>
      <c r="Z8" s="12" t="inlineStr">
        <is>
          <t>For: Above = beat expectation. Against: Above = conceded more than expected (worse).</t>
        </is>
      </c>
    </row>
    <row r="9">
      <c r="A9" s="8" t="inlineStr">
        <is>
          <t>2026-10-25</t>
        </is>
      </c>
      <c r="B9" s="8" t="inlineStr">
        <is>
          <t>Crystal Palace</t>
        </is>
      </c>
      <c r="C9" s="8" t="inlineStr">
        <is>
          <t>Away</t>
        </is>
      </c>
      <c r="D9" s="8" t="n">
        <v>2</v>
      </c>
      <c r="E9" s="8" t="n">
        <v>0</v>
      </c>
      <c r="F9" s="10" t="n">
        <v>1.64</v>
      </c>
      <c r="G9" s="10" t="n">
        <v>1.44</v>
      </c>
      <c r="H9" s="10" t="n">
        <v>0.95</v>
      </c>
      <c r="I9" s="10" t="n">
        <v>1.59</v>
      </c>
      <c r="J9" s="10" t="n">
        <v>-0.6899999999999999</v>
      </c>
      <c r="K9" s="10" t="n">
        <v>0.15</v>
      </c>
      <c r="L9" s="10" t="n">
        <v>-0.54</v>
      </c>
      <c r="M9" s="10" t="n">
        <v>0.25</v>
      </c>
      <c r="N9" s="10" t="n">
        <v>-1.2</v>
      </c>
      <c r="O9" s="10" t="n">
        <v>0.01</v>
      </c>
      <c r="P9" s="10" t="n">
        <v>-0.41</v>
      </c>
      <c r="Q9" s="10" t="n">
        <v>0.23</v>
      </c>
      <c r="R9" s="10">
        <f>(H9-I9)-(F9-G9)</f>
        <v/>
      </c>
      <c r="S9" s="10">
        <f>(H9+I9)-(F9+G9)</f>
        <v/>
      </c>
      <c r="T9" s="10" t="n">
        <v>0.93</v>
      </c>
      <c r="U9" s="10" t="n">
        <v>1.51</v>
      </c>
      <c r="V9" s="10" t="n">
        <v>-0.58</v>
      </c>
      <c r="W9" s="10" t="n">
        <v>8.06</v>
      </c>
      <c r="X9" s="10" t="n">
        <v>11.81</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6</v>
      </c>
      <c r="D37" s="16" t="n">
        <v>6</v>
      </c>
      <c r="E37" s="20" t="n">
        <v>-0.9399999999999999</v>
      </c>
      <c r="F37" s="20" t="n">
        <v>-0.93</v>
      </c>
      <c r="G37" s="20" t="n">
        <v>-0.05</v>
      </c>
      <c r="H37" s="20" t="n">
        <v>-0.27</v>
      </c>
      <c r="AF37" s="11" t="inlineStr">
        <is>
          <t>Newcastle United: closing odds to win, by opponent (league table order)</t>
        </is>
      </c>
    </row>
    <row r="38">
      <c r="A38" s="16" t="inlineStr">
        <is>
          <t>Away</t>
        </is>
      </c>
      <c r="B38" s="16" t="n">
        <v>4</v>
      </c>
      <c r="C38" s="16" t="n">
        <v>6</v>
      </c>
      <c r="D38" s="16" t="n">
        <v>8</v>
      </c>
      <c r="E38" s="20" t="n">
        <v>-0.5</v>
      </c>
      <c r="F38" s="20" t="n">
        <v>-0.51</v>
      </c>
      <c r="G38" s="20" t="n">
        <v>-0.33</v>
      </c>
      <c r="H38" s="20" t="n">
        <v>-0.25</v>
      </c>
      <c r="AF38" s="4" t="inlineStr">
        <is>
          <t>League Table</t>
        </is>
      </c>
      <c r="AG38" s="4" t="inlineStr">
        <is>
          <t>Home Odds</t>
        </is>
      </c>
      <c r="AH38" s="4" t="inlineStr">
        <is>
          <t>Away Odds</t>
        </is>
      </c>
    </row>
    <row r="39">
      <c r="A39" s="21" t="inlineStr">
        <is>
          <t>Total</t>
        </is>
      </c>
      <c r="B39" s="21" t="n">
        <v>8</v>
      </c>
      <c r="C39" s="21" t="n">
        <v>12</v>
      </c>
      <c r="D39" s="21" t="n">
        <v>14</v>
      </c>
      <c r="E39" s="22" t="n">
        <v>-0.72</v>
      </c>
      <c r="F39" s="22" t="n">
        <v>-0.83</v>
      </c>
      <c r="G39" s="22" t="n">
        <v>-0.19</v>
      </c>
      <c r="H39" s="22" t="n">
        <v>-0.27</v>
      </c>
      <c r="AF39" s="6" t="inlineStr">
        <is>
          <t>1. Manchester City</t>
        </is>
      </c>
      <c r="AG39" s="15" t="n"/>
      <c r="AH39" s="15" t="n"/>
    </row>
    <row r="40">
      <c r="AF40" s="6" t="inlineStr">
        <is>
          <t>2. Arsenal</t>
        </is>
      </c>
      <c r="AG40" s="15" t="n"/>
      <c r="AH40" s="15" t="n"/>
    </row>
    <row r="41">
      <c r="AF41" s="6" t="inlineStr">
        <is>
          <t>3. Brighton &amp; Hove Albion</t>
        </is>
      </c>
      <c r="AG41" s="15" t="n"/>
      <c r="AH41" s="15" t="n"/>
    </row>
    <row r="42">
      <c r="AF42" s="6" t="inlineStr">
        <is>
          <t>4. Liverpool</t>
        </is>
      </c>
      <c r="AG42" s="30" t="n">
        <v>3.8</v>
      </c>
      <c r="AH42" s="15" t="n"/>
    </row>
    <row r="43">
      <c r="AF43" s="6" t="inlineStr">
        <is>
          <t>5. Chelsea</t>
        </is>
      </c>
      <c r="AG43" s="15" t="n"/>
      <c r="AH43" s="15" t="n"/>
    </row>
    <row r="44">
      <c r="AF44" s="6" t="inlineStr">
        <is>
          <t>6. Brentford</t>
        </is>
      </c>
      <c r="AG44" s="15" t="n"/>
      <c r="AH44" s="15" t="n"/>
    </row>
    <row r="45">
      <c r="AF45" s="6" t="inlineStr">
        <is>
          <t>7. Leeds United</t>
        </is>
      </c>
      <c r="AG45" s="15" t="n"/>
      <c r="AH45" s="25" t="n">
        <v>3</v>
      </c>
    </row>
    <row r="46">
      <c r="AF46" s="23" t="inlineStr">
        <is>
          <t>8. Newcastle United</t>
        </is>
      </c>
      <c r="AG46" s="24" t="n"/>
      <c r="AH46" s="24" t="n"/>
    </row>
    <row r="47">
      <c r="AF47" s="6" t="inlineStr">
        <is>
          <t>9. Aston Villa</t>
        </is>
      </c>
      <c r="AG47" s="25" t="n">
        <v>2.1</v>
      </c>
      <c r="AH47" s="15" t="n"/>
    </row>
    <row r="48">
      <c r="AF48" s="6" t="inlineStr">
        <is>
          <t>10. Hull</t>
        </is>
      </c>
      <c r="AG48" s="26" t="n">
        <v>1.57</v>
      </c>
      <c r="AH48" s="15" t="n"/>
    </row>
    <row r="49">
      <c r="AF49" s="6" t="inlineStr">
        <is>
          <t>11. Everton</t>
        </is>
      </c>
      <c r="AG49" s="15" t="n"/>
      <c r="AH49" s="15" t="n"/>
    </row>
    <row r="50">
      <c r="AF50" s="6" t="inlineStr">
        <is>
          <t>12. Ipswich</t>
        </is>
      </c>
      <c r="AG50" s="15" t="n"/>
      <c r="AH50" s="15" t="n"/>
    </row>
    <row r="51">
      <c r="AF51" s="6" t="inlineStr">
        <is>
          <t>13. Bournemouth</t>
        </is>
      </c>
      <c r="AG51" s="30" t="n">
        <v>2.05</v>
      </c>
      <c r="AH51" s="15" t="n"/>
    </row>
    <row r="52">
      <c r="AF52" s="6" t="inlineStr">
        <is>
          <t>14. Tottenham Hotspur</t>
        </is>
      </c>
      <c r="AG52" s="15" t="n"/>
      <c r="AH52" s="26" t="n">
        <v>3</v>
      </c>
    </row>
    <row r="53">
      <c r="AF53" s="6" t="inlineStr">
        <is>
          <t>15. Fulham</t>
        </is>
      </c>
      <c r="AG53" s="15" t="n"/>
      <c r="AH53" s="15" t="n"/>
    </row>
    <row r="54">
      <c r="AF54" s="6" t="inlineStr">
        <is>
          <t>16. Manchester United</t>
        </is>
      </c>
      <c r="AG54" s="15" t="n"/>
      <c r="AH54" s="15" t="n"/>
    </row>
    <row r="55">
      <c r="AF55" s="6" t="inlineStr">
        <is>
          <t>17. Crystal Palace</t>
        </is>
      </c>
      <c r="AG55" s="15" t="n"/>
      <c r="AH55" s="26" t="n">
        <v>2.63</v>
      </c>
    </row>
    <row r="56">
      <c r="AF56" s="6" t="inlineStr">
        <is>
          <t>18. Nottingham Forest</t>
        </is>
      </c>
      <c r="AG56" s="15" t="n"/>
      <c r="AH56" s="15" t="n"/>
    </row>
    <row r="57">
      <c r="AF57" s="6" t="inlineStr">
        <is>
          <t>19. Coventry</t>
        </is>
      </c>
      <c r="AG57" s="15" t="n"/>
      <c r="AH57" s="25" t="n">
        <v>1.95</v>
      </c>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Leeds United</t>
        </is>
      </c>
      <c r="C2" s="6" t="inlineStr">
        <is>
          <t>Home</t>
        </is>
      </c>
      <c r="D2" s="6" t="n">
        <v>0</v>
      </c>
      <c r="E2" s="6" t="n">
        <v>1</v>
      </c>
      <c r="F2" s="9" t="n">
        <v>1.43</v>
      </c>
      <c r="G2" s="9" t="n">
        <v>1.2</v>
      </c>
      <c r="H2" s="9" t="n">
        <v>0.66</v>
      </c>
      <c r="I2" s="9" t="n">
        <v>0.47</v>
      </c>
      <c r="J2" s="9" t="n">
        <v>-0.77</v>
      </c>
      <c r="K2" s="9" t="n">
        <v>-0.73</v>
      </c>
      <c r="L2" s="9" t="n">
        <v>-0.77</v>
      </c>
      <c r="M2" s="9" t="n">
        <v>-0.73</v>
      </c>
      <c r="N2" s="9" t="n">
        <v>-0.77</v>
      </c>
      <c r="O2" s="9" t="n">
        <v>-0.83</v>
      </c>
      <c r="P2" s="9" t="n">
        <v>-0.77</v>
      </c>
      <c r="Q2" s="9" t="n">
        <v>-0.83</v>
      </c>
      <c r="R2" s="9">
        <f>(H2-I2)-(F2-G2)</f>
        <v/>
      </c>
      <c r="S2" s="9">
        <f>(H2+I2)-(F2+G2)</f>
        <v/>
      </c>
      <c r="T2" s="9" t="n">
        <v>1.47</v>
      </c>
      <c r="U2" s="9" t="n">
        <v>1.53</v>
      </c>
      <c r="V2" s="9" t="n">
        <v>-0.06</v>
      </c>
      <c r="W2" s="9" t="n">
        <v>1.47</v>
      </c>
      <c r="X2" s="9" t="n">
        <v>1.53</v>
      </c>
      <c r="Z2" s="12" t="inlineStr">
        <is>
          <t>Expected = the pre-match market xG (what the odds implied) for each side.</t>
        </is>
      </c>
    </row>
    <row r="3">
      <c r="A3" s="8" t="inlineStr">
        <is>
          <t>2026-08-29</t>
        </is>
      </c>
      <c r="B3" s="8" t="inlineStr">
        <is>
          <t>Liverpool</t>
        </is>
      </c>
      <c r="C3" s="8" t="inlineStr">
        <is>
          <t>Away</t>
        </is>
      </c>
      <c r="D3" s="8" t="n">
        <v>2</v>
      </c>
      <c r="E3" s="8" t="n">
        <v>2</v>
      </c>
      <c r="F3" s="10" t="n">
        <v>0.95</v>
      </c>
      <c r="G3" s="10" t="n">
        <v>2.08</v>
      </c>
      <c r="H3" s="10" t="n">
        <v>2.3</v>
      </c>
      <c r="I3" s="10" t="n">
        <v>1.75</v>
      </c>
      <c r="J3" s="10" t="n">
        <v>1.35</v>
      </c>
      <c r="K3" s="10" t="n">
        <v>-0.33</v>
      </c>
      <c r="L3" s="10" t="n">
        <v>0.29</v>
      </c>
      <c r="M3" s="10" t="n">
        <v>-0.53</v>
      </c>
      <c r="N3" s="10" t="n">
        <v>1.67</v>
      </c>
      <c r="O3" s="10" t="n">
        <v>0.06</v>
      </c>
      <c r="P3" s="10" t="n">
        <v>0.45</v>
      </c>
      <c r="Q3" s="10" t="n">
        <v>-0.38</v>
      </c>
      <c r="R3" s="10">
        <f>(H3-I3)-(F3-G3)</f>
        <v/>
      </c>
      <c r="S3" s="10">
        <f>(H3+I3)-(F3+G3)</f>
        <v/>
      </c>
      <c r="T3" s="10" t="n">
        <v>1.71</v>
      </c>
      <c r="U3" s="10" t="n">
        <v>0.6899999999999999</v>
      </c>
      <c r="V3" s="10" t="n">
        <v>1.02</v>
      </c>
      <c r="W3" s="10" t="n">
        <v>3.18</v>
      </c>
      <c r="X3" s="10" t="n">
        <v>2.22</v>
      </c>
      <c r="Z3" s="4" t="inlineStr">
        <is>
          <t>Games vs expected</t>
        </is>
      </c>
      <c r="AA3" s="4" t="inlineStr">
        <is>
          <t>Above</t>
        </is>
      </c>
      <c r="AB3" s="4" t="inlineStr">
        <is>
          <t>Below</t>
        </is>
      </c>
    </row>
    <row r="4">
      <c r="A4" s="6" t="inlineStr">
        <is>
          <t>2026-09-05</t>
        </is>
      </c>
      <c r="B4" s="6" t="inlineStr">
        <is>
          <t>Tottenham Hotspur</t>
        </is>
      </c>
      <c r="C4" s="6" t="inlineStr">
        <is>
          <t>Home</t>
        </is>
      </c>
      <c r="D4" s="6" t="n">
        <v>0</v>
      </c>
      <c r="E4" s="6" t="n">
        <v>0</v>
      </c>
      <c r="F4" s="9" t="n">
        <v>1.4</v>
      </c>
      <c r="G4" s="9" t="n">
        <v>1.25</v>
      </c>
      <c r="H4" s="9" t="n">
        <v>0.92</v>
      </c>
      <c r="I4" s="9" t="n">
        <v>1.06</v>
      </c>
      <c r="J4" s="9" t="n">
        <v>-0.47</v>
      </c>
      <c r="K4" s="9" t="n">
        <v>-0.19</v>
      </c>
      <c r="L4" s="9" t="n">
        <v>0.03</v>
      </c>
      <c r="M4" s="9" t="n">
        <v>-0.42</v>
      </c>
      <c r="N4" s="9" t="n">
        <v>-0.31</v>
      </c>
      <c r="O4" s="9" t="n">
        <v>0.33</v>
      </c>
      <c r="P4" s="9" t="n">
        <v>0.2</v>
      </c>
      <c r="Q4" s="9" t="n">
        <v>-0.14</v>
      </c>
      <c r="R4" s="9">
        <f>(H4-I4)-(F4-G4)</f>
        <v/>
      </c>
      <c r="S4" s="9">
        <f>(H4+I4)-(F4+G4)</f>
        <v/>
      </c>
      <c r="T4" s="9" t="n">
        <v>1.24</v>
      </c>
      <c r="U4" s="9" t="n">
        <v>1.47</v>
      </c>
      <c r="V4" s="9" t="n">
        <v>-0.24</v>
      </c>
      <c r="W4" s="9" t="n">
        <v>4.42</v>
      </c>
      <c r="X4" s="9" t="n">
        <v>3.69</v>
      </c>
      <c r="Z4" s="6" t="inlineStr">
        <is>
          <t>xG For vs expected</t>
        </is>
      </c>
      <c r="AA4" s="5">
        <f>COUNTIF($J$2:$J$9,"&gt;0")</f>
        <v/>
      </c>
      <c r="AB4" s="5">
        <f>COUNTIF($J$2:$J$9,"&lt;0")</f>
        <v/>
      </c>
    </row>
    <row r="5">
      <c r="A5" s="8" t="inlineStr">
        <is>
          <t>2026-09-12</t>
        </is>
      </c>
      <c r="B5" s="8" t="inlineStr">
        <is>
          <t>Aston Villa</t>
        </is>
      </c>
      <c r="C5" s="8" t="inlineStr">
        <is>
          <t>Away</t>
        </is>
      </c>
      <c r="D5" s="8" t="n">
        <v>2</v>
      </c>
      <c r="E5" s="8" t="n">
        <v>1</v>
      </c>
      <c r="F5" s="10" t="n">
        <v>1.17</v>
      </c>
      <c r="G5" s="10" t="n">
        <v>1.47</v>
      </c>
      <c r="H5" s="10" t="n">
        <v>2.28</v>
      </c>
      <c r="I5" s="10" t="n">
        <v>0.82</v>
      </c>
      <c r="J5" s="10" t="n">
        <v>1.11</v>
      </c>
      <c r="K5" s="10" t="n">
        <v>-0.65</v>
      </c>
      <c r="L5" s="10" t="n">
        <v>0.3</v>
      </c>
      <c r="M5" s="10" t="n">
        <v>-0.48</v>
      </c>
      <c r="N5" s="10" t="n">
        <v>1.23</v>
      </c>
      <c r="O5" s="10" t="n">
        <v>-0.55</v>
      </c>
      <c r="P5" s="10" t="n">
        <v>0.46</v>
      </c>
      <c r="Q5" s="10" t="n">
        <v>-0.24</v>
      </c>
      <c r="R5" s="10">
        <f>(H5-I5)-(F5-G5)</f>
        <v/>
      </c>
      <c r="S5" s="10">
        <f>(H5+I5)-(F5+G5)</f>
        <v/>
      </c>
      <c r="T5" s="10" t="n">
        <v>2.29</v>
      </c>
      <c r="U5" s="10" t="n">
        <v>1.16</v>
      </c>
      <c r="V5" s="10" t="n">
        <v>1.12</v>
      </c>
      <c r="W5" s="10" t="n">
        <v>6.71</v>
      </c>
      <c r="X5" s="10" t="n">
        <v>4.86</v>
      </c>
      <c r="Z5" s="6" t="inlineStr">
        <is>
          <t>xG Against vs expected</t>
        </is>
      </c>
      <c r="AA5" s="5">
        <f>COUNTIF($K$2:$K$9,"&gt;0")</f>
        <v/>
      </c>
      <c r="AB5" s="5">
        <f>COUNTIF($K$2:$K$9,"&lt;0")</f>
        <v/>
      </c>
    </row>
    <row r="6">
      <c r="A6" s="6" t="inlineStr">
        <is>
          <t>2026-09-19</t>
        </is>
      </c>
      <c r="B6" s="6" t="inlineStr">
        <is>
          <t>Coventry</t>
        </is>
      </c>
      <c r="C6" s="6" t="inlineStr">
        <is>
          <t>Home</t>
        </is>
      </c>
      <c r="D6" s="6" t="n">
        <v>0</v>
      </c>
      <c r="E6" s="6" t="n">
        <v>1</v>
      </c>
      <c r="F6" s="9" t="n">
        <v>1.91</v>
      </c>
      <c r="G6" s="9" t="n">
        <v>0.91</v>
      </c>
      <c r="H6" s="9" t="n">
        <v>1.1</v>
      </c>
      <c r="I6" s="9" t="n">
        <v>0.67</v>
      </c>
      <c r="J6" s="9" t="n">
        <v>-0.8100000000000001</v>
      </c>
      <c r="K6" s="9" t="n">
        <v>-0.24</v>
      </c>
      <c r="L6" s="9" t="n">
        <v>0.08</v>
      </c>
      <c r="M6" s="9" t="n">
        <v>-0.43</v>
      </c>
      <c r="N6" s="9" t="n">
        <v>-0.4</v>
      </c>
      <c r="O6" s="9" t="n">
        <v>-0.13</v>
      </c>
      <c r="P6" s="9" t="n">
        <v>0.29</v>
      </c>
      <c r="Q6" s="9" t="n">
        <v>-0.22</v>
      </c>
      <c r="R6" s="9">
        <f>(H6-I6)-(F6-G6)</f>
        <v/>
      </c>
      <c r="S6" s="9">
        <f>(H6+I6)-(F6+G6)</f>
        <v/>
      </c>
      <c r="T6" s="9" t="n">
        <v>1.69</v>
      </c>
      <c r="U6" s="9" t="n">
        <v>2.05</v>
      </c>
      <c r="V6" s="9" t="n">
        <v>-0.36</v>
      </c>
      <c r="W6" s="9" t="n">
        <v>8.4</v>
      </c>
      <c r="X6" s="9" t="n">
        <v>6.9</v>
      </c>
      <c r="Z6" s="6" t="inlineStr">
        <is>
          <t>Goals For vs expected</t>
        </is>
      </c>
      <c r="AA6" s="5">
        <f>SUMPRODUCT(--($D$2:$D$9&gt;$F$2:$F$9))</f>
        <v/>
      </c>
      <c r="AB6" s="5">
        <f>SUMPRODUCT(--($D$2:$D$9&lt;$F$2:$F$9))</f>
        <v/>
      </c>
    </row>
    <row r="7">
      <c r="A7" s="8" t="inlineStr">
        <is>
          <t>2026-10-11</t>
        </is>
      </c>
      <c r="B7" s="8" t="inlineStr">
        <is>
          <t>Crystal Palace</t>
        </is>
      </c>
      <c r="C7" s="8" t="inlineStr">
        <is>
          <t>Away</t>
        </is>
      </c>
      <c r="D7" s="8" t="n">
        <v>1</v>
      </c>
      <c r="E7" s="8" t="n">
        <v>3</v>
      </c>
      <c r="F7" s="10" t="n">
        <v>1.33</v>
      </c>
      <c r="G7" s="10" t="n">
        <v>1.33</v>
      </c>
      <c r="H7" s="10" t="n">
        <v>3.34</v>
      </c>
      <c r="I7" s="10" t="n">
        <v>2.41</v>
      </c>
      <c r="J7" s="10" t="n">
        <v>2.01</v>
      </c>
      <c r="K7" s="10" t="n">
        <v>1.08</v>
      </c>
      <c r="L7" s="10" t="n">
        <v>0.4</v>
      </c>
      <c r="M7" s="10" t="n">
        <v>-0.18</v>
      </c>
      <c r="N7" s="10" t="n">
        <v>1.88</v>
      </c>
      <c r="O7" s="10" t="n">
        <v>1.07</v>
      </c>
      <c r="P7" s="10" t="n">
        <v>0.55</v>
      </c>
      <c r="Q7" s="10" t="n">
        <v>-0.01</v>
      </c>
      <c r="R7" s="10">
        <f>(H7-I7)-(F7-G7)</f>
        <v/>
      </c>
      <c r="S7" s="10">
        <f>(H7+I7)-(F7+G7)</f>
        <v/>
      </c>
      <c r="T7" s="10" t="n">
        <v>1.86</v>
      </c>
      <c r="U7" s="10" t="n">
        <v>1.37</v>
      </c>
      <c r="V7" s="10" t="n">
        <v>0.49</v>
      </c>
      <c r="W7" s="10" t="n">
        <v>10.26</v>
      </c>
      <c r="X7" s="10" t="n">
        <v>8.27</v>
      </c>
      <c r="Z7" s="6" t="inlineStr">
        <is>
          <t>Goals Against vs expected</t>
        </is>
      </c>
      <c r="AA7" s="5">
        <f>SUMPRODUCT(--($E$2:$E$9&gt;$G$2:$G$9))</f>
        <v/>
      </c>
      <c r="AB7" s="5">
        <f>SUMPRODUCT(--($E$2:$E$9&lt;$G$2:$G$9))</f>
        <v/>
      </c>
    </row>
    <row r="8">
      <c r="A8" s="6" t="inlineStr">
        <is>
          <t>2026-10-18</t>
        </is>
      </c>
      <c r="B8" s="6" t="inlineStr">
        <is>
          <t>Arsenal</t>
        </is>
      </c>
      <c r="C8" s="6" t="inlineStr">
        <is>
          <t>Home</t>
        </is>
      </c>
      <c r="D8" s="6" t="n">
        <v>0</v>
      </c>
      <c r="E8" s="6" t="n">
        <v>1</v>
      </c>
      <c r="F8" s="9" t="n">
        <v>0.84</v>
      </c>
      <c r="G8" s="9" t="n">
        <v>1.83</v>
      </c>
      <c r="H8" s="9" t="n">
        <v>0.9</v>
      </c>
      <c r="I8" s="9" t="n">
        <v>1.14</v>
      </c>
      <c r="J8" s="9" t="n">
        <v>0.06</v>
      </c>
      <c r="K8" s="9" t="n">
        <v>-0.6899999999999999</v>
      </c>
      <c r="L8" s="9" t="n">
        <v>0.54</v>
      </c>
      <c r="M8" s="9" t="n">
        <v>-0.17</v>
      </c>
      <c r="N8" s="9" t="n">
        <v>0.1</v>
      </c>
      <c r="O8" s="9" t="n">
        <v>-0.49</v>
      </c>
      <c r="P8" s="9" t="n">
        <v>0.7</v>
      </c>
      <c r="Q8" s="9" t="n">
        <v>0.05</v>
      </c>
      <c r="R8" s="9">
        <f>(H8-I8)-(F8-G8)</f>
        <v/>
      </c>
      <c r="S8" s="9">
        <f>(H8+I8)-(F8+G8)</f>
        <v/>
      </c>
      <c r="T8" s="9" t="n">
        <v>1.16</v>
      </c>
      <c r="U8" s="9" t="n">
        <v>0.73</v>
      </c>
      <c r="V8" s="9" t="n">
        <v>0.43</v>
      </c>
      <c r="W8" s="9" t="n">
        <v>11.42</v>
      </c>
      <c r="X8" s="9" t="n">
        <v>9.01</v>
      </c>
      <c r="Z8" s="12" t="inlineStr">
        <is>
          <t>For: Above = beat expectation. Against: Above = conceded more than expected (worse).</t>
        </is>
      </c>
    </row>
    <row r="9">
      <c r="A9" s="8" t="inlineStr">
        <is>
          <t>2026-10-23</t>
        </is>
      </c>
      <c r="B9" s="8" t="inlineStr">
        <is>
          <t>Ipswich</t>
        </is>
      </c>
      <c r="C9" s="8" t="inlineStr">
        <is>
          <t>Away</t>
        </is>
      </c>
      <c r="D9" s="8" t="n">
        <v>1</v>
      </c>
      <c r="E9" s="8" t="n">
        <v>1</v>
      </c>
      <c r="F9" s="10" t="n">
        <v>1.54</v>
      </c>
      <c r="G9" s="10" t="n">
        <v>1.31</v>
      </c>
      <c r="H9" s="10" t="n">
        <v>2.29</v>
      </c>
      <c r="I9" s="10" t="n">
        <v>0.46</v>
      </c>
      <c r="J9" s="10" t="n">
        <v>0.75</v>
      </c>
      <c r="K9" s="10" t="n">
        <v>-0.85</v>
      </c>
      <c r="L9" s="10" t="n">
        <v>0.44</v>
      </c>
      <c r="M9" s="10" t="n">
        <v>-0.26</v>
      </c>
      <c r="N9" s="10" t="n">
        <v>0.68</v>
      </c>
      <c r="O9" s="10" t="n">
        <v>-1.28</v>
      </c>
      <c r="P9" s="10" t="n">
        <v>0.53</v>
      </c>
      <c r="Q9" s="10" t="n">
        <v>-0.17</v>
      </c>
      <c r="R9" s="10">
        <f>(H9-I9)-(F9-G9)</f>
        <v/>
      </c>
      <c r="S9" s="10">
        <f>(H9+I9)-(F9+G9)</f>
        <v/>
      </c>
      <c r="T9" s="10" t="n">
        <v>2.52</v>
      </c>
      <c r="U9" s="10" t="n">
        <v>1.53</v>
      </c>
      <c r="V9" s="10" t="n">
        <v>0.99</v>
      </c>
      <c r="W9" s="10" t="n">
        <v>13.94</v>
      </c>
      <c r="X9" s="10" t="n">
        <v>10.54</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0</v>
      </c>
      <c r="D37" s="16" t="n">
        <v>3</v>
      </c>
      <c r="E37" s="20" t="n">
        <v>-0.04</v>
      </c>
      <c r="F37" s="20" t="n">
        <v>-0.16</v>
      </c>
      <c r="G37" s="20" t="n">
        <v>-0.96</v>
      </c>
      <c r="H37" s="20" t="n">
        <v>-0.85</v>
      </c>
      <c r="AF37" s="11" t="inlineStr">
        <is>
          <t>Nottingham Forest: closing odds to win, by opponent (league table order)</t>
        </is>
      </c>
    </row>
    <row r="38">
      <c r="A38" s="16" t="inlineStr">
        <is>
          <t>Away</t>
        </is>
      </c>
      <c r="B38" s="16" t="n">
        <v>4</v>
      </c>
      <c r="C38" s="16" t="n">
        <v>6</v>
      </c>
      <c r="D38" s="16" t="n">
        <v>7</v>
      </c>
      <c r="E38" s="20" t="n">
        <v>1.49</v>
      </c>
      <c r="F38" s="20" t="n">
        <v>1.64</v>
      </c>
      <c r="G38" s="20" t="n">
        <v>1.11</v>
      </c>
      <c r="H38" s="20" t="n">
        <v>0.73</v>
      </c>
      <c r="AF38" s="4" t="inlineStr">
        <is>
          <t>League Table</t>
        </is>
      </c>
      <c r="AG38" s="4" t="inlineStr">
        <is>
          <t>Home Odds</t>
        </is>
      </c>
      <c r="AH38" s="4" t="inlineStr">
        <is>
          <t>Away Odds</t>
        </is>
      </c>
    </row>
    <row r="39">
      <c r="A39" s="21" t="inlineStr">
        <is>
          <t>Total</t>
        </is>
      </c>
      <c r="B39" s="21" t="n">
        <v>8</v>
      </c>
      <c r="C39" s="21" t="n">
        <v>6</v>
      </c>
      <c r="D39" s="21" t="n">
        <v>10</v>
      </c>
      <c r="E39" s="22" t="n">
        <v>0.73</v>
      </c>
      <c r="F39" s="22" t="n">
        <v>0.84</v>
      </c>
      <c r="G39" s="22" t="n">
        <v>0.08</v>
      </c>
      <c r="H39" s="22" t="n">
        <v>-0.36</v>
      </c>
      <c r="AF39" s="6" t="inlineStr">
        <is>
          <t>1. Manchester City</t>
        </is>
      </c>
      <c r="AG39" s="15" t="n"/>
      <c r="AH39" s="15" t="n"/>
    </row>
    <row r="40">
      <c r="AF40" s="6" t="inlineStr">
        <is>
          <t>2. Arsenal</t>
        </is>
      </c>
      <c r="AG40" s="25" t="n">
        <v>7</v>
      </c>
      <c r="AH40" s="15" t="n"/>
    </row>
    <row r="41">
      <c r="AF41" s="6" t="inlineStr">
        <is>
          <t>3. Brighton &amp; Hove Albion</t>
        </is>
      </c>
      <c r="AG41" s="15" t="n"/>
      <c r="AH41" s="15" t="n"/>
    </row>
    <row r="42">
      <c r="AF42" s="6" t="inlineStr">
        <is>
          <t>4. Liverpool</t>
        </is>
      </c>
      <c r="AG42" s="15" t="n"/>
      <c r="AH42" s="30" t="n">
        <v>6.5</v>
      </c>
    </row>
    <row r="43">
      <c r="AF43" s="6" t="inlineStr">
        <is>
          <t>5. Chelsea</t>
        </is>
      </c>
      <c r="AG43" s="15" t="n"/>
      <c r="AH43" s="15" t="n"/>
    </row>
    <row r="44">
      <c r="AF44" s="6" t="inlineStr">
        <is>
          <t>6. Brentford</t>
        </is>
      </c>
      <c r="AG44" s="15" t="n"/>
      <c r="AH44" s="15" t="n"/>
    </row>
    <row r="45">
      <c r="AF45" s="6" t="inlineStr">
        <is>
          <t>7. Leeds United</t>
        </is>
      </c>
      <c r="AG45" s="25" t="n">
        <v>2.45</v>
      </c>
      <c r="AH45" s="15" t="n"/>
    </row>
    <row r="46">
      <c r="AF46" s="6" t="inlineStr">
        <is>
          <t>8. Newcastle United</t>
        </is>
      </c>
      <c r="AG46" s="15" t="n"/>
      <c r="AH46" s="15" t="n"/>
    </row>
    <row r="47">
      <c r="AF47" s="6" t="inlineStr">
        <is>
          <t>9. Aston Villa</t>
        </is>
      </c>
      <c r="AG47" s="15" t="n"/>
      <c r="AH47" s="26" t="n">
        <v>3.25</v>
      </c>
    </row>
    <row r="48">
      <c r="AF48" s="6" t="inlineStr">
        <is>
          <t>10. Hull</t>
        </is>
      </c>
      <c r="AG48" s="15" t="n"/>
      <c r="AH48" s="15" t="n"/>
    </row>
    <row r="49">
      <c r="AF49" s="6" t="inlineStr">
        <is>
          <t>11. Everton</t>
        </is>
      </c>
      <c r="AG49" s="15" t="n"/>
      <c r="AH49" s="15" t="n"/>
    </row>
    <row r="50">
      <c r="AF50" s="6" t="inlineStr">
        <is>
          <t>12. Ipswich</t>
        </is>
      </c>
      <c r="AG50" s="15" t="n"/>
      <c r="AH50" s="30" t="n">
        <v>2.2</v>
      </c>
    </row>
    <row r="51">
      <c r="AF51" s="6" t="inlineStr">
        <is>
          <t>13. Bournemouth</t>
        </is>
      </c>
      <c r="AG51" s="15" t="n"/>
      <c r="AH51" s="15" t="n"/>
    </row>
    <row r="52">
      <c r="AF52" s="6" t="inlineStr">
        <is>
          <t>14. Tottenham Hotspur</t>
        </is>
      </c>
      <c r="AG52" s="30" t="n">
        <v>2.63</v>
      </c>
      <c r="AH52" s="15" t="n"/>
    </row>
    <row r="53">
      <c r="AF53" s="6" t="inlineStr">
        <is>
          <t>15. Fulham</t>
        </is>
      </c>
      <c r="AG53" s="15" t="n"/>
      <c r="AH53" s="15" t="n"/>
    </row>
    <row r="54">
      <c r="AF54" s="6" t="inlineStr">
        <is>
          <t>16. Manchester United</t>
        </is>
      </c>
      <c r="AG54" s="15" t="n"/>
      <c r="AH54" s="15" t="n"/>
    </row>
    <row r="55">
      <c r="AF55" s="6" t="inlineStr">
        <is>
          <t>17. Crystal Palace</t>
        </is>
      </c>
      <c r="AG55" s="15" t="n"/>
      <c r="AH55" s="25" t="n">
        <v>2.5</v>
      </c>
    </row>
    <row r="56">
      <c r="AF56" s="23" t="inlineStr">
        <is>
          <t>18. Nottingham Forest</t>
        </is>
      </c>
      <c r="AG56" s="24" t="n"/>
      <c r="AH56" s="24" t="n"/>
    </row>
    <row r="57">
      <c r="AF57" s="6" t="inlineStr">
        <is>
          <t>19. Coventry</t>
        </is>
      </c>
      <c r="AG57" s="25" t="n">
        <v>1.62</v>
      </c>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2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Ipswich</t>
        </is>
      </c>
      <c r="C2" s="6" t="inlineStr">
        <is>
          <t>Away</t>
        </is>
      </c>
      <c r="D2" s="6" t="n">
        <v>1</v>
      </c>
      <c r="E2" s="6" t="n">
        <v>2</v>
      </c>
      <c r="F2" s="9" t="n">
        <v>1.31</v>
      </c>
      <c r="G2" s="9" t="n">
        <v>1.29</v>
      </c>
      <c r="H2" s="9" t="n">
        <v>0.66</v>
      </c>
      <c r="I2" s="9" t="n">
        <v>1.8</v>
      </c>
      <c r="J2" s="9" t="n">
        <v>-0.65</v>
      </c>
      <c r="K2" s="9" t="n">
        <v>0.51</v>
      </c>
      <c r="L2" s="9" t="n">
        <v>-0.65</v>
      </c>
      <c r="M2" s="9" t="n">
        <v>0.51</v>
      </c>
      <c r="N2" s="9" t="n">
        <v>-0.93</v>
      </c>
      <c r="O2" s="9" t="n">
        <v>0.27</v>
      </c>
      <c r="P2" s="9" t="n">
        <v>-0.93</v>
      </c>
      <c r="Q2" s="9" t="n">
        <v>0.27</v>
      </c>
      <c r="R2" s="9">
        <f>(H2-I2)-(F2-G2)</f>
        <v/>
      </c>
      <c r="S2" s="9">
        <f>(H2+I2)-(F2+G2)</f>
        <v/>
      </c>
      <c r="T2" s="9" t="n">
        <v>0.61</v>
      </c>
      <c r="U2" s="9" t="n">
        <v>1.38</v>
      </c>
      <c r="V2" s="9" t="n">
        <v>-0.77</v>
      </c>
      <c r="W2" s="9" t="n">
        <v>0.61</v>
      </c>
      <c r="X2" s="9" t="n">
        <v>1.38</v>
      </c>
      <c r="Z2" s="12" t="inlineStr">
        <is>
          <t>Expected = the pre-match market xG (what the odds implied) for each side.</t>
        </is>
      </c>
    </row>
    <row r="3">
      <c r="A3" s="8" t="inlineStr">
        <is>
          <t>2026-08-30</t>
        </is>
      </c>
      <c r="B3" s="8" t="inlineStr">
        <is>
          <t>Fulham</t>
        </is>
      </c>
      <c r="C3" s="8" t="inlineStr">
        <is>
          <t>Home</t>
        </is>
      </c>
      <c r="D3" s="8" t="n">
        <v>1</v>
      </c>
      <c r="E3" s="8" t="n">
        <v>0</v>
      </c>
      <c r="F3" s="10" t="n">
        <v>1.36</v>
      </c>
      <c r="G3" s="10" t="n">
        <v>1.17</v>
      </c>
      <c r="H3" s="10" t="n">
        <v>2.02</v>
      </c>
      <c r="I3" s="10" t="n">
        <v>0.95</v>
      </c>
      <c r="J3" s="10" t="n">
        <v>0.66</v>
      </c>
      <c r="K3" s="10" t="n">
        <v>-0.22</v>
      </c>
      <c r="L3" s="10" t="n">
        <v>0</v>
      </c>
      <c r="M3" s="10" t="n">
        <v>0.14</v>
      </c>
      <c r="N3" s="10" t="n">
        <v>0.93</v>
      </c>
      <c r="O3" s="10" t="n">
        <v>-0.31</v>
      </c>
      <c r="P3" s="10" t="n">
        <v>0</v>
      </c>
      <c r="Q3" s="10" t="n">
        <v>-0.02</v>
      </c>
      <c r="R3" s="10">
        <f>(H3-I3)-(F3-G3)</f>
        <v/>
      </c>
      <c r="S3" s="10">
        <f>(H3+I3)-(F3+G3)</f>
        <v/>
      </c>
      <c r="T3" s="10" t="n">
        <v>2.07</v>
      </c>
      <c r="U3" s="10" t="n">
        <v>1.5</v>
      </c>
      <c r="V3" s="10" t="n">
        <v>0.57</v>
      </c>
      <c r="W3" s="10" t="n">
        <v>2.69</v>
      </c>
      <c r="X3" s="10" t="n">
        <v>2.88</v>
      </c>
      <c r="Z3" s="4" t="inlineStr">
        <is>
          <t>Games vs expected</t>
        </is>
      </c>
      <c r="AA3" s="4" t="inlineStr">
        <is>
          <t>Above</t>
        </is>
      </c>
      <c r="AB3" s="4" t="inlineStr">
        <is>
          <t>Below</t>
        </is>
      </c>
    </row>
    <row r="4">
      <c r="A4" s="6" t="inlineStr">
        <is>
          <t>2026-09-05</t>
        </is>
      </c>
      <c r="B4" s="6" t="inlineStr">
        <is>
          <t>Brentford</t>
        </is>
      </c>
      <c r="C4" s="6" t="inlineStr">
        <is>
          <t>Away</t>
        </is>
      </c>
      <c r="D4" s="6" t="n">
        <v>1</v>
      </c>
      <c r="E4" s="6" t="n">
        <v>1</v>
      </c>
      <c r="F4" s="9" t="n">
        <v>0.9</v>
      </c>
      <c r="G4" s="9" t="n">
        <v>1.84</v>
      </c>
      <c r="H4" s="9" t="n">
        <v>1.71</v>
      </c>
      <c r="I4" s="9" t="n">
        <v>1.21</v>
      </c>
      <c r="J4" s="9" t="n">
        <v>0.8100000000000001</v>
      </c>
      <c r="K4" s="9" t="n">
        <v>-0.63</v>
      </c>
      <c r="L4" s="9" t="n">
        <v>0.27</v>
      </c>
      <c r="M4" s="9" t="n">
        <v>-0.11</v>
      </c>
      <c r="N4" s="9" t="n">
        <v>0.78</v>
      </c>
      <c r="O4" s="9" t="n">
        <v>-0.83</v>
      </c>
      <c r="P4" s="9" t="n">
        <v>0.26</v>
      </c>
      <c r="Q4" s="9" t="n">
        <v>-0.29</v>
      </c>
      <c r="R4" s="9">
        <f>(H4-I4)-(F4-G4)</f>
        <v/>
      </c>
      <c r="S4" s="9">
        <f>(H4+I4)-(F4+G4)</f>
        <v/>
      </c>
      <c r="T4" s="9" t="n">
        <v>1.71</v>
      </c>
      <c r="U4" s="9" t="n">
        <v>0.77</v>
      </c>
      <c r="V4" s="9" t="n">
        <v>0.9399999999999999</v>
      </c>
      <c r="W4" s="9" t="n">
        <v>4.4</v>
      </c>
      <c r="X4" s="9" t="n">
        <v>3.65</v>
      </c>
      <c r="Z4" s="6" t="inlineStr">
        <is>
          <t>xG For vs expected</t>
        </is>
      </c>
      <c r="AA4" s="5">
        <f>COUNTIF($J$2:$J$9,"&gt;0")</f>
        <v/>
      </c>
      <c r="AB4" s="5">
        <f>COUNTIF($J$2:$J$9,"&lt;0")</f>
        <v/>
      </c>
    </row>
    <row r="5">
      <c r="A5" s="8" t="inlineStr">
        <is>
          <t>2026-09-12</t>
        </is>
      </c>
      <c r="B5" s="8" t="inlineStr">
        <is>
          <t>Arsenal</t>
        </is>
      </c>
      <c r="C5" s="8" t="inlineStr">
        <is>
          <t>Home</t>
        </is>
      </c>
      <c r="D5" s="8" t="n">
        <v>0</v>
      </c>
      <c r="E5" s="8" t="n">
        <v>2</v>
      </c>
      <c r="F5" s="10" t="n">
        <v>0.6899999999999999</v>
      </c>
      <c r="G5" s="10" t="n">
        <v>1.85</v>
      </c>
      <c r="H5" s="10" t="n">
        <v>1.8</v>
      </c>
      <c r="I5" s="10" t="n">
        <v>1.88</v>
      </c>
      <c r="J5" s="10" t="n">
        <v>1.11</v>
      </c>
      <c r="K5" s="10" t="n">
        <v>0.03</v>
      </c>
      <c r="L5" s="10" t="n">
        <v>0.48</v>
      </c>
      <c r="M5" s="10" t="n">
        <v>-0.08</v>
      </c>
      <c r="N5" s="10" t="n">
        <v>1.31</v>
      </c>
      <c r="O5" s="10" t="n">
        <v>0.34</v>
      </c>
      <c r="P5" s="10" t="n">
        <v>0.52</v>
      </c>
      <c r="Q5" s="10" t="n">
        <v>-0.13</v>
      </c>
      <c r="R5" s="10">
        <f>(H5-I5)-(F5-G5)</f>
        <v/>
      </c>
      <c r="S5" s="10">
        <f>(H5+I5)-(F5+G5)</f>
        <v/>
      </c>
      <c r="T5" s="10" t="n">
        <v>1.34</v>
      </c>
      <c r="U5" s="10" t="n">
        <v>0.61</v>
      </c>
      <c r="V5" s="10" t="n">
        <v>0.73</v>
      </c>
      <c r="W5" s="10" t="n">
        <v>5.74</v>
      </c>
      <c r="X5" s="10" t="n">
        <v>4.26</v>
      </c>
      <c r="Z5" s="6" t="inlineStr">
        <is>
          <t>xG Against vs expected</t>
        </is>
      </c>
      <c r="AA5" s="5">
        <f>COUNTIF($K$2:$K$9,"&gt;0")</f>
        <v/>
      </c>
      <c r="AB5" s="5">
        <f>COUNTIF($K$2:$K$9,"&lt;0")</f>
        <v/>
      </c>
    </row>
    <row r="6">
      <c r="A6" s="6" t="inlineStr">
        <is>
          <t>2026-09-20</t>
        </is>
      </c>
      <c r="B6" s="6" t="inlineStr">
        <is>
          <t>Manchester City</t>
        </is>
      </c>
      <c r="C6" s="6" t="inlineStr">
        <is>
          <t>Away</t>
        </is>
      </c>
      <c r="D6" s="6" t="n">
        <v>3</v>
      </c>
      <c r="E6" s="6" t="n">
        <v>5</v>
      </c>
      <c r="F6" s="9" t="n">
        <v>0.76</v>
      </c>
      <c r="G6" s="9" t="n">
        <v>2.35</v>
      </c>
      <c r="H6" s="9" t="n">
        <v>3.57</v>
      </c>
      <c r="I6" s="9" t="n">
        <v>2.82</v>
      </c>
      <c r="J6" s="9" t="n">
        <v>2.81</v>
      </c>
      <c r="K6" s="9" t="n">
        <v>0.46</v>
      </c>
      <c r="L6" s="9" t="n">
        <v>0.95</v>
      </c>
      <c r="M6" s="9" t="n">
        <v>0.03</v>
      </c>
      <c r="N6" s="9" t="n">
        <v>2.91</v>
      </c>
      <c r="O6" s="9" t="n">
        <v>0.68</v>
      </c>
      <c r="P6" s="9" t="n">
        <v>1</v>
      </c>
      <c r="Q6" s="9" t="n">
        <v>0.03</v>
      </c>
      <c r="R6" s="9">
        <f>(H6-I6)-(F6-G6)</f>
        <v/>
      </c>
      <c r="S6" s="9">
        <f>(H6+I6)-(F6+G6)</f>
        <v/>
      </c>
      <c r="T6" s="9" t="n">
        <v>1.76</v>
      </c>
      <c r="U6" s="9" t="n">
        <v>0.47</v>
      </c>
      <c r="V6" s="9" t="n">
        <v>1.29</v>
      </c>
      <c r="W6" s="9" t="n">
        <v>7.51</v>
      </c>
      <c r="X6" s="9" t="n">
        <v>4.74</v>
      </c>
      <c r="Z6" s="6" t="inlineStr">
        <is>
          <t>Goals For vs expected</t>
        </is>
      </c>
      <c r="AA6" s="5">
        <f>SUMPRODUCT(--($D$2:$D$9&gt;$F$2:$F$9))</f>
        <v/>
      </c>
      <c r="AB6" s="5">
        <f>SUMPRODUCT(--($D$2:$D$9&lt;$F$2:$F$9))</f>
        <v/>
      </c>
    </row>
    <row r="7">
      <c r="A7" s="8" t="inlineStr">
        <is>
          <t>2026-10-10</t>
        </is>
      </c>
      <c r="B7" s="8" t="inlineStr">
        <is>
          <t>Brighton &amp; Hove Albion</t>
        </is>
      </c>
      <c r="C7" s="8" t="inlineStr">
        <is>
          <t>Home</t>
        </is>
      </c>
      <c r="D7" s="8" t="n">
        <v>0</v>
      </c>
      <c r="E7" s="8" t="n">
        <v>2</v>
      </c>
      <c r="F7" s="10" t="n">
        <v>1.27</v>
      </c>
      <c r="G7" s="10" t="n">
        <v>1.53</v>
      </c>
      <c r="H7" s="10" t="n">
        <v>0.72</v>
      </c>
      <c r="I7" s="10" t="n">
        <v>1.41</v>
      </c>
      <c r="J7" s="10" t="n">
        <v>-0.55</v>
      </c>
      <c r="K7" s="10" t="n">
        <v>-0.12</v>
      </c>
      <c r="L7" s="10" t="n">
        <v>0.7</v>
      </c>
      <c r="M7" s="10" t="n">
        <v>0.01</v>
      </c>
      <c r="N7" s="10" t="n">
        <v>-0.63</v>
      </c>
      <c r="O7" s="10" t="n">
        <v>-0.72</v>
      </c>
      <c r="P7" s="10" t="n">
        <v>0.73</v>
      </c>
      <c r="Q7" s="10" t="n">
        <v>-0.1</v>
      </c>
      <c r="R7" s="10">
        <f>(H7-I7)-(F7-G7)</f>
        <v/>
      </c>
      <c r="S7" s="10">
        <f>(H7+I7)-(F7+G7)</f>
        <v/>
      </c>
      <c r="T7" s="10" t="n">
        <v>0.85</v>
      </c>
      <c r="U7" s="10" t="n">
        <v>1.2</v>
      </c>
      <c r="V7" s="10" t="n">
        <v>-0.35</v>
      </c>
      <c r="W7" s="10" t="n">
        <v>8.35</v>
      </c>
      <c r="X7" s="10" t="n">
        <v>5.93</v>
      </c>
      <c r="Z7" s="6" t="inlineStr">
        <is>
          <t>Goals Against vs expected</t>
        </is>
      </c>
      <c r="AA7" s="5">
        <f>SUMPRODUCT(--($E$2:$E$9&gt;$G$2:$G$9))</f>
        <v/>
      </c>
      <c r="AB7" s="5">
        <f>SUMPRODUCT(--($E$2:$E$9&lt;$G$2:$G$9))</f>
        <v/>
      </c>
    </row>
    <row r="8">
      <c r="A8" s="6" t="inlineStr">
        <is>
          <t>2026-10-18</t>
        </is>
      </c>
      <c r="B8" s="6" t="inlineStr">
        <is>
          <t>Bournemouth</t>
        </is>
      </c>
      <c r="C8" s="6" t="inlineStr">
        <is>
          <t>Away</t>
        </is>
      </c>
      <c r="D8" s="6" t="n">
        <v>0</v>
      </c>
      <c r="E8" s="6" t="n">
        <v>2</v>
      </c>
      <c r="F8" s="9" t="n">
        <v>1.17</v>
      </c>
      <c r="G8" s="9" t="n">
        <v>1.61</v>
      </c>
      <c r="H8" s="9" t="n">
        <v>0.07000000000000001</v>
      </c>
      <c r="I8" s="9" t="n">
        <v>4.23</v>
      </c>
      <c r="J8" s="9" t="n">
        <v>-1.1</v>
      </c>
      <c r="K8" s="9" t="n">
        <v>2.62</v>
      </c>
      <c r="L8" s="9" t="n">
        <v>0.63</v>
      </c>
      <c r="M8" s="9" t="n">
        <v>0.36</v>
      </c>
      <c r="N8" s="9" t="n">
        <v>-0.67</v>
      </c>
      <c r="O8" s="9" t="n">
        <v>2.51</v>
      </c>
      <c r="P8" s="9" t="n">
        <v>0.77</v>
      </c>
      <c r="Q8" s="9" t="n">
        <v>0.28</v>
      </c>
      <c r="R8" s="9">
        <f>(H8-I8)-(F8-G8)</f>
        <v/>
      </c>
      <c r="S8" s="9">
        <f>(H8+I8)-(F8+G8)</f>
        <v/>
      </c>
      <c r="T8" s="9" t="n">
        <v>0.02</v>
      </c>
      <c r="U8" s="9" t="n">
        <v>1.08</v>
      </c>
      <c r="V8" s="9" t="n">
        <v>-1.06</v>
      </c>
      <c r="W8" s="9" t="n">
        <v>8.369999999999999</v>
      </c>
      <c r="X8" s="9" t="n">
        <v>7.01</v>
      </c>
      <c r="Z8" s="12" t="inlineStr">
        <is>
          <t>For: Above = beat expectation. Against: Above = conceded more than expected (worse).</t>
        </is>
      </c>
    </row>
    <row r="9">
      <c r="A9" s="8" t="inlineStr">
        <is>
          <t>2026-10-25</t>
        </is>
      </c>
      <c r="B9" s="8" t="inlineStr">
        <is>
          <t>Leeds United</t>
        </is>
      </c>
      <c r="C9" s="8" t="inlineStr">
        <is>
          <t>Home</t>
        </is>
      </c>
      <c r="D9" s="8" t="n">
        <v>0</v>
      </c>
      <c r="E9" s="8" t="n">
        <v>0</v>
      </c>
      <c r="F9" s="10" t="n">
        <v>1.15</v>
      </c>
      <c r="G9" s="10" t="n">
        <v>1.33</v>
      </c>
      <c r="H9" s="10" t="n">
        <v>0.83</v>
      </c>
      <c r="I9" s="10" t="n">
        <v>0.76</v>
      </c>
      <c r="J9" s="10" t="n">
        <v>-0.32</v>
      </c>
      <c r="K9" s="10" t="n">
        <v>-0.57</v>
      </c>
      <c r="L9" s="10" t="n">
        <v>0.46</v>
      </c>
      <c r="M9" s="10" t="n">
        <v>0.3</v>
      </c>
      <c r="N9" s="10" t="n">
        <v>-0.24</v>
      </c>
      <c r="O9" s="10" t="n">
        <v>-0.64</v>
      </c>
      <c r="P9" s="10" t="n">
        <v>0.57</v>
      </c>
      <c r="Q9" s="10" t="n">
        <v>0.22</v>
      </c>
      <c r="R9" s="10">
        <f>(H9-I9)-(F9-G9)</f>
        <v/>
      </c>
      <c r="S9" s="10">
        <f>(H9+I9)-(F9+G9)</f>
        <v/>
      </c>
      <c r="T9" s="10" t="n">
        <v>1.38</v>
      </c>
      <c r="U9" s="10" t="n">
        <v>1.23</v>
      </c>
      <c r="V9" s="10" t="n">
        <v>0.15</v>
      </c>
      <c r="W9" s="10" t="n">
        <v>9.76</v>
      </c>
      <c r="X9" s="10" t="n">
        <v>8.24</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1</v>
      </c>
      <c r="D37" s="16" t="n">
        <v>4</v>
      </c>
      <c r="E37" s="20" t="n">
        <v>0.45</v>
      </c>
      <c r="F37" s="20" t="n">
        <v>0.57</v>
      </c>
      <c r="G37" s="20" t="n">
        <v>0.01</v>
      </c>
      <c r="H37" s="20" t="n">
        <v>-0.11</v>
      </c>
      <c r="AF37" s="11" t="inlineStr">
        <is>
          <t>Sunderland: closing odds to win, by opponent (league table order)</t>
        </is>
      </c>
    </row>
    <row r="38">
      <c r="A38" s="16" t="inlineStr">
        <is>
          <t>Away</t>
        </is>
      </c>
      <c r="B38" s="16" t="n">
        <v>4</v>
      </c>
      <c r="C38" s="16" t="n">
        <v>5</v>
      </c>
      <c r="D38" s="16" t="n">
        <v>10</v>
      </c>
      <c r="E38" s="20" t="n">
        <v>-0.27</v>
      </c>
      <c r="F38" s="20" t="n">
        <v>0.14</v>
      </c>
      <c r="G38" s="20" t="n">
        <v>1.21</v>
      </c>
      <c r="H38" s="20" t="n">
        <v>0.85</v>
      </c>
      <c r="AF38" s="4" t="inlineStr">
        <is>
          <t>League Table</t>
        </is>
      </c>
      <c r="AG38" s="4" t="inlineStr">
        <is>
          <t>Home Odds</t>
        </is>
      </c>
      <c r="AH38" s="4" t="inlineStr">
        <is>
          <t>Away Odds</t>
        </is>
      </c>
    </row>
    <row r="39">
      <c r="A39" s="21" t="inlineStr">
        <is>
          <t>Total</t>
        </is>
      </c>
      <c r="B39" s="21" t="n">
        <v>8</v>
      </c>
      <c r="C39" s="21" t="n">
        <v>6</v>
      </c>
      <c r="D39" s="21" t="n">
        <v>14</v>
      </c>
      <c r="E39" s="22" t="n">
        <v>0.09</v>
      </c>
      <c r="F39" s="22" t="n">
        <v>0.57</v>
      </c>
      <c r="G39" s="22" t="n">
        <v>0.61</v>
      </c>
      <c r="H39" s="22" t="n">
        <v>0.32</v>
      </c>
      <c r="AF39" s="6" t="inlineStr">
        <is>
          <t>1. Manchester City</t>
        </is>
      </c>
      <c r="AG39" s="15" t="n"/>
      <c r="AH39" s="25" t="n">
        <v>9</v>
      </c>
    </row>
    <row r="40">
      <c r="AF40" s="6" t="inlineStr">
        <is>
          <t>2. Arsenal</t>
        </is>
      </c>
      <c r="AG40" s="25" t="n">
        <v>6</v>
      </c>
      <c r="AH40" s="15" t="n"/>
    </row>
    <row r="41">
      <c r="AF41" s="6" t="inlineStr">
        <is>
          <t>3. Brighton &amp; Hove Albion</t>
        </is>
      </c>
      <c r="AG41" s="25" t="n">
        <v>3</v>
      </c>
      <c r="AH41" s="15" t="n"/>
    </row>
    <row r="42">
      <c r="AF42" s="6" t="inlineStr">
        <is>
          <t>4. Liverpool</t>
        </is>
      </c>
      <c r="AG42" s="15" t="n"/>
      <c r="AH42" s="15" t="n"/>
    </row>
    <row r="43">
      <c r="AF43" s="6" t="inlineStr">
        <is>
          <t>5. Chelsea</t>
        </is>
      </c>
      <c r="AG43" s="15" t="n"/>
      <c r="AH43" s="15" t="n"/>
    </row>
    <row r="44">
      <c r="AF44" s="6" t="inlineStr">
        <is>
          <t>6. Brentford</t>
        </is>
      </c>
      <c r="AG44" s="15" t="n"/>
      <c r="AH44" s="30" t="n">
        <v>4.75</v>
      </c>
    </row>
    <row r="45">
      <c r="AF45" s="6" t="inlineStr">
        <is>
          <t>7. Leeds United</t>
        </is>
      </c>
      <c r="AG45" s="30" t="n">
        <v>2.63</v>
      </c>
      <c r="AH45" s="15" t="n"/>
    </row>
    <row r="46">
      <c r="AF46" s="6" t="inlineStr">
        <is>
          <t>8. Newcastle United</t>
        </is>
      </c>
      <c r="AG46" s="15" t="n"/>
      <c r="AH46" s="15" t="n"/>
    </row>
    <row r="47">
      <c r="AF47" s="6" t="inlineStr">
        <is>
          <t>9. Aston Villa</t>
        </is>
      </c>
      <c r="AG47" s="15" t="n"/>
      <c r="AH47" s="15" t="n"/>
    </row>
    <row r="48">
      <c r="AF48" s="6" t="inlineStr">
        <is>
          <t>10. Hull</t>
        </is>
      </c>
      <c r="AG48" s="15" t="n"/>
      <c r="AH48" s="15" t="n"/>
    </row>
    <row r="49">
      <c r="AF49" s="6" t="inlineStr">
        <is>
          <t>11. Everton</t>
        </is>
      </c>
      <c r="AG49" s="15" t="n"/>
      <c r="AH49" s="15" t="n"/>
    </row>
    <row r="50">
      <c r="AF50" s="6" t="inlineStr">
        <is>
          <t>12. Ipswich</t>
        </is>
      </c>
      <c r="AG50" s="15" t="n"/>
      <c r="AH50" s="25" t="n">
        <v>2.5</v>
      </c>
    </row>
    <row r="51">
      <c r="AF51" s="6" t="inlineStr">
        <is>
          <t>13. Bournemouth</t>
        </is>
      </c>
      <c r="AG51" s="15" t="n"/>
      <c r="AH51" s="25" t="n">
        <v>3.8</v>
      </c>
    </row>
    <row r="52">
      <c r="AF52" s="6" t="inlineStr">
        <is>
          <t>14. Tottenham Hotspur</t>
        </is>
      </c>
      <c r="AG52" s="15" t="n"/>
      <c r="AH52" s="15" t="n"/>
    </row>
    <row r="53">
      <c r="AF53" s="6" t="inlineStr">
        <is>
          <t>15. Fulham</t>
        </is>
      </c>
      <c r="AG53" s="26" t="n">
        <v>2.2</v>
      </c>
      <c r="AH53" s="15" t="n"/>
    </row>
    <row r="54">
      <c r="AF54" s="6" t="inlineStr">
        <is>
          <t>16. Manchester United</t>
        </is>
      </c>
      <c r="AG54" s="15" t="n"/>
      <c r="AH54" s="15" t="n"/>
    </row>
    <row r="55">
      <c r="AF55" s="6" t="inlineStr">
        <is>
          <t>17. Crystal Palace</t>
        </is>
      </c>
      <c r="AG55" s="15" t="n"/>
      <c r="AH55" s="15" t="n"/>
    </row>
    <row r="56">
      <c r="AF56" s="6" t="inlineStr">
        <is>
          <t>18. Nottingham Forest</t>
        </is>
      </c>
      <c r="AG56" s="15" t="n"/>
      <c r="AH56" s="15" t="n"/>
    </row>
    <row r="57">
      <c r="AF57" s="6" t="inlineStr">
        <is>
          <t>19. Coventry</t>
        </is>
      </c>
      <c r="AG57" s="15" t="n"/>
      <c r="AH57" s="15" t="n"/>
    </row>
    <row r="58">
      <c r="AF58" s="23" t="inlineStr">
        <is>
          <t>20. Sunderland</t>
        </is>
      </c>
      <c r="AG58" s="24" t="n"/>
      <c r="AH58" s="24"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4"/>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2026-08-22</t>
        </is>
      </c>
      <c r="B2" s="6" t="inlineStr">
        <is>
          <t>Brentford</t>
        </is>
      </c>
      <c r="C2" s="6" t="inlineStr">
        <is>
          <t>Away</t>
        </is>
      </c>
      <c r="D2" s="6" t="n">
        <v>0</v>
      </c>
      <c r="E2" s="6" t="n">
        <v>3</v>
      </c>
      <c r="F2" s="9" t="n">
        <v>1.41</v>
      </c>
      <c r="G2" s="9" t="n">
        <v>1.53</v>
      </c>
      <c r="H2" s="9" t="n">
        <v>0.57</v>
      </c>
      <c r="I2" s="9" t="n">
        <v>3.87</v>
      </c>
      <c r="J2" s="9" t="n">
        <v>-0.84</v>
      </c>
      <c r="K2" s="9" t="n">
        <v>2.34</v>
      </c>
      <c r="L2" s="9" t="n">
        <v>-0.84</v>
      </c>
      <c r="M2" s="9" t="n">
        <v>2.34</v>
      </c>
      <c r="N2" s="9" t="n">
        <v>-1.1</v>
      </c>
      <c r="O2" s="9" t="n">
        <v>2.57</v>
      </c>
      <c r="P2" s="9" t="n">
        <v>-1.1</v>
      </c>
      <c r="Q2" s="9" t="n">
        <v>2.57</v>
      </c>
      <c r="R2" s="9">
        <f>(H2-I2)-(F2-G2)</f>
        <v/>
      </c>
      <c r="S2" s="9">
        <f>(H2+I2)-(F2+G2)</f>
        <v/>
      </c>
      <c r="T2" s="9" t="n">
        <v>0.12</v>
      </c>
      <c r="U2" s="9" t="n">
        <v>1.3</v>
      </c>
      <c r="V2" s="9" t="n">
        <v>-1.18</v>
      </c>
      <c r="W2" s="9" t="n">
        <v>0.12</v>
      </c>
      <c r="X2" s="9" t="n">
        <v>1.3</v>
      </c>
      <c r="Z2" s="12" t="inlineStr">
        <is>
          <t>Expected = the pre-match market xG (what the odds implied) for each side.</t>
        </is>
      </c>
    </row>
    <row r="3">
      <c r="A3" s="8" t="inlineStr">
        <is>
          <t>2026-08-29</t>
        </is>
      </c>
      <c r="B3" s="8" t="inlineStr">
        <is>
          <t>Newcastle United</t>
        </is>
      </c>
      <c r="C3" s="8" t="inlineStr">
        <is>
          <t>Home</t>
        </is>
      </c>
      <c r="D3" s="8" t="n">
        <v>0</v>
      </c>
      <c r="E3" s="8" t="n">
        <v>2</v>
      </c>
      <c r="F3" s="10" t="n">
        <v>1.61</v>
      </c>
      <c r="G3" s="10" t="n">
        <v>1.39</v>
      </c>
      <c r="H3" s="10" t="n">
        <v>1.12</v>
      </c>
      <c r="I3" s="10" t="n">
        <v>0.72</v>
      </c>
      <c r="J3" s="10" t="n">
        <v>-0.49</v>
      </c>
      <c r="K3" s="10" t="n">
        <v>-0.67</v>
      </c>
      <c r="L3" s="10" t="n">
        <v>-0.66</v>
      </c>
      <c r="M3" s="10" t="n">
        <v>0.84</v>
      </c>
      <c r="N3" s="10" t="n">
        <v>-0.86</v>
      </c>
      <c r="O3" s="10" t="n">
        <v>-0.24</v>
      </c>
      <c r="P3" s="10" t="n">
        <v>-0.98</v>
      </c>
      <c r="Q3" s="10" t="n">
        <v>1.16</v>
      </c>
      <c r="R3" s="10">
        <f>(H3-I3)-(F3-G3)</f>
        <v/>
      </c>
      <c r="S3" s="10">
        <f>(H3+I3)-(F3+G3)</f>
        <v/>
      </c>
      <c r="T3" s="10" t="n">
        <v>1.67</v>
      </c>
      <c r="U3" s="10" t="n">
        <v>1.52</v>
      </c>
      <c r="V3" s="10" t="n">
        <v>0.14</v>
      </c>
      <c r="W3" s="10" t="n">
        <v>1.79</v>
      </c>
      <c r="X3" s="10" t="n">
        <v>2.82</v>
      </c>
      <c r="Z3" s="4" t="inlineStr">
        <is>
          <t>Games vs expected</t>
        </is>
      </c>
      <c r="AA3" s="4" t="inlineStr">
        <is>
          <t>Above</t>
        </is>
      </c>
      <c r="AB3" s="4" t="inlineStr">
        <is>
          <t>Below</t>
        </is>
      </c>
    </row>
    <row r="4">
      <c r="A4" s="6" t="inlineStr">
        <is>
          <t>2026-09-05</t>
        </is>
      </c>
      <c r="B4" s="6" t="inlineStr">
        <is>
          <t>Nottingham Forest</t>
        </is>
      </c>
      <c r="C4" s="6" t="inlineStr">
        <is>
          <t>Away</t>
        </is>
      </c>
      <c r="D4" s="6" t="n">
        <v>0</v>
      </c>
      <c r="E4" s="6" t="n">
        <v>0</v>
      </c>
      <c r="F4" s="9" t="n">
        <v>1.25</v>
      </c>
      <c r="G4" s="9" t="n">
        <v>1.4</v>
      </c>
      <c r="H4" s="9" t="n">
        <v>1.06</v>
      </c>
      <c r="I4" s="9" t="n">
        <v>0.92</v>
      </c>
      <c r="J4" s="9" t="n">
        <v>-0.19</v>
      </c>
      <c r="K4" s="9" t="n">
        <v>-0.47</v>
      </c>
      <c r="L4" s="9" t="n">
        <v>-0.51</v>
      </c>
      <c r="M4" s="9" t="n">
        <v>0.4</v>
      </c>
      <c r="N4" s="9" t="n">
        <v>0.16</v>
      </c>
      <c r="O4" s="9" t="n">
        <v>-1</v>
      </c>
      <c r="P4" s="9" t="n">
        <v>-0.6</v>
      </c>
      <c r="Q4" s="9" t="n">
        <v>0.44</v>
      </c>
      <c r="R4" s="9">
        <f>(H4-I4)-(F4-G4)</f>
        <v/>
      </c>
      <c r="S4" s="9">
        <f>(H4+I4)-(F4+G4)</f>
        <v/>
      </c>
      <c r="T4" s="9" t="n">
        <v>1.46</v>
      </c>
      <c r="U4" s="9" t="n">
        <v>1.27</v>
      </c>
      <c r="V4" s="9" t="n">
        <v>0.19</v>
      </c>
      <c r="W4" s="9" t="n">
        <v>3.24</v>
      </c>
      <c r="X4" s="9" t="n">
        <v>4.09</v>
      </c>
      <c r="Z4" s="6" t="inlineStr">
        <is>
          <t>xG For vs expected</t>
        </is>
      </c>
      <c r="AA4" s="5">
        <f>COUNTIF($J$2:$J$9,"&gt;0")</f>
        <v/>
      </c>
      <c r="AB4" s="5">
        <f>COUNTIF($J$2:$J$9,"&lt;0")</f>
        <v/>
      </c>
    </row>
    <row r="5">
      <c r="A5" s="8" t="inlineStr">
        <is>
          <t>2026-09-12</t>
        </is>
      </c>
      <c r="B5" s="8" t="inlineStr">
        <is>
          <t>Everton</t>
        </is>
      </c>
      <c r="C5" s="8" t="inlineStr">
        <is>
          <t>Home</t>
        </is>
      </c>
      <c r="D5" s="8" t="n">
        <v>0</v>
      </c>
      <c r="E5" s="8" t="n">
        <v>0</v>
      </c>
      <c r="F5" s="10" t="n">
        <v>1.56</v>
      </c>
      <c r="G5" s="10" t="n">
        <v>1.1</v>
      </c>
      <c r="H5" s="10" t="n">
        <v>0.6899999999999999</v>
      </c>
      <c r="I5" s="10" t="n">
        <v>1.11</v>
      </c>
      <c r="J5" s="10" t="n">
        <v>-0.87</v>
      </c>
      <c r="K5" s="10" t="n">
        <v>0.01</v>
      </c>
      <c r="L5" s="10" t="n">
        <v>-0.6</v>
      </c>
      <c r="M5" s="10" t="n">
        <v>0.3</v>
      </c>
      <c r="N5" s="10" t="n">
        <v>-0.99</v>
      </c>
      <c r="O5" s="10" t="n">
        <v>0.05</v>
      </c>
      <c r="P5" s="10" t="n">
        <v>-0.7</v>
      </c>
      <c r="Q5" s="10" t="n">
        <v>0.34</v>
      </c>
      <c r="R5" s="10">
        <f>(H5-I5)-(F5-G5)</f>
        <v/>
      </c>
      <c r="S5" s="10">
        <f>(H5+I5)-(F5+G5)</f>
        <v/>
      </c>
      <c r="T5" s="10" t="n">
        <v>1</v>
      </c>
      <c r="U5" s="10" t="n">
        <v>1.7</v>
      </c>
      <c r="V5" s="10" t="n">
        <v>-0.6899999999999999</v>
      </c>
      <c r="W5" s="10" t="n">
        <v>4.24</v>
      </c>
      <c r="X5" s="10" t="n">
        <v>5.78</v>
      </c>
      <c r="Z5" s="6" t="inlineStr">
        <is>
          <t>xG Against vs expected</t>
        </is>
      </c>
      <c r="AA5" s="5">
        <f>COUNTIF($K$2:$K$9,"&gt;0")</f>
        <v/>
      </c>
      <c r="AB5" s="5">
        <f>COUNTIF($K$2:$K$9,"&lt;0")</f>
        <v/>
      </c>
    </row>
    <row r="6">
      <c r="A6" s="6" t="inlineStr">
        <is>
          <t>2026-09-19</t>
        </is>
      </c>
      <c r="B6" s="6" t="inlineStr">
        <is>
          <t>Aston Villa</t>
        </is>
      </c>
      <c r="C6" s="6" t="inlineStr">
        <is>
          <t>Home</t>
        </is>
      </c>
      <c r="D6" s="6" t="n">
        <v>2</v>
      </c>
      <c r="E6" s="6" t="n">
        <v>3</v>
      </c>
      <c r="F6" s="9" t="n">
        <v>1.63</v>
      </c>
      <c r="G6" s="9" t="n">
        <v>1.15</v>
      </c>
      <c r="H6" s="9" t="n">
        <v>1.56</v>
      </c>
      <c r="I6" s="9" t="n">
        <v>1.26</v>
      </c>
      <c r="J6" s="9" t="n">
        <v>-0.07000000000000001</v>
      </c>
      <c r="K6" s="9" t="n">
        <v>0.11</v>
      </c>
      <c r="L6" s="9" t="n">
        <v>-0.49</v>
      </c>
      <c r="M6" s="9" t="n">
        <v>0.26</v>
      </c>
      <c r="N6" s="9" t="n">
        <v>-0.11</v>
      </c>
      <c r="O6" s="9" t="n">
        <v>0.33</v>
      </c>
      <c r="P6" s="9" t="n">
        <v>-0.58</v>
      </c>
      <c r="Q6" s="9" t="n">
        <v>0.34</v>
      </c>
      <c r="R6" s="9">
        <f>(H6-I6)-(F6-G6)</f>
        <v/>
      </c>
      <c r="S6" s="9">
        <f>(H6+I6)-(F6+G6)</f>
        <v/>
      </c>
      <c r="T6" s="9" t="n">
        <v>1.58</v>
      </c>
      <c r="U6" s="9" t="n">
        <v>1.7</v>
      </c>
      <c r="V6" s="9" t="n">
        <v>-0.12</v>
      </c>
      <c r="W6" s="9" t="n">
        <v>5.82</v>
      </c>
      <c r="X6" s="9" t="n">
        <v>7.49</v>
      </c>
      <c r="Z6" s="6" t="inlineStr">
        <is>
          <t>Goals For vs expected</t>
        </is>
      </c>
      <c r="AA6" s="5">
        <f>SUMPRODUCT(--($D$2:$D$9&gt;$F$2:$F$9))</f>
        <v/>
      </c>
      <c r="AB6" s="5">
        <f>SUMPRODUCT(--($D$2:$D$9&lt;$F$2:$F$9))</f>
        <v/>
      </c>
    </row>
    <row r="7">
      <c r="A7" s="8" t="inlineStr">
        <is>
          <t>2026-10-10</t>
        </is>
      </c>
      <c r="B7" s="8" t="inlineStr">
        <is>
          <t>Manchester United</t>
        </is>
      </c>
      <c r="C7" s="8" t="inlineStr">
        <is>
          <t>Away</t>
        </is>
      </c>
      <c r="D7" s="8" t="n">
        <v>1</v>
      </c>
      <c r="E7" s="8" t="n">
        <v>1</v>
      </c>
      <c r="F7" s="10" t="n">
        <v>1.2</v>
      </c>
      <c r="G7" s="10" t="n">
        <v>2.05</v>
      </c>
      <c r="H7" s="10" t="n">
        <v>1.62</v>
      </c>
      <c r="I7" s="10" t="n">
        <v>0.8</v>
      </c>
      <c r="J7" s="10" t="n">
        <v>0.42</v>
      </c>
      <c r="K7" s="10" t="n">
        <v>-1.25</v>
      </c>
      <c r="L7" s="10" t="n">
        <v>-0.34</v>
      </c>
      <c r="M7" s="10" t="n">
        <v>0.01</v>
      </c>
      <c r="N7" s="10" t="n">
        <v>0.22</v>
      </c>
      <c r="O7" s="10" t="n">
        <v>-1.19</v>
      </c>
      <c r="P7" s="10" t="n">
        <v>-0.45</v>
      </c>
      <c r="Q7" s="10" t="n">
        <v>0.09</v>
      </c>
      <c r="R7" s="10">
        <f>(H7-I7)-(F7-G7)</f>
        <v/>
      </c>
      <c r="S7" s="10">
        <f>(H7+I7)-(F7+G7)</f>
        <v/>
      </c>
      <c r="T7" s="10" t="n">
        <v>1.95</v>
      </c>
      <c r="U7" s="10" t="n">
        <v>0.87</v>
      </c>
      <c r="V7" s="10" t="n">
        <v>1.08</v>
      </c>
      <c r="W7" s="10" t="n">
        <v>7.77</v>
      </c>
      <c r="X7" s="10" t="n">
        <v>8.35</v>
      </c>
      <c r="Z7" s="6" t="inlineStr">
        <is>
          <t>Goals Against vs expected</t>
        </is>
      </c>
      <c r="AA7" s="5">
        <f>SUMPRODUCT(--($E$2:$E$9&gt;$G$2:$G$9))</f>
        <v/>
      </c>
      <c r="AB7" s="5">
        <f>SUMPRODUCT(--($E$2:$E$9&lt;$G$2:$G$9))</f>
        <v/>
      </c>
    </row>
    <row r="8">
      <c r="A8" s="6" t="inlineStr">
        <is>
          <t>2026-10-19</t>
        </is>
      </c>
      <c r="B8" s="6" t="inlineStr">
        <is>
          <t>Coventry</t>
        </is>
      </c>
      <c r="C8" s="6" t="inlineStr">
        <is>
          <t>Home</t>
        </is>
      </c>
      <c r="D8" s="6" t="n">
        <v>3</v>
      </c>
      <c r="E8" s="6" t="n">
        <v>1</v>
      </c>
      <c r="F8" s="9" t="n">
        <v>2.19</v>
      </c>
      <c r="G8" s="9" t="n">
        <v>0.92</v>
      </c>
      <c r="H8" s="9" t="n">
        <v>0.86</v>
      </c>
      <c r="I8" s="9" t="n">
        <v>0.77</v>
      </c>
      <c r="J8" s="9" t="n">
        <v>-1.33</v>
      </c>
      <c r="K8" s="9" t="n">
        <v>-0.15</v>
      </c>
      <c r="L8" s="9" t="n">
        <v>-0.42</v>
      </c>
      <c r="M8" s="9" t="n">
        <v>-0.4</v>
      </c>
      <c r="N8" s="9" t="n">
        <v>-0.99</v>
      </c>
      <c r="O8" s="9" t="n">
        <v>-0.03</v>
      </c>
      <c r="P8" s="9" t="n">
        <v>-0.43</v>
      </c>
      <c r="Q8" s="9" t="n">
        <v>-0.35</v>
      </c>
      <c r="R8" s="9">
        <f>(H8-I8)-(F8-G8)</f>
        <v/>
      </c>
      <c r="S8" s="9">
        <f>(H8+I8)-(F8+G8)</f>
        <v/>
      </c>
      <c r="T8" s="9" t="n">
        <v>1.4</v>
      </c>
      <c r="U8" s="9" t="n">
        <v>2.18</v>
      </c>
      <c r="V8" s="9" t="n">
        <v>-0.78</v>
      </c>
      <c r="W8" s="9" t="n">
        <v>9.18</v>
      </c>
      <c r="X8" s="9" t="n">
        <v>10.54</v>
      </c>
      <c r="Z8" s="12" t="inlineStr">
        <is>
          <t>For: Above = beat expectation. Against: Above = conceded more than expected (worse).</t>
        </is>
      </c>
    </row>
    <row r="9">
      <c r="A9" s="8" t="inlineStr">
        <is>
          <t>2026-10-24</t>
        </is>
      </c>
      <c r="B9" s="8" t="inlineStr">
        <is>
          <t>Chelsea</t>
        </is>
      </c>
      <c r="C9" s="8" t="inlineStr">
        <is>
          <t>Away</t>
        </is>
      </c>
      <c r="D9" s="8" t="n">
        <v>2</v>
      </c>
      <c r="E9" s="8" t="n">
        <v>0</v>
      </c>
      <c r="F9" s="10" t="n">
        <v>1.2</v>
      </c>
      <c r="G9" s="10" t="n">
        <v>2.02</v>
      </c>
      <c r="H9" s="10" t="n">
        <v>0.74</v>
      </c>
      <c r="I9" s="10" t="n">
        <v>0.47</v>
      </c>
      <c r="J9" s="10" t="n">
        <v>-0.46</v>
      </c>
      <c r="K9" s="10" t="n">
        <v>-1.55</v>
      </c>
      <c r="L9" s="10" t="n">
        <v>-0.42</v>
      </c>
      <c r="M9" s="10" t="n">
        <v>-0.55</v>
      </c>
      <c r="N9" s="10" t="n">
        <v>-0.66</v>
      </c>
      <c r="O9" s="10" t="n">
        <v>-1.15</v>
      </c>
      <c r="P9" s="10" t="n">
        <v>-0.4</v>
      </c>
      <c r="Q9" s="10" t="n">
        <v>-0.5</v>
      </c>
      <c r="R9" s="10">
        <f>(H9-I9)-(F9-G9)</f>
        <v/>
      </c>
      <c r="S9" s="10">
        <f>(H9+I9)-(F9+G9)</f>
        <v/>
      </c>
      <c r="T9" s="10" t="n">
        <v>1.55</v>
      </c>
      <c r="U9" s="10" t="n">
        <v>0.88</v>
      </c>
      <c r="V9" s="10" t="n">
        <v>0.67</v>
      </c>
      <c r="W9" s="10" t="n">
        <v>10.73</v>
      </c>
      <c r="X9" s="10" t="n">
        <v>11.41</v>
      </c>
      <c r="Z9" s="12" t="inlineStr">
        <is>
          <t>Chart data: pre-match (market) xG as bars, actual (FotMob) xG as a line.</t>
        </is>
      </c>
    </row>
    <row r="10" ht="30" customHeight="1">
      <c r="Z10" s="4" t="inlineStr">
        <is>
          <t>Gameweek</t>
        </is>
      </c>
      <c r="AA10" s="4" t="inlineStr">
        <is>
          <t>Pre-Match xG For</t>
        </is>
      </c>
      <c r="AB10" s="4" t="inlineStr">
        <is>
          <t>Actual xG For</t>
        </is>
      </c>
      <c r="AC10" s="4" t="inlineStr">
        <is>
          <t>Pre-Match xG Against</t>
        </is>
      </c>
      <c r="AD10" s="4" t="inlineStr">
        <is>
          <t>Actual xG Against</t>
        </is>
      </c>
    </row>
    <row r="11">
      <c r="A11" s="11" t="inlineStr">
        <is>
          <t>Season summary</t>
        </is>
      </c>
      <c r="Z11" s="6" t="inlineStr">
        <is>
          <t>MW1</t>
        </is>
      </c>
      <c r="AA11" s="15">
        <f>F2</f>
        <v/>
      </c>
      <c r="AB11" s="15">
        <f>H2</f>
        <v/>
      </c>
      <c r="AC11" s="15">
        <f>G2</f>
        <v/>
      </c>
      <c r="AD11" s="15">
        <f>I2</f>
        <v/>
      </c>
    </row>
    <row r="12">
      <c r="A12" s="16" t="inlineStr">
        <is>
          <t>Matches played</t>
        </is>
      </c>
      <c r="E12" s="17">
        <f>COUNTA(A2:A9)</f>
        <v/>
      </c>
      <c r="Z12" s="6" t="inlineStr">
        <is>
          <t>MW2</t>
        </is>
      </c>
      <c r="AA12" s="15">
        <f>F3</f>
        <v/>
      </c>
      <c r="AB12" s="15">
        <f>H3</f>
        <v/>
      </c>
      <c r="AC12" s="15">
        <f>G3</f>
        <v/>
      </c>
      <c r="AD12" s="15">
        <f>I3</f>
        <v/>
      </c>
    </row>
    <row r="13">
      <c r="A13" s="16" t="inlineStr">
        <is>
          <t>Total goals for</t>
        </is>
      </c>
      <c r="E13" s="17">
        <f>SUM(D2:D9)</f>
        <v/>
      </c>
      <c r="Z13" s="6" t="inlineStr">
        <is>
          <t>MW3</t>
        </is>
      </c>
      <c r="AA13" s="15">
        <f>F4</f>
        <v/>
      </c>
      <c r="AB13" s="15">
        <f>H4</f>
        <v/>
      </c>
      <c r="AC13" s="15">
        <f>G4</f>
        <v/>
      </c>
      <c r="AD13" s="15">
        <f>I4</f>
        <v/>
      </c>
    </row>
    <row r="14">
      <c r="A14" s="16" t="inlineStr">
        <is>
          <t>Total goals against</t>
        </is>
      </c>
      <c r="E14" s="17">
        <f>SUM(E2:E9)</f>
        <v/>
      </c>
      <c r="Z14" s="6" t="inlineStr">
        <is>
          <t>MW4</t>
        </is>
      </c>
      <c r="AA14" s="15">
        <f>F5</f>
        <v/>
      </c>
      <c r="AB14" s="15">
        <f>H5</f>
        <v/>
      </c>
      <c r="AC14" s="15">
        <f>G5</f>
        <v/>
      </c>
      <c r="AD14" s="15">
        <f>I5</f>
        <v/>
      </c>
    </row>
    <row r="15">
      <c r="A15" s="16" t="inlineStr">
        <is>
          <t>Avg xG Delta (For)</t>
        </is>
      </c>
      <c r="E15" s="18">
        <f>AVERAGE(J2:J9)</f>
        <v/>
      </c>
      <c r="Z15" s="6" t="inlineStr">
        <is>
          <t>MW5</t>
        </is>
      </c>
      <c r="AA15" s="15">
        <f>F6</f>
        <v/>
      </c>
      <c r="AB15" s="15">
        <f>H6</f>
        <v/>
      </c>
      <c r="AC15" s="15">
        <f>G6</f>
        <v/>
      </c>
      <c r="AD15" s="15">
        <f>I6</f>
        <v/>
      </c>
    </row>
    <row r="16">
      <c r="A16" s="16" t="inlineStr">
        <is>
          <t>Median xG Delta (For)</t>
        </is>
      </c>
      <c r="E16" s="18">
        <f>MEDIAN(J2:J9)</f>
        <v/>
      </c>
      <c r="Z16" s="6" t="inlineStr">
        <is>
          <t>MW6</t>
        </is>
      </c>
      <c r="AA16" s="15">
        <f>F7</f>
        <v/>
      </c>
      <c r="AB16" s="15">
        <f>H7</f>
        <v/>
      </c>
      <c r="AC16" s="15">
        <f>G7</f>
        <v/>
      </c>
      <c r="AD16" s="15">
        <f>I7</f>
        <v/>
      </c>
    </row>
    <row r="17">
      <c r="A17" s="16" t="inlineStr">
        <is>
          <t>Avg xG Delta (Against)</t>
        </is>
      </c>
      <c r="E17" s="18">
        <f>AVERAGE(K2:K9)</f>
        <v/>
      </c>
      <c r="Z17" s="6" t="inlineStr">
        <is>
          <t>MW7</t>
        </is>
      </c>
      <c r="AA17" s="15">
        <f>F8</f>
        <v/>
      </c>
      <c r="AB17" s="15">
        <f>H8</f>
        <v/>
      </c>
      <c r="AC17" s="15">
        <f>G8</f>
        <v/>
      </c>
      <c r="AD17" s="15">
        <f>I8</f>
        <v/>
      </c>
    </row>
    <row r="18">
      <c r="A18" s="16" t="inlineStr">
        <is>
          <t>Median xG Delta (Against)</t>
        </is>
      </c>
      <c r="E18" s="18">
        <f>MEDIAN(K2:K9)</f>
        <v/>
      </c>
      <c r="Z18" s="6" t="inlineStr">
        <is>
          <t>MW8</t>
        </is>
      </c>
      <c r="AA18" s="15">
        <f>F9</f>
        <v/>
      </c>
      <c r="AB18" s="15">
        <f>H9</f>
        <v/>
      </c>
      <c r="AC18" s="15">
        <f>G9</f>
        <v/>
      </c>
      <c r="AD18" s="15">
        <f>I9</f>
        <v/>
      </c>
    </row>
    <row r="19">
      <c r="A19" s="16" t="inlineStr">
        <is>
          <t>Avg xG Delta (For, Adj)</t>
        </is>
      </c>
      <c r="E19" s="18">
        <f>AVERAGE(N2:N9)</f>
        <v/>
      </c>
    </row>
    <row r="20">
      <c r="A20" s="16" t="inlineStr">
        <is>
          <t>Median xG Delta (For, Adj)</t>
        </is>
      </c>
      <c r="E20" s="18">
        <f>MEDIAN(N2:N9)</f>
        <v/>
      </c>
    </row>
    <row r="21">
      <c r="A21" s="16" t="inlineStr">
        <is>
          <t>Avg xG Delta (Against, Adj)</t>
        </is>
      </c>
      <c r="E21" s="18">
        <f>AVERAGE(O2:O9)</f>
        <v/>
      </c>
    </row>
    <row r="22">
      <c r="A22" s="16" t="inlineStr">
        <is>
          <t>Median xG Delta (Against, Adj)</t>
        </is>
      </c>
      <c r="E22" s="18">
        <f>MEDIAN(O2:O9)</f>
        <v/>
      </c>
    </row>
    <row r="23">
      <c r="A23" s="16" t="inlineStr">
        <is>
          <t>Avg Supremacy Delta</t>
        </is>
      </c>
      <c r="E23" s="18">
        <f>AVERAGE(R2:R9)</f>
        <v/>
      </c>
    </row>
    <row r="24">
      <c r="A24" s="16" t="inlineStr">
        <is>
          <t>Median Supremacy Delta</t>
        </is>
      </c>
      <c r="E24" s="18">
        <f>MEDIAN(R2:R9)</f>
        <v/>
      </c>
    </row>
    <row r="25">
      <c r="A25" s="16" t="inlineStr">
        <is>
          <t>Avg Total xG Delta</t>
        </is>
      </c>
      <c r="E25" s="18">
        <f>AVERAGE(S2:S9)</f>
        <v/>
      </c>
    </row>
    <row r="26">
      <c r="A26" s="16" t="inlineStr">
        <is>
          <t>Median Total xG Delta</t>
        </is>
      </c>
      <c r="E26" s="18">
        <f>MEDIAN(S2:S9)</f>
        <v/>
      </c>
    </row>
    <row r="27">
      <c r="A27" s="16" t="inlineStr">
        <is>
          <t>Current form (last 6, For)</t>
        </is>
      </c>
      <c r="E27" s="18">
        <f>L9</f>
        <v/>
      </c>
    </row>
    <row r="28">
      <c r="A28" s="16" t="inlineStr">
        <is>
          <t>Current form (last 6, Against)</t>
        </is>
      </c>
      <c r="E28" s="18">
        <f>M9</f>
        <v/>
      </c>
    </row>
    <row r="29">
      <c r="A29" s="16" t="inlineStr">
        <is>
          <t>Current form (last 6, For, Adj)</t>
        </is>
      </c>
      <c r="E29" s="18">
        <f>P9</f>
        <v/>
      </c>
    </row>
    <row r="30">
      <c r="A30" s="16" t="inlineStr">
        <is>
          <t>Current form (last 6, Against, Adj)</t>
        </is>
      </c>
      <c r="E30" s="18">
        <f>Q9</f>
        <v/>
      </c>
    </row>
    <row r="31">
      <c r="A31" s="16" t="inlineStr">
        <is>
          <t>Total xPts (Actual)</t>
        </is>
      </c>
      <c r="E31" s="18">
        <f>SUM(T2:T9)</f>
        <v/>
      </c>
    </row>
    <row r="32">
      <c r="A32" s="16" t="inlineStr">
        <is>
          <t>Total xPts (Market)</t>
        </is>
      </c>
      <c r="E32" s="18">
        <f>SUM(U2:U9)</f>
        <v/>
      </c>
    </row>
    <row r="33">
      <c r="A33" s="16" t="inlineStr">
        <is>
          <t>Avg xPts Delta</t>
        </is>
      </c>
      <c r="E33" s="18">
        <f>AVERAGE(V2:V9)</f>
        <v/>
      </c>
    </row>
    <row r="35">
      <c r="A35" s="11" t="inlineStr">
        <is>
          <t>Home / Away split</t>
        </is>
      </c>
    </row>
    <row r="36">
      <c r="A36" s="19" t="inlineStr">
        <is>
          <t>Venue</t>
        </is>
      </c>
      <c r="B36" s="19" t="inlineStr">
        <is>
          <t>Matches</t>
        </is>
      </c>
      <c r="C36" s="19" t="inlineStr">
        <is>
          <t>GF</t>
        </is>
      </c>
      <c r="D36" s="19" t="inlineStr">
        <is>
          <t>GA</t>
        </is>
      </c>
      <c r="E36" s="19" t="inlineStr">
        <is>
          <t>Avg Supremacy</t>
        </is>
      </c>
      <c r="F36" s="19" t="inlineStr">
        <is>
          <t>Median Supremacy</t>
        </is>
      </c>
      <c r="G36" s="19" t="inlineStr">
        <is>
          <t>Avg Total xG Delta</t>
        </is>
      </c>
      <c r="H36" s="19" t="inlineStr">
        <is>
          <t>Median Total xG Delta</t>
        </is>
      </c>
    </row>
    <row r="37">
      <c r="A37" s="16" t="inlineStr">
        <is>
          <t>Home</t>
        </is>
      </c>
      <c r="B37" s="16" t="n">
        <v>4</v>
      </c>
      <c r="C37" s="16" t="n">
        <v>5</v>
      </c>
      <c r="D37" s="16" t="n">
        <v>6</v>
      </c>
      <c r="E37" s="20" t="n">
        <v>-0.51</v>
      </c>
      <c r="F37" s="20" t="n">
        <v>-0.53</v>
      </c>
      <c r="G37" s="20" t="n">
        <v>-0.86</v>
      </c>
      <c r="H37" s="20" t="n">
        <v>-1.01</v>
      </c>
      <c r="AF37" s="11" t="inlineStr">
        <is>
          <t>Tottenham Hotspur: closing odds to win, by opponent (league table order)</t>
        </is>
      </c>
    </row>
    <row r="38">
      <c r="A38" s="16" t="inlineStr">
        <is>
          <t>Away</t>
        </is>
      </c>
      <c r="B38" s="16" t="n">
        <v>4</v>
      </c>
      <c r="C38" s="16" t="n">
        <v>3</v>
      </c>
      <c r="D38" s="16" t="n">
        <v>4</v>
      </c>
      <c r="E38" s="20" t="n">
        <v>-0.03</v>
      </c>
      <c r="F38" s="20" t="n">
        <v>0.7</v>
      </c>
      <c r="G38" s="20" t="n">
        <v>-0.5</v>
      </c>
      <c r="H38" s="20" t="n">
        <v>-0.74</v>
      </c>
      <c r="AF38" s="4" t="inlineStr">
        <is>
          <t>League Table</t>
        </is>
      </c>
      <c r="AG38" s="4" t="inlineStr">
        <is>
          <t>Home Odds</t>
        </is>
      </c>
      <c r="AH38" s="4" t="inlineStr">
        <is>
          <t>Away Odds</t>
        </is>
      </c>
    </row>
    <row r="39">
      <c r="A39" s="21" t="inlineStr">
        <is>
          <t>Total</t>
        </is>
      </c>
      <c r="B39" s="21" t="n">
        <v>8</v>
      </c>
      <c r="C39" s="21" t="n">
        <v>8</v>
      </c>
      <c r="D39" s="21" t="n">
        <v>10</v>
      </c>
      <c r="E39" s="22" t="n">
        <v>-0.27</v>
      </c>
      <c r="F39" s="22" t="n">
        <v>0</v>
      </c>
      <c r="G39" s="22" t="n">
        <v>-0.68</v>
      </c>
      <c r="H39" s="22" t="n">
        <v>-0.84</v>
      </c>
      <c r="AF39" s="6" t="inlineStr">
        <is>
          <t>1. Manchester City</t>
        </is>
      </c>
      <c r="AG39" s="15" t="n"/>
      <c r="AH39" s="15" t="n"/>
    </row>
    <row r="40">
      <c r="AF40" s="6" t="inlineStr">
        <is>
          <t>2. Arsenal</t>
        </is>
      </c>
      <c r="AG40" s="15" t="n"/>
      <c r="AH40" s="15" t="n"/>
    </row>
    <row r="41">
      <c r="AF41" s="6" t="inlineStr">
        <is>
          <t>3. Brighton &amp; Hove Albion</t>
        </is>
      </c>
      <c r="AG41" s="15" t="n"/>
      <c r="AH41" s="15" t="n"/>
    </row>
    <row r="42">
      <c r="AF42" s="6" t="inlineStr">
        <is>
          <t>4. Liverpool</t>
        </is>
      </c>
      <c r="AG42" s="15" t="n"/>
      <c r="AH42" s="15" t="n"/>
    </row>
    <row r="43">
      <c r="AF43" s="6" t="inlineStr">
        <is>
          <t>5. Chelsea</t>
        </is>
      </c>
      <c r="AG43" s="15" t="n"/>
      <c r="AH43" s="26" t="n">
        <v>3.8</v>
      </c>
    </row>
    <row r="44">
      <c r="AF44" s="6" t="inlineStr">
        <is>
          <t>6. Brentford</t>
        </is>
      </c>
      <c r="AG44" s="15" t="n"/>
      <c r="AH44" s="25" t="n">
        <v>3.4</v>
      </c>
    </row>
    <row r="45">
      <c r="AF45" s="6" t="inlineStr">
        <is>
          <t>7. Leeds United</t>
        </is>
      </c>
      <c r="AG45" s="15" t="n"/>
      <c r="AH45" s="15" t="n"/>
    </row>
    <row r="46">
      <c r="AF46" s="6" t="inlineStr">
        <is>
          <t>8. Newcastle United</t>
        </is>
      </c>
      <c r="AG46" s="25" t="n">
        <v>2.15</v>
      </c>
      <c r="AH46" s="15" t="n"/>
    </row>
    <row r="47">
      <c r="AF47" s="6" t="inlineStr">
        <is>
          <t>9. Aston Villa</t>
        </is>
      </c>
      <c r="AG47" s="25" t="n">
        <v>1.9</v>
      </c>
      <c r="AH47" s="15" t="n"/>
    </row>
    <row r="48">
      <c r="AF48" s="6" t="inlineStr">
        <is>
          <t>10. Hull</t>
        </is>
      </c>
      <c r="AG48" s="15" t="n"/>
      <c r="AH48" s="15" t="n"/>
    </row>
    <row r="49">
      <c r="AF49" s="6" t="inlineStr">
        <is>
          <t>11. Everton</t>
        </is>
      </c>
      <c r="AG49" s="30" t="n">
        <v>1.95</v>
      </c>
      <c r="AH49" s="15" t="n"/>
    </row>
    <row r="50">
      <c r="AF50" s="6" t="inlineStr">
        <is>
          <t>12. Ipswich</t>
        </is>
      </c>
      <c r="AG50" s="15" t="n"/>
      <c r="AH50" s="15" t="n"/>
    </row>
    <row r="51">
      <c r="AF51" s="6" t="inlineStr">
        <is>
          <t>13. Bournemouth</t>
        </is>
      </c>
      <c r="AG51" s="15" t="n"/>
      <c r="AH51" s="15" t="n"/>
    </row>
    <row r="52">
      <c r="AF52" s="23" t="inlineStr">
        <is>
          <t>14. Tottenham Hotspur</t>
        </is>
      </c>
      <c r="AG52" s="24" t="n"/>
      <c r="AH52" s="24" t="n"/>
    </row>
    <row r="53">
      <c r="AF53" s="6" t="inlineStr">
        <is>
          <t>15. Fulham</t>
        </is>
      </c>
      <c r="AG53" s="15" t="n"/>
      <c r="AH53" s="15" t="n"/>
    </row>
    <row r="54">
      <c r="AF54" s="6" t="inlineStr">
        <is>
          <t>16. Manchester United</t>
        </is>
      </c>
      <c r="AG54" s="15" t="n"/>
      <c r="AH54" s="30" t="n">
        <v>4.5</v>
      </c>
    </row>
    <row r="55">
      <c r="AF55" s="6" t="inlineStr">
        <is>
          <t>17. Crystal Palace</t>
        </is>
      </c>
      <c r="AG55" s="15" t="n"/>
      <c r="AH55" s="15" t="n"/>
    </row>
    <row r="56">
      <c r="AF56" s="6" t="inlineStr">
        <is>
          <t>18. Nottingham Forest</t>
        </is>
      </c>
      <c r="AG56" s="15" t="n"/>
      <c r="AH56" s="30" t="n">
        <v>2.63</v>
      </c>
    </row>
    <row r="57">
      <c r="AF57" s="6" t="inlineStr">
        <is>
          <t>19. Coventry</t>
        </is>
      </c>
      <c r="AG57" s="26" t="n">
        <v>1.53</v>
      </c>
      <c r="AH57" s="15" t="n"/>
    </row>
    <row r="58">
      <c r="AF58" s="6" t="inlineStr">
        <is>
          <t>20. Sunderland</t>
        </is>
      </c>
      <c r="AG58" s="15" t="n"/>
      <c r="AH58" s="15" t="n"/>
    </row>
    <row r="60">
      <c r="AF60" s="27" t="inlineStr">
        <is>
          <t>Won</t>
        </is>
      </c>
    </row>
    <row r="61">
      <c r="AF61" s="28" t="inlineStr">
        <is>
          <t>Drew</t>
        </is>
      </c>
    </row>
    <row r="62">
      <c r="AF62" s="29" t="inlineStr">
        <is>
          <t>Lost</t>
        </is>
      </c>
    </row>
    <row r="63">
      <c r="AF63" s="12" t="inlineStr">
        <is>
          <t>Odds = this team's own closing price to win that fixture. Home Odds = the game at this team's ground; Away Odds = the game at the opponent's.</t>
        </is>
      </c>
    </row>
    <row r="64">
      <c r="AF64"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E81"/>
  <sheetViews>
    <sheetView workbookViewId="0">
      <selection activeCell="A1" sqref="A1"/>
    </sheetView>
  </sheetViews>
  <sheetFormatPr baseColWidth="8" defaultRowHeight="15"/>
  <cols>
    <col width="11" customWidth="1" min="1" max="1"/>
    <col width="23" customWidth="1" min="2" max="2"/>
    <col width="23"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2026-08-21</t>
        </is>
      </c>
      <c r="B2" t="inlineStr">
        <is>
          <t>Arsenal</t>
        </is>
      </c>
      <c r="C2" t="inlineStr">
        <is>
          <t>Coventry</t>
        </is>
      </c>
      <c r="D2" t="n">
        <v>3</v>
      </c>
      <c r="E2" t="n">
        <v>0</v>
      </c>
    </row>
    <row r="3">
      <c r="A3" t="inlineStr">
        <is>
          <t>2026-08-22</t>
        </is>
      </c>
      <c r="B3" t="inlineStr">
        <is>
          <t>Hull</t>
        </is>
      </c>
      <c r="C3" t="inlineStr">
        <is>
          <t>Manchester United</t>
        </is>
      </c>
      <c r="D3" t="n">
        <v>2</v>
      </c>
      <c r="E3" t="n">
        <v>0</v>
      </c>
    </row>
    <row r="4">
      <c r="A4" t="inlineStr">
        <is>
          <t>2026-08-22</t>
        </is>
      </c>
      <c r="B4" t="inlineStr">
        <is>
          <t>Everton</t>
        </is>
      </c>
      <c r="C4" t="inlineStr">
        <is>
          <t>Crystal Palace</t>
        </is>
      </c>
      <c r="D4" t="n">
        <v>2</v>
      </c>
      <c r="E4" t="n">
        <v>0</v>
      </c>
    </row>
    <row r="5">
      <c r="A5" t="inlineStr">
        <is>
          <t>2026-08-22</t>
        </is>
      </c>
      <c r="B5" t="inlineStr">
        <is>
          <t>Ipswich</t>
        </is>
      </c>
      <c r="C5" t="inlineStr">
        <is>
          <t>Sunderland</t>
        </is>
      </c>
      <c r="D5" t="n">
        <v>2</v>
      </c>
      <c r="E5" t="n">
        <v>1</v>
      </c>
    </row>
    <row r="6">
      <c r="A6" t="inlineStr">
        <is>
          <t>2026-08-22</t>
        </is>
      </c>
      <c r="B6" t="inlineStr">
        <is>
          <t>Nottingham Forest</t>
        </is>
      </c>
      <c r="C6" t="inlineStr">
        <is>
          <t>Leeds United</t>
        </is>
      </c>
      <c r="D6" t="n">
        <v>0</v>
      </c>
      <c r="E6" t="n">
        <v>1</v>
      </c>
    </row>
    <row r="7">
      <c r="A7" t="inlineStr">
        <is>
          <t>2026-08-22</t>
        </is>
      </c>
      <c r="B7" t="inlineStr">
        <is>
          <t>Brentford</t>
        </is>
      </c>
      <c r="C7" t="inlineStr">
        <is>
          <t>Tottenham Hotspur</t>
        </is>
      </c>
      <c r="D7" t="n">
        <v>3</v>
      </c>
      <c r="E7" t="n">
        <v>0</v>
      </c>
    </row>
    <row r="8">
      <c r="A8" t="inlineStr">
        <is>
          <t>2026-08-23</t>
        </is>
      </c>
      <c r="B8" t="inlineStr">
        <is>
          <t>Brighton &amp; Hove Albion</t>
        </is>
      </c>
      <c r="C8" t="inlineStr">
        <is>
          <t>Aston Villa</t>
        </is>
      </c>
      <c r="D8" t="n">
        <v>4</v>
      </c>
      <c r="E8" t="n">
        <v>0</v>
      </c>
    </row>
    <row r="9">
      <c r="A9" t="inlineStr">
        <is>
          <t>2026-08-23</t>
        </is>
      </c>
      <c r="B9" t="inlineStr">
        <is>
          <t>Manchester City</t>
        </is>
      </c>
      <c r="C9" t="inlineStr">
        <is>
          <t>Bournemouth</t>
        </is>
      </c>
      <c r="D9" t="n">
        <v>2</v>
      </c>
      <c r="E9" t="n">
        <v>1</v>
      </c>
    </row>
    <row r="10">
      <c r="A10" t="inlineStr">
        <is>
          <t>2026-08-23</t>
        </is>
      </c>
      <c r="B10" t="inlineStr">
        <is>
          <t>Newcastle United</t>
        </is>
      </c>
      <c r="C10" t="inlineStr">
        <is>
          <t>Liverpool</t>
        </is>
      </c>
      <c r="D10" t="n">
        <v>2</v>
      </c>
      <c r="E10" t="n">
        <v>2</v>
      </c>
    </row>
    <row r="11">
      <c r="A11" t="inlineStr">
        <is>
          <t>2026-08-24</t>
        </is>
      </c>
      <c r="B11" t="inlineStr">
        <is>
          <t>Fulham</t>
        </is>
      </c>
      <c r="C11" t="inlineStr">
        <is>
          <t>Chelsea</t>
        </is>
      </c>
      <c r="D11" t="n">
        <v>2</v>
      </c>
      <c r="E11" t="n">
        <v>3</v>
      </c>
    </row>
    <row r="12">
      <c r="A12" t="inlineStr">
        <is>
          <t>2026-08-28</t>
        </is>
      </c>
      <c r="B12" t="inlineStr">
        <is>
          <t>Crystal Palace</t>
        </is>
      </c>
      <c r="C12" t="inlineStr">
        <is>
          <t>Manchester City</t>
        </is>
      </c>
      <c r="D12" t="n">
        <v>1</v>
      </c>
      <c r="E12" t="n">
        <v>4</v>
      </c>
    </row>
    <row r="13">
      <c r="A13" t="inlineStr">
        <is>
          <t>2026-08-29</t>
        </is>
      </c>
      <c r="B13" t="inlineStr">
        <is>
          <t>Liverpool</t>
        </is>
      </c>
      <c r="C13" t="inlineStr">
        <is>
          <t>Nottingham Forest</t>
        </is>
      </c>
      <c r="D13" t="n">
        <v>2</v>
      </c>
      <c r="E13" t="n">
        <v>2</v>
      </c>
    </row>
    <row r="14">
      <c r="A14" t="inlineStr">
        <is>
          <t>2026-08-29</t>
        </is>
      </c>
      <c r="B14" t="inlineStr">
        <is>
          <t>Bournemouth</t>
        </is>
      </c>
      <c r="C14" t="inlineStr">
        <is>
          <t>Everton</t>
        </is>
      </c>
      <c r="D14" t="n">
        <v>1</v>
      </c>
      <c r="E14" t="n">
        <v>1</v>
      </c>
    </row>
    <row r="15">
      <c r="A15" t="inlineStr">
        <is>
          <t>2026-08-29</t>
        </is>
      </c>
      <c r="B15" t="inlineStr">
        <is>
          <t>Coventry</t>
        </is>
      </c>
      <c r="C15" t="inlineStr">
        <is>
          <t>Hull</t>
        </is>
      </c>
      <c r="D15" t="n">
        <v>0</v>
      </c>
      <c r="E15" t="n">
        <v>1</v>
      </c>
    </row>
    <row r="16">
      <c r="A16" t="inlineStr">
        <is>
          <t>2026-08-29</t>
        </is>
      </c>
      <c r="B16" t="inlineStr">
        <is>
          <t>Tottenham Hotspur</t>
        </is>
      </c>
      <c r="C16" t="inlineStr">
        <is>
          <t>Newcastle United</t>
        </is>
      </c>
      <c r="D16" t="n">
        <v>0</v>
      </c>
      <c r="E16" t="n">
        <v>2</v>
      </c>
    </row>
    <row r="17">
      <c r="A17" t="inlineStr">
        <is>
          <t>2026-08-30</t>
        </is>
      </c>
      <c r="B17" t="inlineStr">
        <is>
          <t>Chelsea</t>
        </is>
      </c>
      <c r="C17" t="inlineStr">
        <is>
          <t>Brighton &amp; Hove Albion</t>
        </is>
      </c>
      <c r="D17" t="n">
        <v>4</v>
      </c>
      <c r="E17" t="n">
        <v>3</v>
      </c>
    </row>
    <row r="18">
      <c r="A18" t="inlineStr">
        <is>
          <t>2026-08-30</t>
        </is>
      </c>
      <c r="B18" t="inlineStr">
        <is>
          <t>Leeds United</t>
        </is>
      </c>
      <c r="C18" t="inlineStr">
        <is>
          <t>Brentford</t>
        </is>
      </c>
      <c r="D18" t="n">
        <v>1</v>
      </c>
      <c r="E18" t="n">
        <v>1</v>
      </c>
    </row>
    <row r="19">
      <c r="A19" t="inlineStr">
        <is>
          <t>2026-08-30</t>
        </is>
      </c>
      <c r="B19" t="inlineStr">
        <is>
          <t>Sunderland</t>
        </is>
      </c>
      <c r="C19" t="inlineStr">
        <is>
          <t>Fulham</t>
        </is>
      </c>
      <c r="D19" t="n">
        <v>1</v>
      </c>
      <c r="E19" t="n">
        <v>0</v>
      </c>
    </row>
    <row r="20">
      <c r="A20" t="inlineStr">
        <is>
          <t>2026-08-30</t>
        </is>
      </c>
      <c r="B20" t="inlineStr">
        <is>
          <t>Manchester United</t>
        </is>
      </c>
      <c r="C20" t="inlineStr">
        <is>
          <t>Ipswich</t>
        </is>
      </c>
      <c r="D20" t="n">
        <v>5</v>
      </c>
      <c r="E20" t="n">
        <v>2</v>
      </c>
    </row>
    <row r="21">
      <c r="A21" t="inlineStr">
        <is>
          <t>2026-08-31</t>
        </is>
      </c>
      <c r="B21" t="inlineStr">
        <is>
          <t>Aston Villa</t>
        </is>
      </c>
      <c r="C21" t="inlineStr">
        <is>
          <t>Arsenal</t>
        </is>
      </c>
      <c r="D21" t="n">
        <v>0</v>
      </c>
      <c r="E21" t="n">
        <v>1</v>
      </c>
    </row>
    <row r="22">
      <c r="A22" t="inlineStr">
        <is>
          <t>2026-09-04</t>
        </is>
      </c>
      <c r="B22" t="inlineStr">
        <is>
          <t>Ipswich</t>
        </is>
      </c>
      <c r="C22" t="inlineStr">
        <is>
          <t>Liverpool</t>
        </is>
      </c>
      <c r="D22" t="n">
        <v>0</v>
      </c>
      <c r="E22" t="n">
        <v>2</v>
      </c>
    </row>
    <row r="23">
      <c r="A23" t="inlineStr">
        <is>
          <t>2026-09-05</t>
        </is>
      </c>
      <c r="B23" t="inlineStr">
        <is>
          <t>Newcastle United</t>
        </is>
      </c>
      <c r="C23" t="inlineStr">
        <is>
          <t>Bournemouth</t>
        </is>
      </c>
      <c r="D23" t="n">
        <v>2</v>
      </c>
      <c r="E23" t="n">
        <v>2</v>
      </c>
    </row>
    <row r="24">
      <c r="A24" t="inlineStr">
        <is>
          <t>2026-09-05</t>
        </is>
      </c>
      <c r="B24" t="inlineStr">
        <is>
          <t>Brentford</t>
        </is>
      </c>
      <c r="C24" t="inlineStr">
        <is>
          <t>Sunderland</t>
        </is>
      </c>
      <c r="D24" t="n">
        <v>1</v>
      </c>
      <c r="E24" t="n">
        <v>1</v>
      </c>
    </row>
    <row r="25">
      <c r="A25" t="inlineStr">
        <is>
          <t>2026-09-05</t>
        </is>
      </c>
      <c r="B25" t="inlineStr">
        <is>
          <t>Brighton &amp; Hove Albion</t>
        </is>
      </c>
      <c r="C25" t="inlineStr">
        <is>
          <t>Leeds United</t>
        </is>
      </c>
      <c r="D25" t="n">
        <v>1</v>
      </c>
      <c r="E25" t="n">
        <v>1</v>
      </c>
    </row>
    <row r="26">
      <c r="A26" t="inlineStr">
        <is>
          <t>2026-09-05</t>
        </is>
      </c>
      <c r="B26" t="inlineStr">
        <is>
          <t>Fulham</t>
        </is>
      </c>
      <c r="C26" t="inlineStr">
        <is>
          <t>Crystal Palace</t>
        </is>
      </c>
      <c r="D26" t="n">
        <v>2</v>
      </c>
      <c r="E26" t="n">
        <v>3</v>
      </c>
    </row>
    <row r="27">
      <c r="A27" t="inlineStr">
        <is>
          <t>2026-09-05</t>
        </is>
      </c>
      <c r="B27" t="inlineStr">
        <is>
          <t>Manchester City</t>
        </is>
      </c>
      <c r="C27" t="inlineStr">
        <is>
          <t>Coventry</t>
        </is>
      </c>
      <c r="D27" t="n">
        <v>1</v>
      </c>
      <c r="E27" t="n">
        <v>0</v>
      </c>
    </row>
    <row r="28">
      <c r="A28" t="inlineStr">
        <is>
          <t>2026-09-05</t>
        </is>
      </c>
      <c r="B28" t="inlineStr">
        <is>
          <t>Nottingham Forest</t>
        </is>
      </c>
      <c r="C28" t="inlineStr">
        <is>
          <t>Tottenham Hotspur</t>
        </is>
      </c>
      <c r="D28" t="n">
        <v>0</v>
      </c>
      <c r="E28" t="n">
        <v>0</v>
      </c>
    </row>
    <row r="29">
      <c r="A29" t="inlineStr">
        <is>
          <t>2026-09-05</t>
        </is>
      </c>
      <c r="B29" t="inlineStr">
        <is>
          <t>Hull</t>
        </is>
      </c>
      <c r="C29" t="inlineStr">
        <is>
          <t>Aston Villa</t>
        </is>
      </c>
      <c r="D29" t="n">
        <v>0</v>
      </c>
      <c r="E29" t="n">
        <v>0</v>
      </c>
    </row>
    <row r="30">
      <c r="A30" t="inlineStr">
        <is>
          <t>2026-09-06</t>
        </is>
      </c>
      <c r="B30" t="inlineStr">
        <is>
          <t>Everton</t>
        </is>
      </c>
      <c r="C30" t="inlineStr">
        <is>
          <t>Manchester United</t>
        </is>
      </c>
      <c r="D30" t="n">
        <v>2</v>
      </c>
      <c r="E30" t="n">
        <v>2</v>
      </c>
    </row>
    <row r="31">
      <c r="A31" t="inlineStr">
        <is>
          <t>2026-09-06</t>
        </is>
      </c>
      <c r="B31" t="inlineStr">
        <is>
          <t>Arsenal</t>
        </is>
      </c>
      <c r="C31" t="inlineStr">
        <is>
          <t>Chelsea</t>
        </is>
      </c>
      <c r="D31" t="n">
        <v>2</v>
      </c>
      <c r="E31" t="n">
        <v>1</v>
      </c>
    </row>
    <row r="32">
      <c r="A32" t="inlineStr">
        <is>
          <t>2026-09-12</t>
        </is>
      </c>
      <c r="B32" t="inlineStr">
        <is>
          <t>Aston Villa</t>
        </is>
      </c>
      <c r="C32" t="inlineStr">
        <is>
          <t>Nottingham Forest</t>
        </is>
      </c>
      <c r="D32" t="n">
        <v>1</v>
      </c>
      <c r="E32" t="n">
        <v>2</v>
      </c>
    </row>
    <row r="33">
      <c r="A33" t="inlineStr">
        <is>
          <t>2026-09-12</t>
        </is>
      </c>
      <c r="B33" t="inlineStr">
        <is>
          <t>Bournemouth</t>
        </is>
      </c>
      <c r="C33" t="inlineStr">
        <is>
          <t>Brentford</t>
        </is>
      </c>
      <c r="D33" t="n">
        <v>2</v>
      </c>
      <c r="E33" t="n">
        <v>2</v>
      </c>
    </row>
    <row r="34">
      <c r="A34" t="inlineStr">
        <is>
          <t>2026-09-12</t>
        </is>
      </c>
      <c r="B34" t="inlineStr">
        <is>
          <t>Chelsea</t>
        </is>
      </c>
      <c r="C34" t="inlineStr">
        <is>
          <t>Hull</t>
        </is>
      </c>
      <c r="D34" t="n">
        <v>2</v>
      </c>
      <c r="E34" t="n">
        <v>2</v>
      </c>
    </row>
    <row r="35">
      <c r="A35" t="inlineStr">
        <is>
          <t>2026-09-12</t>
        </is>
      </c>
      <c r="B35" t="inlineStr">
        <is>
          <t>Crystal Palace</t>
        </is>
      </c>
      <c r="C35" t="inlineStr">
        <is>
          <t>Ipswich</t>
        </is>
      </c>
      <c r="D35" t="n">
        <v>2</v>
      </c>
      <c r="E35" t="n">
        <v>3</v>
      </c>
    </row>
    <row r="36">
      <c r="A36" t="inlineStr">
        <is>
          <t>2026-09-12</t>
        </is>
      </c>
      <c r="B36" t="inlineStr">
        <is>
          <t>Liverpool</t>
        </is>
      </c>
      <c r="C36" t="inlineStr">
        <is>
          <t>Fulham</t>
        </is>
      </c>
      <c r="D36" t="n">
        <v>0</v>
      </c>
      <c r="E36" t="n">
        <v>0</v>
      </c>
    </row>
    <row r="37">
      <c r="A37" t="inlineStr">
        <is>
          <t>2026-09-12</t>
        </is>
      </c>
      <c r="B37" t="inlineStr">
        <is>
          <t>Tottenham Hotspur</t>
        </is>
      </c>
      <c r="C37" t="inlineStr">
        <is>
          <t>Everton</t>
        </is>
      </c>
      <c r="D37" t="n">
        <v>0</v>
      </c>
      <c r="E37" t="n">
        <v>0</v>
      </c>
    </row>
    <row r="38">
      <c r="A38" t="inlineStr">
        <is>
          <t>2026-09-12</t>
        </is>
      </c>
      <c r="B38" t="inlineStr">
        <is>
          <t>Sunderland</t>
        </is>
      </c>
      <c r="C38" t="inlineStr">
        <is>
          <t>Arsenal</t>
        </is>
      </c>
      <c r="D38" t="n">
        <v>0</v>
      </c>
      <c r="E38" t="n">
        <v>2</v>
      </c>
    </row>
    <row r="39">
      <c r="A39" t="inlineStr">
        <is>
          <t>2026-09-13</t>
        </is>
      </c>
      <c r="B39" t="inlineStr">
        <is>
          <t>Coventry</t>
        </is>
      </c>
      <c r="C39" t="inlineStr">
        <is>
          <t>Brighton &amp; Hove Albion</t>
        </is>
      </c>
      <c r="D39" t="n">
        <v>0</v>
      </c>
      <c r="E39" t="n">
        <v>5</v>
      </c>
    </row>
    <row r="40">
      <c r="A40" t="inlineStr">
        <is>
          <t>2026-09-13</t>
        </is>
      </c>
      <c r="B40" t="inlineStr">
        <is>
          <t>Manchester United</t>
        </is>
      </c>
      <c r="C40" t="inlineStr">
        <is>
          <t>Manchester City</t>
        </is>
      </c>
      <c r="D40" t="n">
        <v>0</v>
      </c>
      <c r="E40" t="n">
        <v>1</v>
      </c>
    </row>
    <row r="41">
      <c r="A41" t="inlineStr">
        <is>
          <t>2026-09-14</t>
        </is>
      </c>
      <c r="B41" t="inlineStr">
        <is>
          <t>Leeds United</t>
        </is>
      </c>
      <c r="C41" t="inlineStr">
        <is>
          <t>Newcastle United</t>
        </is>
      </c>
      <c r="D41" t="n">
        <v>4</v>
      </c>
      <c r="E41" t="n">
        <v>1</v>
      </c>
    </row>
    <row r="42">
      <c r="A42" t="inlineStr">
        <is>
          <t>2026-09-18</t>
        </is>
      </c>
      <c r="B42" t="inlineStr">
        <is>
          <t>Brentford</t>
        </is>
      </c>
      <c r="C42" t="inlineStr">
        <is>
          <t>Chelsea</t>
        </is>
      </c>
      <c r="D42" t="n">
        <v>3</v>
      </c>
      <c r="E42" t="n">
        <v>0</v>
      </c>
    </row>
    <row r="43">
      <c r="A43" t="inlineStr">
        <is>
          <t>2026-09-19</t>
        </is>
      </c>
      <c r="B43" t="inlineStr">
        <is>
          <t>Tottenham Hotspur</t>
        </is>
      </c>
      <c r="C43" t="inlineStr">
        <is>
          <t>Aston Villa</t>
        </is>
      </c>
      <c r="D43" t="n">
        <v>2</v>
      </c>
      <c r="E43" t="n">
        <v>3</v>
      </c>
    </row>
    <row r="44">
      <c r="A44" t="inlineStr">
        <is>
          <t>2026-09-19</t>
        </is>
      </c>
      <c r="B44" t="inlineStr">
        <is>
          <t>Brighton &amp; Hove Albion</t>
        </is>
      </c>
      <c r="C44" t="inlineStr">
        <is>
          <t>Arsenal</t>
        </is>
      </c>
      <c r="D44" t="n">
        <v>3</v>
      </c>
      <c r="E44" t="n">
        <v>0</v>
      </c>
    </row>
    <row r="45">
      <c r="A45" t="inlineStr">
        <is>
          <t>2026-09-19</t>
        </is>
      </c>
      <c r="B45" t="inlineStr">
        <is>
          <t>Everton</t>
        </is>
      </c>
      <c r="C45" t="inlineStr">
        <is>
          <t>Ipswich</t>
        </is>
      </c>
      <c r="D45" t="n">
        <v>1</v>
      </c>
      <c r="E45" t="n">
        <v>0</v>
      </c>
    </row>
    <row r="46">
      <c r="A46" t="inlineStr">
        <is>
          <t>2026-09-19</t>
        </is>
      </c>
      <c r="B46" t="inlineStr">
        <is>
          <t>Newcastle United</t>
        </is>
      </c>
      <c r="C46" t="inlineStr">
        <is>
          <t>Hull</t>
        </is>
      </c>
      <c r="D46" t="n">
        <v>2</v>
      </c>
      <c r="E46" t="n">
        <v>1</v>
      </c>
    </row>
    <row r="47">
      <c r="A47" t="inlineStr">
        <is>
          <t>2026-09-19</t>
        </is>
      </c>
      <c r="B47" t="inlineStr">
        <is>
          <t>Nottingham Forest</t>
        </is>
      </c>
      <c r="C47" t="inlineStr">
        <is>
          <t>Coventry</t>
        </is>
      </c>
      <c r="D47" t="n">
        <v>0</v>
      </c>
      <c r="E47" t="n">
        <v>1</v>
      </c>
    </row>
    <row r="48">
      <c r="A48" t="inlineStr">
        <is>
          <t>2026-09-20</t>
        </is>
      </c>
      <c r="B48" t="inlineStr">
        <is>
          <t>Bournemouth</t>
        </is>
      </c>
      <c r="C48" t="inlineStr">
        <is>
          <t>Liverpool</t>
        </is>
      </c>
      <c r="D48" t="n">
        <v>0</v>
      </c>
      <c r="E48" t="n">
        <v>1</v>
      </c>
    </row>
    <row r="49">
      <c r="A49" t="inlineStr">
        <is>
          <t>2026-09-20</t>
        </is>
      </c>
      <c r="B49" t="inlineStr">
        <is>
          <t>Leeds United</t>
        </is>
      </c>
      <c r="C49" t="inlineStr">
        <is>
          <t>Crystal Palace</t>
        </is>
      </c>
      <c r="D49" t="n">
        <v>0</v>
      </c>
      <c r="E49" t="n">
        <v>0</v>
      </c>
    </row>
    <row r="50">
      <c r="A50" t="inlineStr">
        <is>
          <t>2026-09-20</t>
        </is>
      </c>
      <c r="B50" t="inlineStr">
        <is>
          <t>Manchester City</t>
        </is>
      </c>
      <c r="C50" t="inlineStr">
        <is>
          <t>Sunderland</t>
        </is>
      </c>
      <c r="D50" t="n">
        <v>5</v>
      </c>
      <c r="E50" t="n">
        <v>3</v>
      </c>
    </row>
    <row r="51">
      <c r="A51" t="inlineStr">
        <is>
          <t>2026-09-20</t>
        </is>
      </c>
      <c r="B51" t="inlineStr">
        <is>
          <t>Fulham</t>
        </is>
      </c>
      <c r="C51" t="inlineStr">
        <is>
          <t>Manchester United</t>
        </is>
      </c>
      <c r="D51" t="n">
        <v>1</v>
      </c>
      <c r="E51" t="n">
        <v>1</v>
      </c>
    </row>
    <row r="52">
      <c r="A52" t="inlineStr">
        <is>
          <t>2026-10-10</t>
        </is>
      </c>
      <c r="B52" t="inlineStr">
        <is>
          <t>Arsenal</t>
        </is>
      </c>
      <c r="C52" t="inlineStr">
        <is>
          <t>Leeds United</t>
        </is>
      </c>
      <c r="D52" t="n">
        <v>2</v>
      </c>
      <c r="E52" t="n">
        <v>1</v>
      </c>
    </row>
    <row r="53">
      <c r="A53" t="inlineStr">
        <is>
          <t>2026-10-10</t>
        </is>
      </c>
      <c r="B53" t="inlineStr">
        <is>
          <t>Aston Villa</t>
        </is>
      </c>
      <c r="C53" t="inlineStr">
        <is>
          <t>Brentford</t>
        </is>
      </c>
      <c r="D53" t="n">
        <v>2</v>
      </c>
      <c r="E53" t="n">
        <v>2</v>
      </c>
    </row>
    <row r="54">
      <c r="A54" t="inlineStr">
        <is>
          <t>2026-10-10</t>
        </is>
      </c>
      <c r="B54" t="inlineStr">
        <is>
          <t>Chelsea</t>
        </is>
      </c>
      <c r="C54" t="inlineStr">
        <is>
          <t>Bournemouth</t>
        </is>
      </c>
      <c r="D54" t="n">
        <v>5</v>
      </c>
      <c r="E54" t="n">
        <v>1</v>
      </c>
    </row>
    <row r="55">
      <c r="A55" t="inlineStr">
        <is>
          <t>2026-10-10</t>
        </is>
      </c>
      <c r="B55" t="inlineStr">
        <is>
          <t>Ipswich</t>
        </is>
      </c>
      <c r="C55" t="inlineStr">
        <is>
          <t>Fulham</t>
        </is>
      </c>
      <c r="D55" t="n">
        <v>2</v>
      </c>
      <c r="E55" t="n">
        <v>1</v>
      </c>
    </row>
    <row r="56">
      <c r="A56" t="inlineStr">
        <is>
          <t>2026-10-10</t>
        </is>
      </c>
      <c r="B56" t="inlineStr">
        <is>
          <t>Sunderland</t>
        </is>
      </c>
      <c r="C56" t="inlineStr">
        <is>
          <t>Brighton &amp; Hove Albion</t>
        </is>
      </c>
      <c r="D56" t="n">
        <v>0</v>
      </c>
      <c r="E56" t="n">
        <v>2</v>
      </c>
    </row>
    <row r="57">
      <c r="A57" t="inlineStr">
        <is>
          <t>2026-10-10</t>
        </is>
      </c>
      <c r="B57" t="inlineStr">
        <is>
          <t>Manchester United</t>
        </is>
      </c>
      <c r="C57" t="inlineStr">
        <is>
          <t>Tottenham Hotspur</t>
        </is>
      </c>
      <c r="D57" t="n">
        <v>1</v>
      </c>
      <c r="E57" t="n">
        <v>1</v>
      </c>
    </row>
    <row r="58">
      <c r="A58" t="inlineStr">
        <is>
          <t>2026-10-11</t>
        </is>
      </c>
      <c r="B58" t="inlineStr">
        <is>
          <t>Crystal Palace</t>
        </is>
      </c>
      <c r="C58" t="inlineStr">
        <is>
          <t>Nottingham Forest</t>
        </is>
      </c>
      <c r="D58" t="n">
        <v>3</v>
      </c>
      <c r="E58" t="n">
        <v>1</v>
      </c>
    </row>
    <row r="59">
      <c r="A59" t="inlineStr">
        <is>
          <t>2026-10-11</t>
        </is>
      </c>
      <c r="B59" t="inlineStr">
        <is>
          <t>Hull</t>
        </is>
      </c>
      <c r="C59" t="inlineStr">
        <is>
          <t>Everton</t>
        </is>
      </c>
      <c r="D59" t="n">
        <v>2</v>
      </c>
      <c r="E59" t="n">
        <v>2</v>
      </c>
    </row>
    <row r="60">
      <c r="A60" t="inlineStr">
        <is>
          <t>2026-10-11</t>
        </is>
      </c>
      <c r="B60" t="inlineStr">
        <is>
          <t>Liverpool</t>
        </is>
      </c>
      <c r="C60" t="inlineStr">
        <is>
          <t>Manchester City</t>
        </is>
      </c>
      <c r="D60" t="n">
        <v>0</v>
      </c>
      <c r="E60" t="n">
        <v>3</v>
      </c>
    </row>
    <row r="61">
      <c r="A61" t="inlineStr">
        <is>
          <t>2026-10-12</t>
        </is>
      </c>
      <c r="B61" t="inlineStr">
        <is>
          <t>Coventry</t>
        </is>
      </c>
      <c r="C61" t="inlineStr">
        <is>
          <t>Newcastle United</t>
        </is>
      </c>
      <c r="D61" t="n">
        <v>4</v>
      </c>
      <c r="E61" t="n">
        <v>1</v>
      </c>
    </row>
    <row r="62">
      <c r="A62" t="inlineStr">
        <is>
          <t>2026-10-17</t>
        </is>
      </c>
      <c r="B62" t="inlineStr">
        <is>
          <t>Everton</t>
        </is>
      </c>
      <c r="C62" t="inlineStr">
        <is>
          <t>Chelsea</t>
        </is>
      </c>
      <c r="D62" t="n">
        <v>0</v>
      </c>
      <c r="E62" t="n">
        <v>2</v>
      </c>
    </row>
    <row r="63">
      <c r="A63" t="inlineStr">
        <is>
          <t>2026-10-17</t>
        </is>
      </c>
      <c r="B63" t="inlineStr">
        <is>
          <t>Brentford</t>
        </is>
      </c>
      <c r="C63" t="inlineStr">
        <is>
          <t>Liverpool</t>
        </is>
      </c>
      <c r="D63" t="n">
        <v>1</v>
      </c>
      <c r="E63" t="n">
        <v>2</v>
      </c>
    </row>
    <row r="64">
      <c r="A64" t="inlineStr">
        <is>
          <t>2026-10-17</t>
        </is>
      </c>
      <c r="B64" t="inlineStr">
        <is>
          <t>Fulham</t>
        </is>
      </c>
      <c r="C64" t="inlineStr">
        <is>
          <t>Hull</t>
        </is>
      </c>
      <c r="D64" t="n">
        <v>1</v>
      </c>
      <c r="E64" t="n">
        <v>0</v>
      </c>
    </row>
    <row r="65">
      <c r="A65" t="inlineStr">
        <is>
          <t>2026-10-17</t>
        </is>
      </c>
      <c r="B65" t="inlineStr">
        <is>
          <t>Manchester City</t>
        </is>
      </c>
      <c r="C65" t="inlineStr">
        <is>
          <t>Ipswich</t>
        </is>
      </c>
      <c r="D65" t="n">
        <v>3</v>
      </c>
      <c r="E65" t="n">
        <v>2</v>
      </c>
    </row>
    <row r="66">
      <c r="A66" t="inlineStr">
        <is>
          <t>2026-10-17</t>
        </is>
      </c>
      <c r="B66" t="inlineStr">
        <is>
          <t>Newcastle United</t>
        </is>
      </c>
      <c r="C66" t="inlineStr">
        <is>
          <t>Aston Villa</t>
        </is>
      </c>
      <c r="D66" t="n">
        <v>0</v>
      </c>
      <c r="E66" t="n">
        <v>1</v>
      </c>
    </row>
    <row r="67">
      <c r="A67" t="inlineStr">
        <is>
          <t>2026-10-18</t>
        </is>
      </c>
      <c r="B67" t="inlineStr">
        <is>
          <t>Bournemouth</t>
        </is>
      </c>
      <c r="C67" t="inlineStr">
        <is>
          <t>Sunderland</t>
        </is>
      </c>
      <c r="D67" t="n">
        <v>2</v>
      </c>
      <c r="E67" t="n">
        <v>0</v>
      </c>
    </row>
    <row r="68">
      <c r="A68" t="inlineStr">
        <is>
          <t>2026-10-18</t>
        </is>
      </c>
      <c r="B68" t="inlineStr">
        <is>
          <t>Brighton &amp; Hove Albion</t>
        </is>
      </c>
      <c r="C68" t="inlineStr">
        <is>
          <t>Crystal Palace</t>
        </is>
      </c>
      <c r="D68" t="n">
        <v>5</v>
      </c>
      <c r="E68" t="n">
        <v>0</v>
      </c>
    </row>
    <row r="69">
      <c r="A69" t="inlineStr">
        <is>
          <t>2026-10-18</t>
        </is>
      </c>
      <c r="B69" t="inlineStr">
        <is>
          <t>Leeds United</t>
        </is>
      </c>
      <c r="C69" t="inlineStr">
        <is>
          <t>Manchester United</t>
        </is>
      </c>
      <c r="D69" t="n">
        <v>1</v>
      </c>
      <c r="E69" t="n">
        <v>1</v>
      </c>
    </row>
    <row r="70">
      <c r="A70" t="inlineStr">
        <is>
          <t>2026-10-18</t>
        </is>
      </c>
      <c r="B70" t="inlineStr">
        <is>
          <t>Nottingham Forest</t>
        </is>
      </c>
      <c r="C70" t="inlineStr">
        <is>
          <t>Arsenal</t>
        </is>
      </c>
      <c r="D70" t="n">
        <v>0</v>
      </c>
      <c r="E70" t="n">
        <v>1</v>
      </c>
    </row>
    <row r="71">
      <c r="A71" t="inlineStr">
        <is>
          <t>2026-10-19</t>
        </is>
      </c>
      <c r="B71" t="inlineStr">
        <is>
          <t>Tottenham Hotspur</t>
        </is>
      </c>
      <c r="C71" t="inlineStr">
        <is>
          <t>Coventry</t>
        </is>
      </c>
      <c r="D71" t="n">
        <v>3</v>
      </c>
      <c r="E71" t="n">
        <v>1</v>
      </c>
    </row>
    <row r="72">
      <c r="A72" t="inlineStr">
        <is>
          <t>2026-10-23</t>
        </is>
      </c>
      <c r="B72" t="inlineStr">
        <is>
          <t>Ipswich</t>
        </is>
      </c>
      <c r="C72" t="inlineStr">
        <is>
          <t>Nottingham Forest</t>
        </is>
      </c>
      <c r="D72" t="n">
        <v>1</v>
      </c>
      <c r="E72" t="n">
        <v>1</v>
      </c>
    </row>
    <row r="73">
      <c r="A73" t="inlineStr">
        <is>
          <t>2026-10-24</t>
        </is>
      </c>
      <c r="B73" t="inlineStr">
        <is>
          <t>Aston Villa</t>
        </is>
      </c>
      <c r="C73" t="inlineStr">
        <is>
          <t>Manchester City</t>
        </is>
      </c>
      <c r="D73" t="n">
        <v>2</v>
      </c>
      <c r="E73" t="n">
        <v>1</v>
      </c>
    </row>
    <row r="74">
      <c r="A74" t="inlineStr">
        <is>
          <t>2026-10-24</t>
        </is>
      </c>
      <c r="B74" t="inlineStr">
        <is>
          <t>Arsenal</t>
        </is>
      </c>
      <c r="C74" t="inlineStr">
        <is>
          <t>Everton</t>
        </is>
      </c>
      <c r="D74" t="n">
        <v>2</v>
      </c>
      <c r="E74" t="n">
        <v>0</v>
      </c>
    </row>
    <row r="75">
      <c r="A75" t="inlineStr">
        <is>
          <t>2026-10-24</t>
        </is>
      </c>
      <c r="B75" t="inlineStr">
        <is>
          <t>Coventry</t>
        </is>
      </c>
      <c r="C75" t="inlineStr">
        <is>
          <t>Fulham</t>
        </is>
      </c>
      <c r="D75" t="n">
        <v>0</v>
      </c>
      <c r="E75" t="n">
        <v>1</v>
      </c>
    </row>
    <row r="76">
      <c r="A76" t="inlineStr">
        <is>
          <t>2026-10-24</t>
        </is>
      </c>
      <c r="B76" t="inlineStr">
        <is>
          <t>Chelsea</t>
        </is>
      </c>
      <c r="C76" t="inlineStr">
        <is>
          <t>Tottenham Hotspur</t>
        </is>
      </c>
      <c r="D76" t="n">
        <v>0</v>
      </c>
      <c r="E76" t="n">
        <v>2</v>
      </c>
    </row>
    <row r="77">
      <c r="A77" t="inlineStr">
        <is>
          <t>2026-10-25</t>
        </is>
      </c>
      <c r="B77" t="inlineStr">
        <is>
          <t>Crystal Palace</t>
        </is>
      </c>
      <c r="C77" t="inlineStr">
        <is>
          <t>Newcastle United</t>
        </is>
      </c>
      <c r="D77" t="n">
        <v>0</v>
      </c>
      <c r="E77" t="n">
        <v>2</v>
      </c>
    </row>
    <row r="78">
      <c r="A78" t="inlineStr">
        <is>
          <t>2026-10-25</t>
        </is>
      </c>
      <c r="B78" t="inlineStr">
        <is>
          <t>Hull</t>
        </is>
      </c>
      <c r="C78" t="inlineStr">
        <is>
          <t>Brentford</t>
        </is>
      </c>
      <c r="D78" t="n">
        <v>1</v>
      </c>
      <c r="E78" t="n">
        <v>1</v>
      </c>
    </row>
    <row r="79">
      <c r="A79" t="inlineStr">
        <is>
          <t>2026-10-25</t>
        </is>
      </c>
      <c r="B79" t="inlineStr">
        <is>
          <t>Liverpool</t>
        </is>
      </c>
      <c r="C79" t="inlineStr">
        <is>
          <t>Brighton &amp; Hove Albion</t>
        </is>
      </c>
      <c r="D79" t="n">
        <v>2</v>
      </c>
      <c r="E79" t="n">
        <v>0</v>
      </c>
    </row>
    <row r="80">
      <c r="A80" t="inlineStr">
        <is>
          <t>2026-10-25</t>
        </is>
      </c>
      <c r="B80" t="inlineStr">
        <is>
          <t>Manchester United</t>
        </is>
      </c>
      <c r="C80" t="inlineStr">
        <is>
          <t>Bournemouth</t>
        </is>
      </c>
      <c r="D80" t="n">
        <v>0</v>
      </c>
      <c r="E80" t="n">
        <v>3</v>
      </c>
    </row>
    <row r="81">
      <c r="A81" t="inlineStr">
        <is>
          <t>2026-10-25</t>
        </is>
      </c>
      <c r="B81" t="inlineStr">
        <is>
          <t>Sunderland</t>
        </is>
      </c>
      <c r="C81" t="inlineStr">
        <is>
          <t>Leeds United</t>
        </is>
      </c>
      <c r="D81" t="n">
        <v>0</v>
      </c>
      <c r="E8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2026-10-27T12:42:52Z</dcterms:created>
  <dcterms:modified xsi:type="dcterms:W3CDTF">2026-10-27T12:42:53Z</dcterms:modified>
</cp:coreProperties>
</file>