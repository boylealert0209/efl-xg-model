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rsenal" sheetId="14" state="visible" r:id="rId14"/>
    <sheet name="Aston Villa" sheetId="15" state="visible" r:id="rId15"/>
    <sheet name="Bournemouth" sheetId="16" state="visible" r:id="rId16"/>
    <sheet name="Brentford" sheetId="17" state="visible" r:id="rId17"/>
    <sheet name="Brighton &amp; Hove Albion" sheetId="18" state="visible" r:id="rId18"/>
    <sheet name="Chelsea" sheetId="19" state="visible" r:id="rId19"/>
    <sheet name="Coventry" sheetId="20" state="visible" r:id="rId20"/>
    <sheet name="Crystal Palace" sheetId="21" state="visible" r:id="rId21"/>
    <sheet name="Everton" sheetId="22" state="visible" r:id="rId22"/>
    <sheet name="Fulham" sheetId="23" state="visible" r:id="rId23"/>
    <sheet name="Hull" sheetId="24" state="visible" r:id="rId24"/>
    <sheet name="Ipswich" sheetId="25" state="visible" r:id="rId25"/>
    <sheet name="Leeds United" sheetId="26" state="visible" r:id="rId26"/>
    <sheet name="Liverpool" sheetId="27" state="visible" r:id="rId27"/>
    <sheet name="Manchester City" sheetId="28" state="visible" r:id="rId28"/>
    <sheet name="Manchester United" sheetId="29" state="visible" r:id="rId29"/>
    <sheet name="Newcastle United" sheetId="30" state="visible" r:id="rId30"/>
    <sheet name="Nottingham Forest" sheetId="31" state="visible" r:id="rId31"/>
    <sheet name="Sunderland" sheetId="32" state="visible" r:id="rId32"/>
    <sheet name="Tottenham Hotspur" sheetId="33" state="visible" r:id="rId33"/>
    <sheet name="Results Data" sheetId="34" state="hidden" r:id="rId34"/>
  </sheets>
  <definedNames>
    <definedName name="_xlnm._FilterDatabase" localSheetId="6" hidden="1">'Match Log'!$A$1:$Q$51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Data'!$B$2:$B$51,$B2)+COUNTIF('Results Data'!$C$2:$C$51,$B2)</f>
        <v/>
      </c>
      <c r="D2" s="6">
        <f>SUMPRODUCT(('Results Data'!$B$2:$B$51=$B2)*('Results Data'!$D$2:$D$51&gt;'Results Data'!$E$2:$E$51))+SUMPRODUCT(('Results Data'!$C$2:$C$51=$B2)*('Results Data'!$E$2:$E$51&gt;'Results Data'!$D$2:$D$51))</f>
        <v/>
      </c>
      <c r="E2" s="6">
        <f>SUMPRODUCT(('Results Data'!$B$2:$B$51=$B2)*('Results Data'!$D$2:$D$51='Results Data'!$E$2:$E$51))+SUMPRODUCT(('Results Data'!$C$2:$C$51=$B2)*('Results Data'!$E$2:$E$51='Results Data'!$D$2:$D$51))</f>
        <v/>
      </c>
      <c r="F2" s="6">
        <f>C2-D2-E2</f>
        <v/>
      </c>
      <c r="G2" s="6">
        <f>SUMIF('Results Data'!$B$2:$B$51,$B2,'Results Data'!$D$2:$D$51)+SUMIF('Results Data'!$C$2:$C$51,$B2,'Results Data'!$E$2:$E$51)</f>
        <v/>
      </c>
      <c r="H2" s="6">
        <f>SUMIF('Results Data'!$B$2:$B$51,$B2,'Results Data'!$E$2:$E$51)+SUMIF('Results Data'!$C$2:$C$51,$B2,'Results Data'!$D$2:$D$51)</f>
        <v/>
      </c>
      <c r="I2" s="6">
        <f>G2-H2</f>
        <v/>
      </c>
      <c r="J2" s="6">
        <f>D2*3+E2</f>
        <v/>
      </c>
    </row>
    <row r="3">
      <c r="A3" s="7">
        <f>ROW()-1</f>
        <v/>
      </c>
      <c r="B3" s="8" t="inlineStr">
        <is>
          <t>Arsenal</t>
        </is>
      </c>
      <c r="C3" s="8">
        <f>COUNTIF('Results Data'!$B$2:$B$51,$B3)+COUNTIF('Results Data'!$C$2:$C$51,$B3)</f>
        <v/>
      </c>
      <c r="D3" s="8">
        <f>SUMPRODUCT(('Results Data'!$B$2:$B$51=$B3)*('Results Data'!$D$2:$D$51&gt;'Results Data'!$E$2:$E$51))+SUMPRODUCT(('Results Data'!$C$2:$C$51=$B3)*('Results Data'!$E$2:$E$51&gt;'Results Data'!$D$2:$D$51))</f>
        <v/>
      </c>
      <c r="E3" s="8">
        <f>SUMPRODUCT(('Results Data'!$B$2:$B$51=$B3)*('Results Data'!$D$2:$D$51='Results Data'!$E$2:$E$51))+SUMPRODUCT(('Results Data'!$C$2:$C$51=$B3)*('Results Data'!$E$2:$E$51='Results Data'!$D$2:$D$51))</f>
        <v/>
      </c>
      <c r="F3" s="8">
        <f>C3-D3-E3</f>
        <v/>
      </c>
      <c r="G3" s="8">
        <f>SUMIF('Results Data'!$B$2:$B$51,$B3,'Results Data'!$D$2:$D$51)+SUMIF('Results Data'!$C$2:$C$51,$B3,'Results Data'!$E$2:$E$51)</f>
        <v/>
      </c>
      <c r="H3" s="8">
        <f>SUMIF('Results Data'!$B$2:$B$51,$B3,'Results Data'!$E$2:$E$51)+SUMIF('Results Data'!$C$2:$C$51,$B3,'Results Data'!$D$2:$D$51)</f>
        <v/>
      </c>
      <c r="I3" s="8">
        <f>G3-H3</f>
        <v/>
      </c>
      <c r="J3" s="8">
        <f>D3*3+E3</f>
        <v/>
      </c>
    </row>
    <row r="4">
      <c r="A4" s="5">
        <f>ROW()-1</f>
        <v/>
      </c>
      <c r="B4" s="6" t="inlineStr">
        <is>
          <t>Brighton &amp; Hove Albion</t>
        </is>
      </c>
      <c r="C4" s="6">
        <f>COUNTIF('Results Data'!$B$2:$B$51,$B4)+COUNTIF('Results Data'!$C$2:$C$51,$B4)</f>
        <v/>
      </c>
      <c r="D4" s="6">
        <f>SUMPRODUCT(('Results Data'!$B$2:$B$51=$B4)*('Results Data'!$D$2:$D$51&gt;'Results Data'!$E$2:$E$51))+SUMPRODUCT(('Results Data'!$C$2:$C$51=$B4)*('Results Data'!$E$2:$E$51&gt;'Results Data'!$D$2:$D$51))</f>
        <v/>
      </c>
      <c r="E4" s="6">
        <f>SUMPRODUCT(('Results Data'!$B$2:$B$51=$B4)*('Results Data'!$D$2:$D$51='Results Data'!$E$2:$E$51))+SUMPRODUCT(('Results Data'!$C$2:$C$51=$B4)*('Results Data'!$E$2:$E$51='Results Data'!$D$2:$D$51))</f>
        <v/>
      </c>
      <c r="F4" s="6">
        <f>C4-D4-E4</f>
        <v/>
      </c>
      <c r="G4" s="6">
        <f>SUMIF('Results Data'!$B$2:$B$51,$B4,'Results Data'!$D$2:$D$51)+SUMIF('Results Data'!$C$2:$C$51,$B4,'Results Data'!$E$2:$E$51)</f>
        <v/>
      </c>
      <c r="H4" s="6">
        <f>SUMIF('Results Data'!$B$2:$B$51,$B4,'Results Data'!$E$2:$E$51)+SUMIF('Results Data'!$C$2:$C$51,$B4,'Results Data'!$D$2:$D$51)</f>
        <v/>
      </c>
      <c r="I4" s="6">
        <f>G4-H4</f>
        <v/>
      </c>
      <c r="J4" s="6">
        <f>D4*3+E4</f>
        <v/>
      </c>
    </row>
    <row r="5">
      <c r="A5" s="7">
        <f>ROW()-1</f>
        <v/>
      </c>
      <c r="B5" s="8" t="inlineStr">
        <is>
          <t>Brentford</t>
        </is>
      </c>
      <c r="C5" s="8">
        <f>COUNTIF('Results Data'!$B$2:$B$51,$B5)+COUNTIF('Results Data'!$C$2:$C$51,$B5)</f>
        <v/>
      </c>
      <c r="D5" s="8">
        <f>SUMPRODUCT(('Results Data'!$B$2:$B$51=$B5)*('Results Data'!$D$2:$D$51&gt;'Results Data'!$E$2:$E$51))+SUMPRODUCT(('Results Data'!$C$2:$C$51=$B5)*('Results Data'!$E$2:$E$51&gt;'Results Data'!$D$2:$D$51))</f>
        <v/>
      </c>
      <c r="E5" s="8">
        <f>SUMPRODUCT(('Results Data'!$B$2:$B$51=$B5)*('Results Data'!$D$2:$D$51='Results Data'!$E$2:$E$51))+SUMPRODUCT(('Results Data'!$C$2:$C$51=$B5)*('Results Data'!$E$2:$E$51='Results Data'!$D$2:$D$51))</f>
        <v/>
      </c>
      <c r="F5" s="8">
        <f>C5-D5-E5</f>
        <v/>
      </c>
      <c r="G5" s="8">
        <f>SUMIF('Results Data'!$B$2:$B$51,$B5,'Results Data'!$D$2:$D$51)+SUMIF('Results Data'!$C$2:$C$51,$B5,'Results Data'!$E$2:$E$51)</f>
        <v/>
      </c>
      <c r="H5" s="8">
        <f>SUMIF('Results Data'!$B$2:$B$51,$B5,'Results Data'!$E$2:$E$51)+SUMIF('Results Data'!$C$2:$C$51,$B5,'Results Data'!$D$2:$D$51)</f>
        <v/>
      </c>
      <c r="I5" s="8">
        <f>G5-H5</f>
        <v/>
      </c>
      <c r="J5" s="8">
        <f>D5*3+E5</f>
        <v/>
      </c>
    </row>
    <row r="6">
      <c r="A6" s="5">
        <f>ROW()-1</f>
        <v/>
      </c>
      <c r="B6" s="6" t="inlineStr">
        <is>
          <t>Leeds United</t>
        </is>
      </c>
      <c r="C6" s="6">
        <f>COUNTIF('Results Data'!$B$2:$B$51,$B6)+COUNTIF('Results Data'!$C$2:$C$51,$B6)</f>
        <v/>
      </c>
      <c r="D6" s="6">
        <f>SUMPRODUCT(('Results Data'!$B$2:$B$51=$B6)*('Results Data'!$D$2:$D$51&gt;'Results Data'!$E$2:$E$51))+SUMPRODUCT(('Results Data'!$C$2:$C$51=$B6)*('Results Data'!$E$2:$E$51&gt;'Results Data'!$D$2:$D$51))</f>
        <v/>
      </c>
      <c r="E6" s="6">
        <f>SUMPRODUCT(('Results Data'!$B$2:$B$51=$B6)*('Results Data'!$D$2:$D$51='Results Data'!$E$2:$E$51))+SUMPRODUCT(('Results Data'!$C$2:$C$51=$B6)*('Results Data'!$E$2:$E$51='Results Data'!$D$2:$D$51))</f>
        <v/>
      </c>
      <c r="F6" s="6">
        <f>C6-D6-E6</f>
        <v/>
      </c>
      <c r="G6" s="6">
        <f>SUMIF('Results Data'!$B$2:$B$51,$B6,'Results Data'!$D$2:$D$51)+SUMIF('Results Data'!$C$2:$C$51,$B6,'Results Data'!$E$2:$E$51)</f>
        <v/>
      </c>
      <c r="H6" s="6">
        <f>SUMIF('Results Data'!$B$2:$B$51,$B6,'Results Data'!$E$2:$E$51)+SUMIF('Results Data'!$C$2:$C$51,$B6,'Results Data'!$D$2:$D$51)</f>
        <v/>
      </c>
      <c r="I6" s="6">
        <f>G6-H6</f>
        <v/>
      </c>
      <c r="J6" s="6">
        <f>D6*3+E6</f>
        <v/>
      </c>
    </row>
    <row r="7">
      <c r="A7" s="7">
        <f>ROW()-1</f>
        <v/>
      </c>
      <c r="B7" s="8" t="inlineStr">
        <is>
          <t>Liverpool</t>
        </is>
      </c>
      <c r="C7" s="8">
        <f>COUNTIF('Results Data'!$B$2:$B$51,$B7)+COUNTIF('Results Data'!$C$2:$C$51,$B7)</f>
        <v/>
      </c>
      <c r="D7" s="8">
        <f>SUMPRODUCT(('Results Data'!$B$2:$B$51=$B7)*('Results Data'!$D$2:$D$51&gt;'Results Data'!$E$2:$E$51))+SUMPRODUCT(('Results Data'!$C$2:$C$51=$B7)*('Results Data'!$E$2:$E$51&gt;'Results Data'!$D$2:$D$51))</f>
        <v/>
      </c>
      <c r="E7" s="8">
        <f>SUMPRODUCT(('Results Data'!$B$2:$B$51=$B7)*('Results Data'!$D$2:$D$51='Results Data'!$E$2:$E$51))+SUMPRODUCT(('Results Data'!$C$2:$C$51=$B7)*('Results Data'!$E$2:$E$51='Results Data'!$D$2:$D$51))</f>
        <v/>
      </c>
      <c r="F7" s="8">
        <f>C7-D7-E7</f>
        <v/>
      </c>
      <c r="G7" s="8">
        <f>SUMIF('Results Data'!$B$2:$B$51,$B7,'Results Data'!$D$2:$D$51)+SUMIF('Results Data'!$C$2:$C$51,$B7,'Results Data'!$E$2:$E$51)</f>
        <v/>
      </c>
      <c r="H7" s="8">
        <f>SUMIF('Results Data'!$B$2:$B$51,$B7,'Results Data'!$E$2:$E$51)+SUMIF('Results Data'!$C$2:$C$51,$B7,'Results Data'!$D$2:$D$51)</f>
        <v/>
      </c>
      <c r="I7" s="8">
        <f>G7-H7</f>
        <v/>
      </c>
      <c r="J7" s="8">
        <f>D7*3+E7</f>
        <v/>
      </c>
    </row>
    <row r="8">
      <c r="A8" s="5">
        <f>ROW()-1</f>
        <v/>
      </c>
      <c r="B8" s="6" t="inlineStr">
        <is>
          <t>Everton</t>
        </is>
      </c>
      <c r="C8" s="6">
        <f>COUNTIF('Results Data'!$B$2:$B$51,$B8)+COUNTIF('Results Data'!$C$2:$C$51,$B8)</f>
        <v/>
      </c>
      <c r="D8" s="6">
        <f>SUMPRODUCT(('Results Data'!$B$2:$B$51=$B8)*('Results Data'!$D$2:$D$51&gt;'Results Data'!$E$2:$E$51))+SUMPRODUCT(('Results Data'!$C$2:$C$51=$B8)*('Results Data'!$E$2:$E$51&gt;'Results Data'!$D$2:$D$51))</f>
        <v/>
      </c>
      <c r="E8" s="6">
        <f>SUMPRODUCT(('Results Data'!$B$2:$B$51=$B8)*('Results Data'!$D$2:$D$51='Results Data'!$E$2:$E$51))+SUMPRODUCT(('Results Data'!$C$2:$C$51=$B8)*('Results Data'!$E$2:$E$51='Results Data'!$D$2:$D$51))</f>
        <v/>
      </c>
      <c r="F8" s="6">
        <f>C8-D8-E8</f>
        <v/>
      </c>
      <c r="G8" s="6">
        <f>SUMIF('Results Data'!$B$2:$B$51,$B8,'Results Data'!$D$2:$D$51)+SUMIF('Results Data'!$C$2:$C$51,$B8,'Results Data'!$E$2:$E$51)</f>
        <v/>
      </c>
      <c r="H8" s="6">
        <f>SUMIF('Results Data'!$B$2:$B$51,$B8,'Results Data'!$E$2:$E$51)+SUMIF('Results Data'!$C$2:$C$51,$B8,'Results Data'!$D$2:$D$51)</f>
        <v/>
      </c>
      <c r="I8" s="6">
        <f>G8-H8</f>
        <v/>
      </c>
      <c r="J8" s="6">
        <f>D8*3+E8</f>
        <v/>
      </c>
    </row>
    <row r="9">
      <c r="A9" s="7">
        <f>ROW()-1</f>
        <v/>
      </c>
      <c r="B9" s="8" t="inlineStr">
        <is>
          <t>Hull</t>
        </is>
      </c>
      <c r="C9" s="8">
        <f>COUNTIF('Results Data'!$B$2:$B$51,$B9)+COUNTIF('Results Data'!$C$2:$C$51,$B9)</f>
        <v/>
      </c>
      <c r="D9" s="8">
        <f>SUMPRODUCT(('Results Data'!$B$2:$B$51=$B9)*('Results Data'!$D$2:$D$51&gt;'Results Data'!$E$2:$E$51))+SUMPRODUCT(('Results Data'!$C$2:$C$51=$B9)*('Results Data'!$E$2:$E$51&gt;'Results Data'!$D$2:$D$51))</f>
        <v/>
      </c>
      <c r="E9" s="8">
        <f>SUMPRODUCT(('Results Data'!$B$2:$B$51=$B9)*('Results Data'!$D$2:$D$51='Results Data'!$E$2:$E$51))+SUMPRODUCT(('Results Data'!$C$2:$C$51=$B9)*('Results Data'!$E$2:$E$51='Results Data'!$D$2:$D$51))</f>
        <v/>
      </c>
      <c r="F9" s="8">
        <f>C9-D9-E9</f>
        <v/>
      </c>
      <c r="G9" s="8">
        <f>SUMIF('Results Data'!$B$2:$B$51,$B9,'Results Data'!$D$2:$D$51)+SUMIF('Results Data'!$C$2:$C$51,$B9,'Results Data'!$E$2:$E$51)</f>
        <v/>
      </c>
      <c r="H9" s="8">
        <f>SUMIF('Results Data'!$B$2:$B$51,$B9,'Results Data'!$E$2:$E$51)+SUMIF('Results Data'!$C$2:$C$51,$B9,'Results Data'!$D$2:$D$51)</f>
        <v/>
      </c>
      <c r="I9" s="8">
        <f>G9-H9</f>
        <v/>
      </c>
      <c r="J9" s="8">
        <f>D9*3+E9</f>
        <v/>
      </c>
    </row>
    <row r="10">
      <c r="A10" s="5">
        <f>ROW()-1</f>
        <v/>
      </c>
      <c r="B10" s="6" t="inlineStr">
        <is>
          <t>Newcastle United</t>
        </is>
      </c>
      <c r="C10" s="6">
        <f>COUNTIF('Results Data'!$B$2:$B$51,$B10)+COUNTIF('Results Data'!$C$2:$C$51,$B10)</f>
        <v/>
      </c>
      <c r="D10" s="6">
        <f>SUMPRODUCT(('Results Data'!$B$2:$B$51=$B10)*('Results Data'!$D$2:$D$51&gt;'Results Data'!$E$2:$E$51))+SUMPRODUCT(('Results Data'!$C$2:$C$51=$B10)*('Results Data'!$E$2:$E$51&gt;'Results Data'!$D$2:$D$51))</f>
        <v/>
      </c>
      <c r="E10" s="6">
        <f>SUMPRODUCT(('Results Data'!$B$2:$B$51=$B10)*('Results Data'!$D$2:$D$51='Results Data'!$E$2:$E$51))+SUMPRODUCT(('Results Data'!$C$2:$C$51=$B10)*('Results Data'!$E$2:$E$51='Results Data'!$D$2:$D$51))</f>
        <v/>
      </c>
      <c r="F10" s="6">
        <f>C10-D10-E10</f>
        <v/>
      </c>
      <c r="G10" s="6">
        <f>SUMIF('Results Data'!$B$2:$B$51,$B10,'Results Data'!$D$2:$D$51)+SUMIF('Results Data'!$C$2:$C$51,$B10,'Results Data'!$E$2:$E$51)</f>
        <v/>
      </c>
      <c r="H10" s="6">
        <f>SUMIF('Results Data'!$B$2:$B$51,$B10,'Results Data'!$E$2:$E$51)+SUMIF('Results Data'!$C$2:$C$51,$B10,'Results Data'!$D$2:$D$51)</f>
        <v/>
      </c>
      <c r="I10" s="6">
        <f>G10-H10</f>
        <v/>
      </c>
      <c r="J10" s="6">
        <f>D10*3+E10</f>
        <v/>
      </c>
    </row>
    <row r="11">
      <c r="A11" s="7">
        <f>ROW()-1</f>
        <v/>
      </c>
      <c r="B11" s="8" t="inlineStr">
        <is>
          <t>Chelsea</t>
        </is>
      </c>
      <c r="C11" s="8">
        <f>COUNTIF('Results Data'!$B$2:$B$51,$B11)+COUNTIF('Results Data'!$C$2:$C$51,$B11)</f>
        <v/>
      </c>
      <c r="D11" s="8">
        <f>SUMPRODUCT(('Results Data'!$B$2:$B$51=$B11)*('Results Data'!$D$2:$D$51&gt;'Results Data'!$E$2:$E$51))+SUMPRODUCT(('Results Data'!$C$2:$C$51=$B11)*('Results Data'!$E$2:$E$51&gt;'Results Data'!$D$2:$D$51))</f>
        <v/>
      </c>
      <c r="E11" s="8">
        <f>SUMPRODUCT(('Results Data'!$B$2:$B$51=$B11)*('Results Data'!$D$2:$D$51='Results Data'!$E$2:$E$51))+SUMPRODUCT(('Results Data'!$C$2:$C$51=$B11)*('Results Data'!$E$2:$E$51='Results Data'!$D$2:$D$51))</f>
        <v/>
      </c>
      <c r="F11" s="8">
        <f>C11-D11-E11</f>
        <v/>
      </c>
      <c r="G11" s="8">
        <f>SUMIF('Results Data'!$B$2:$B$51,$B11,'Results Data'!$D$2:$D$51)+SUMIF('Results Data'!$C$2:$C$51,$B11,'Results Data'!$E$2:$E$51)</f>
        <v/>
      </c>
      <c r="H11" s="8">
        <f>SUMIF('Results Data'!$B$2:$B$51,$B11,'Results Data'!$E$2:$E$51)+SUMIF('Results Data'!$C$2:$C$51,$B11,'Results Data'!$D$2:$D$51)</f>
        <v/>
      </c>
      <c r="I11" s="8">
        <f>G11-H11</f>
        <v/>
      </c>
      <c r="J11" s="8">
        <f>D11*3+E11</f>
        <v/>
      </c>
    </row>
    <row r="12">
      <c r="A12" s="5">
        <f>ROW()-1</f>
        <v/>
      </c>
      <c r="B12" s="6" t="inlineStr">
        <is>
          <t>Ipswich</t>
        </is>
      </c>
      <c r="C12" s="6">
        <f>COUNTIF('Results Data'!$B$2:$B$51,$B12)+COUNTIF('Results Data'!$C$2:$C$51,$B12)</f>
        <v/>
      </c>
      <c r="D12" s="6">
        <f>SUMPRODUCT(('Results Data'!$B$2:$B$51=$B12)*('Results Data'!$D$2:$D$51&gt;'Results Data'!$E$2:$E$51))+SUMPRODUCT(('Results Data'!$C$2:$C$51=$B12)*('Results Data'!$E$2:$E$51&gt;'Results Data'!$D$2:$D$51))</f>
        <v/>
      </c>
      <c r="E12" s="6">
        <f>SUMPRODUCT(('Results Data'!$B$2:$B$51=$B12)*('Results Data'!$D$2:$D$51='Results Data'!$E$2:$E$51))+SUMPRODUCT(('Results Data'!$C$2:$C$51=$B12)*('Results Data'!$E$2:$E$51='Results Data'!$D$2:$D$51))</f>
        <v/>
      </c>
      <c r="F12" s="6">
        <f>C12-D12-E12</f>
        <v/>
      </c>
      <c r="G12" s="6">
        <f>SUMIF('Results Data'!$B$2:$B$51,$B12,'Results Data'!$D$2:$D$51)+SUMIF('Results Data'!$C$2:$C$51,$B12,'Results Data'!$E$2:$E$51)</f>
        <v/>
      </c>
      <c r="H12" s="6">
        <f>SUMIF('Results Data'!$B$2:$B$51,$B12,'Results Data'!$E$2:$E$51)+SUMIF('Results Data'!$C$2:$C$51,$B12,'Results Data'!$D$2:$D$51)</f>
        <v/>
      </c>
      <c r="I12" s="6">
        <f>G12-H12</f>
        <v/>
      </c>
      <c r="J12" s="6">
        <f>D12*3+E12</f>
        <v/>
      </c>
    </row>
    <row r="13">
      <c r="A13" s="7">
        <f>ROW()-1</f>
        <v/>
      </c>
      <c r="B13" s="8" t="inlineStr">
        <is>
          <t>Manchester United</t>
        </is>
      </c>
      <c r="C13" s="8">
        <f>COUNTIF('Results Data'!$B$2:$B$51,$B13)+COUNTIF('Results Data'!$C$2:$C$51,$B13)</f>
        <v/>
      </c>
      <c r="D13" s="8">
        <f>SUMPRODUCT(('Results Data'!$B$2:$B$51=$B13)*('Results Data'!$D$2:$D$51&gt;'Results Data'!$E$2:$E$51))+SUMPRODUCT(('Results Data'!$C$2:$C$51=$B13)*('Results Data'!$E$2:$E$51&gt;'Results Data'!$D$2:$D$51))</f>
        <v/>
      </c>
      <c r="E13" s="8">
        <f>SUMPRODUCT(('Results Data'!$B$2:$B$51=$B13)*('Results Data'!$D$2:$D$51='Results Data'!$E$2:$E$51))+SUMPRODUCT(('Results Data'!$C$2:$C$51=$B13)*('Results Data'!$E$2:$E$51='Results Data'!$D$2:$D$51))</f>
        <v/>
      </c>
      <c r="F13" s="8">
        <f>C13-D13-E13</f>
        <v/>
      </c>
      <c r="G13" s="8">
        <f>SUMIF('Results Data'!$B$2:$B$51,$B13,'Results Data'!$D$2:$D$51)+SUMIF('Results Data'!$C$2:$C$51,$B13,'Results Data'!$E$2:$E$51)</f>
        <v/>
      </c>
      <c r="H13" s="8">
        <f>SUMIF('Results Data'!$B$2:$B$51,$B13,'Results Data'!$E$2:$E$51)+SUMIF('Results Data'!$C$2:$C$51,$B13,'Results Data'!$D$2:$D$51)</f>
        <v/>
      </c>
      <c r="I13" s="8">
        <f>G13-H13</f>
        <v/>
      </c>
      <c r="J13" s="8">
        <f>D13*3+E13</f>
        <v/>
      </c>
    </row>
    <row r="14">
      <c r="A14" s="5">
        <f>ROW()-1</f>
        <v/>
      </c>
      <c r="B14" s="6" t="inlineStr">
        <is>
          <t>Nottingham Forest</t>
        </is>
      </c>
      <c r="C14" s="6">
        <f>COUNTIF('Results Data'!$B$2:$B$51,$B14)+COUNTIF('Results Data'!$C$2:$C$51,$B14)</f>
        <v/>
      </c>
      <c r="D14" s="6">
        <f>SUMPRODUCT(('Results Data'!$B$2:$B$51=$B14)*('Results Data'!$D$2:$D$51&gt;'Results Data'!$E$2:$E$51))+SUMPRODUCT(('Results Data'!$C$2:$C$51=$B14)*('Results Data'!$E$2:$E$51&gt;'Results Data'!$D$2:$D$51))</f>
        <v/>
      </c>
      <c r="E14" s="6">
        <f>SUMPRODUCT(('Results Data'!$B$2:$B$51=$B14)*('Results Data'!$D$2:$D$51='Results Data'!$E$2:$E$51))+SUMPRODUCT(('Results Data'!$C$2:$C$51=$B14)*('Results Data'!$E$2:$E$51='Results Data'!$D$2:$D$51))</f>
        <v/>
      </c>
      <c r="F14" s="6">
        <f>C14-D14-E14</f>
        <v/>
      </c>
      <c r="G14" s="6">
        <f>SUMIF('Results Data'!$B$2:$B$51,$B14,'Results Data'!$D$2:$D$51)+SUMIF('Results Data'!$C$2:$C$51,$B14,'Results Data'!$E$2:$E$51)</f>
        <v/>
      </c>
      <c r="H14" s="6">
        <f>SUMIF('Results Data'!$B$2:$B$51,$B14,'Results Data'!$E$2:$E$51)+SUMIF('Results Data'!$C$2:$C$51,$B14,'Results Data'!$D$2:$D$51)</f>
        <v/>
      </c>
      <c r="I14" s="6">
        <f>G14-H14</f>
        <v/>
      </c>
      <c r="J14" s="6">
        <f>D14*3+E14</f>
        <v/>
      </c>
    </row>
    <row r="15">
      <c r="A15" s="7">
        <f>ROW()-1</f>
        <v/>
      </c>
      <c r="B15" s="8" t="inlineStr">
        <is>
          <t>Sunderland</t>
        </is>
      </c>
      <c r="C15" s="8">
        <f>COUNTIF('Results Data'!$B$2:$B$51,$B15)+COUNTIF('Results Data'!$C$2:$C$51,$B15)</f>
        <v/>
      </c>
      <c r="D15" s="8">
        <f>SUMPRODUCT(('Results Data'!$B$2:$B$51=$B15)*('Results Data'!$D$2:$D$51&gt;'Results Data'!$E$2:$E$51))+SUMPRODUCT(('Results Data'!$C$2:$C$51=$B15)*('Results Data'!$E$2:$E$51&gt;'Results Data'!$D$2:$D$51))</f>
        <v/>
      </c>
      <c r="E15" s="8">
        <f>SUMPRODUCT(('Results Data'!$B$2:$B$51=$B15)*('Results Data'!$D$2:$D$51='Results Data'!$E$2:$E$51))+SUMPRODUCT(('Results Data'!$C$2:$C$51=$B15)*('Results Data'!$E$2:$E$51='Results Data'!$D$2:$D$51))</f>
        <v/>
      </c>
      <c r="F15" s="8">
        <f>C15-D15-E15</f>
        <v/>
      </c>
      <c r="G15" s="8">
        <f>SUMIF('Results Data'!$B$2:$B$51,$B15,'Results Data'!$D$2:$D$51)+SUMIF('Results Data'!$C$2:$C$51,$B15,'Results Data'!$E$2:$E$51)</f>
        <v/>
      </c>
      <c r="H15" s="8">
        <f>SUMIF('Results Data'!$B$2:$B$51,$B15,'Results Data'!$E$2:$E$51)+SUMIF('Results Data'!$C$2:$C$51,$B15,'Results Data'!$D$2:$D$51)</f>
        <v/>
      </c>
      <c r="I15" s="8">
        <f>G15-H15</f>
        <v/>
      </c>
      <c r="J15" s="8">
        <f>D15*3+E15</f>
        <v/>
      </c>
    </row>
    <row r="16">
      <c r="A16" s="5">
        <f>ROW()-1</f>
        <v/>
      </c>
      <c r="B16" s="6" t="inlineStr">
        <is>
          <t>Crystal Palace</t>
        </is>
      </c>
      <c r="C16" s="6">
        <f>COUNTIF('Results Data'!$B$2:$B$51,$B16)+COUNTIF('Results Data'!$C$2:$C$51,$B16)</f>
        <v/>
      </c>
      <c r="D16" s="6">
        <f>SUMPRODUCT(('Results Data'!$B$2:$B$51=$B16)*('Results Data'!$D$2:$D$51&gt;'Results Data'!$E$2:$E$51))+SUMPRODUCT(('Results Data'!$C$2:$C$51=$B16)*('Results Data'!$E$2:$E$51&gt;'Results Data'!$D$2:$D$51))</f>
        <v/>
      </c>
      <c r="E16" s="6">
        <f>SUMPRODUCT(('Results Data'!$B$2:$B$51=$B16)*('Results Data'!$D$2:$D$51='Results Data'!$E$2:$E$51))+SUMPRODUCT(('Results Data'!$C$2:$C$51=$B16)*('Results Data'!$E$2:$E$51='Results Data'!$D$2:$D$51))</f>
        <v/>
      </c>
      <c r="F16" s="6">
        <f>C16-D16-E16</f>
        <v/>
      </c>
      <c r="G16" s="6">
        <f>SUMIF('Results Data'!$B$2:$B$51,$B16,'Results Data'!$D$2:$D$51)+SUMIF('Results Data'!$C$2:$C$51,$B16,'Results Data'!$E$2:$E$51)</f>
        <v/>
      </c>
      <c r="H16" s="6">
        <f>SUMIF('Results Data'!$B$2:$B$51,$B16,'Results Data'!$E$2:$E$51)+SUMIF('Results Data'!$C$2:$C$51,$B16,'Results Data'!$D$2:$D$51)</f>
        <v/>
      </c>
      <c r="I16" s="6">
        <f>G16-H16</f>
        <v/>
      </c>
      <c r="J16" s="6">
        <f>D16*3+E16</f>
        <v/>
      </c>
    </row>
    <row r="17">
      <c r="A17" s="7">
        <f>ROW()-1</f>
        <v/>
      </c>
      <c r="B17" s="8" t="inlineStr">
        <is>
          <t>Aston Villa</t>
        </is>
      </c>
      <c r="C17" s="8">
        <f>COUNTIF('Results Data'!$B$2:$B$51,$B17)+COUNTIF('Results Data'!$C$2:$C$51,$B17)</f>
        <v/>
      </c>
      <c r="D17" s="8">
        <f>SUMPRODUCT(('Results Data'!$B$2:$B$51=$B17)*('Results Data'!$D$2:$D$51&gt;'Results Data'!$E$2:$E$51))+SUMPRODUCT(('Results Data'!$C$2:$C$51=$B17)*('Results Data'!$E$2:$E$51&gt;'Results Data'!$D$2:$D$51))</f>
        <v/>
      </c>
      <c r="E17" s="8">
        <f>SUMPRODUCT(('Results Data'!$B$2:$B$51=$B17)*('Results Data'!$D$2:$D$51='Results Data'!$E$2:$E$51))+SUMPRODUCT(('Results Data'!$C$2:$C$51=$B17)*('Results Data'!$E$2:$E$51='Results Data'!$D$2:$D$51))</f>
        <v/>
      </c>
      <c r="F17" s="8">
        <f>C17-D17-E17</f>
        <v/>
      </c>
      <c r="G17" s="8">
        <f>SUMIF('Results Data'!$B$2:$B$51,$B17,'Results Data'!$D$2:$D$51)+SUMIF('Results Data'!$C$2:$C$51,$B17,'Results Data'!$E$2:$E$51)</f>
        <v/>
      </c>
      <c r="H17" s="8">
        <f>SUMIF('Results Data'!$B$2:$B$51,$B17,'Results Data'!$E$2:$E$51)+SUMIF('Results Data'!$C$2:$C$51,$B17,'Results Data'!$D$2:$D$51)</f>
        <v/>
      </c>
      <c r="I17" s="8">
        <f>G17-H17</f>
        <v/>
      </c>
      <c r="J17" s="8">
        <f>D17*3+E17</f>
        <v/>
      </c>
    </row>
    <row r="18">
      <c r="A18" s="5">
        <f>ROW()-1</f>
        <v/>
      </c>
      <c r="B18" s="6" t="inlineStr">
        <is>
          <t>Bournemouth</t>
        </is>
      </c>
      <c r="C18" s="6">
        <f>COUNTIF('Results Data'!$B$2:$B$51,$B18)+COUNTIF('Results Data'!$C$2:$C$51,$B18)</f>
        <v/>
      </c>
      <c r="D18" s="6">
        <f>SUMPRODUCT(('Results Data'!$B$2:$B$51=$B18)*('Results Data'!$D$2:$D$51&gt;'Results Data'!$E$2:$E$51))+SUMPRODUCT(('Results Data'!$C$2:$C$51=$B18)*('Results Data'!$E$2:$E$51&gt;'Results Data'!$D$2:$D$51))</f>
        <v/>
      </c>
      <c r="E18" s="6">
        <f>SUMPRODUCT(('Results Data'!$B$2:$B$51=$B18)*('Results Data'!$D$2:$D$51='Results Data'!$E$2:$E$51))+SUMPRODUCT(('Results Data'!$C$2:$C$51=$B18)*('Results Data'!$E$2:$E$51='Results Data'!$D$2:$D$51))</f>
        <v/>
      </c>
      <c r="F18" s="6">
        <f>C18-D18-E18</f>
        <v/>
      </c>
      <c r="G18" s="6">
        <f>SUMIF('Results Data'!$B$2:$B$51,$B18,'Results Data'!$D$2:$D$51)+SUMIF('Results Data'!$C$2:$C$51,$B18,'Results Data'!$E$2:$E$51)</f>
        <v/>
      </c>
      <c r="H18" s="6">
        <f>SUMIF('Results Data'!$B$2:$B$51,$B18,'Results Data'!$E$2:$E$51)+SUMIF('Results Data'!$C$2:$C$51,$B18,'Results Data'!$D$2:$D$51)</f>
        <v/>
      </c>
      <c r="I18" s="6">
        <f>G18-H18</f>
        <v/>
      </c>
      <c r="J18" s="6">
        <f>D18*3+E18</f>
        <v/>
      </c>
    </row>
    <row r="19">
      <c r="A19" s="7">
        <f>ROW()-1</f>
        <v/>
      </c>
      <c r="B19" s="8" t="inlineStr">
        <is>
          <t>Coventry</t>
        </is>
      </c>
      <c r="C19" s="8">
        <f>COUNTIF('Results Data'!$B$2:$B$51,$B19)+COUNTIF('Results Data'!$C$2:$C$51,$B19)</f>
        <v/>
      </c>
      <c r="D19" s="8">
        <f>SUMPRODUCT(('Results Data'!$B$2:$B$51=$B19)*('Results Data'!$D$2:$D$51&gt;'Results Data'!$E$2:$E$51))+SUMPRODUCT(('Results Data'!$C$2:$C$51=$B19)*('Results Data'!$E$2:$E$51&gt;'Results Data'!$D$2:$D$51))</f>
        <v/>
      </c>
      <c r="E19" s="8">
        <f>SUMPRODUCT(('Results Data'!$B$2:$B$51=$B19)*('Results Data'!$D$2:$D$51='Results Data'!$E$2:$E$51))+SUMPRODUCT(('Results Data'!$C$2:$C$51=$B19)*('Results Data'!$E$2:$E$51='Results Data'!$D$2:$D$51))</f>
        <v/>
      </c>
      <c r="F19" s="8">
        <f>C19-D19-E19</f>
        <v/>
      </c>
      <c r="G19" s="8">
        <f>SUMIF('Results Data'!$B$2:$B$51,$B19,'Results Data'!$D$2:$D$51)+SUMIF('Results Data'!$C$2:$C$51,$B19,'Results Data'!$E$2:$E$51)</f>
        <v/>
      </c>
      <c r="H19" s="8">
        <f>SUMIF('Results Data'!$B$2:$B$51,$B19,'Results Data'!$E$2:$E$51)+SUMIF('Results Data'!$C$2:$C$51,$B19,'Results Data'!$D$2:$D$51)</f>
        <v/>
      </c>
      <c r="I19" s="8">
        <f>G19-H19</f>
        <v/>
      </c>
      <c r="J19" s="8">
        <f>D19*3+E19</f>
        <v/>
      </c>
    </row>
    <row r="20">
      <c r="A20" s="5">
        <f>ROW()-1</f>
        <v/>
      </c>
      <c r="B20" s="6" t="inlineStr">
        <is>
          <t>Fulham</t>
        </is>
      </c>
      <c r="C20" s="6">
        <f>COUNTIF('Results Data'!$B$2:$B$51,$B20)+COUNTIF('Results Data'!$C$2:$C$51,$B20)</f>
        <v/>
      </c>
      <c r="D20" s="6">
        <f>SUMPRODUCT(('Results Data'!$B$2:$B$51=$B20)*('Results Data'!$D$2:$D$51&gt;'Results Data'!$E$2:$E$51))+SUMPRODUCT(('Results Data'!$C$2:$C$51=$B20)*('Results Data'!$E$2:$E$51&gt;'Results Data'!$D$2:$D$51))</f>
        <v/>
      </c>
      <c r="E20" s="6">
        <f>SUMPRODUCT(('Results Data'!$B$2:$B$51=$B20)*('Results Data'!$D$2:$D$51='Results Data'!$E$2:$E$51))+SUMPRODUCT(('Results Data'!$C$2:$C$51=$B20)*('Results Data'!$E$2:$E$51='Results Data'!$D$2:$D$51))</f>
        <v/>
      </c>
      <c r="F20" s="6">
        <f>C20-D20-E20</f>
        <v/>
      </c>
      <c r="G20" s="6">
        <f>SUMIF('Results Data'!$B$2:$B$51,$B20,'Results Data'!$D$2:$D$51)+SUMIF('Results Data'!$C$2:$C$51,$B20,'Results Data'!$E$2:$E$51)</f>
        <v/>
      </c>
      <c r="H20" s="6">
        <f>SUMIF('Results Data'!$B$2:$B$51,$B20,'Results Data'!$E$2:$E$51)+SUMIF('Results Data'!$C$2:$C$51,$B20,'Results Data'!$D$2:$D$51)</f>
        <v/>
      </c>
      <c r="I20" s="6">
        <f>G20-H20</f>
        <v/>
      </c>
      <c r="J20" s="6">
        <f>D20*3+E20</f>
        <v/>
      </c>
    </row>
    <row r="21">
      <c r="A21" s="7">
        <f>ROW()-1</f>
        <v/>
      </c>
      <c r="B21" s="8" t="inlineStr">
        <is>
          <t>Tottenham Hotspur</t>
        </is>
      </c>
      <c r="C21" s="8">
        <f>COUNTIF('Results Data'!$B$2:$B$51,$B21)+COUNTIF('Results Data'!$C$2:$C$51,$B21)</f>
        <v/>
      </c>
      <c r="D21" s="8">
        <f>SUMPRODUCT(('Results Data'!$B$2:$B$51=$B21)*('Results Data'!$D$2:$D$51&gt;'Results Data'!$E$2:$E$51))+SUMPRODUCT(('Results Data'!$C$2:$C$51=$B21)*('Results Data'!$E$2:$E$51&gt;'Results Data'!$D$2:$D$51))</f>
        <v/>
      </c>
      <c r="E21" s="8">
        <f>SUMPRODUCT(('Results Data'!$B$2:$B$51=$B21)*('Results Data'!$D$2:$D$51='Results Data'!$E$2:$E$51))+SUMPRODUCT(('Results Data'!$C$2:$C$51=$B21)*('Results Data'!$E$2:$E$51='Results Data'!$D$2:$D$51))</f>
        <v/>
      </c>
      <c r="F21" s="8">
        <f>C21-D21-E21</f>
        <v/>
      </c>
      <c r="G21" s="8">
        <f>SUMIF('Results Data'!$B$2:$B$51,$B21,'Results Data'!$D$2:$D$51)+SUMIF('Results Data'!$C$2:$C$51,$B21,'Results Data'!$E$2:$E$51)</f>
        <v/>
      </c>
      <c r="H21" s="8">
        <f>SUMIF('Results Data'!$B$2:$B$51,$B21,'Results Data'!$E$2:$E$51)+SUMIF('Results Data'!$C$2:$C$51,$B21,'Results Data'!$D$2:$D$51)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Sunderland</t>
        </is>
      </c>
      <c r="B2" s="6">
        <f>'Sunderland'!$E$9</f>
        <v/>
      </c>
      <c r="C2" s="9">
        <f>'Sunderland'!$E$12</f>
        <v/>
      </c>
      <c r="D2" s="9">
        <f>'Sunderland'!$E$14</f>
        <v/>
      </c>
      <c r="E2" s="9">
        <f>'Sunderland'!$E$16</f>
        <v/>
      </c>
      <c r="F2" s="9">
        <f>'Sunderland'!$E$18</f>
        <v/>
      </c>
      <c r="G2" s="9">
        <f>'Sunderland'!$E$20</f>
        <v/>
      </c>
      <c r="H2" s="9">
        <f>'Sunderland'!$E$24</f>
        <v/>
      </c>
      <c r="I2" s="9">
        <f>'Sunderland'!$E$25</f>
        <v/>
      </c>
      <c r="J2" s="9">
        <f>'Sunderland'!$E$28</f>
        <v/>
      </c>
      <c r="K2" s="9">
        <f>'Sunderland'!$E$29</f>
        <v/>
      </c>
      <c r="L2" s="9">
        <f>'Sunderland'!$E$30</f>
        <v/>
      </c>
    </row>
    <row r="3">
      <c r="A3" s="8" t="inlineStr">
        <is>
          <t>Brighton &amp; Hove Albion</t>
        </is>
      </c>
      <c r="B3" s="8">
        <f>'Brighton &amp; Hove Albion'!$E$9</f>
        <v/>
      </c>
      <c r="C3" s="10">
        <f>'Brighton &amp; Hove Albion'!$E$12</f>
        <v/>
      </c>
      <c r="D3" s="10">
        <f>'Brighton &amp; Hove Albion'!$E$14</f>
        <v/>
      </c>
      <c r="E3" s="10">
        <f>'Brighton &amp; Hove Albion'!$E$16</f>
        <v/>
      </c>
      <c r="F3" s="10">
        <f>'Brighton &amp; Hove Albion'!$E$18</f>
        <v/>
      </c>
      <c r="G3" s="10">
        <f>'Brighton &amp; Hove Albion'!$E$20</f>
        <v/>
      </c>
      <c r="H3" s="10">
        <f>'Brighton &amp; Hove Albion'!$E$24</f>
        <v/>
      </c>
      <c r="I3" s="10">
        <f>'Brighton &amp; Hove Albion'!$E$25</f>
        <v/>
      </c>
      <c r="J3" s="10">
        <f>'Brighton &amp; Hove Albion'!$E$28</f>
        <v/>
      </c>
      <c r="K3" s="10">
        <f>'Brighton &amp; Hove Albion'!$E$29</f>
        <v/>
      </c>
      <c r="L3" s="10">
        <f>'Brighton &amp; Hove Albion'!$E$30</f>
        <v/>
      </c>
    </row>
    <row r="4">
      <c r="A4" s="6" t="inlineStr">
        <is>
          <t>Ipswich</t>
        </is>
      </c>
      <c r="B4" s="6">
        <f>'Ipswich'!$E$9</f>
        <v/>
      </c>
      <c r="C4" s="9">
        <f>'Ipswich'!$E$12</f>
        <v/>
      </c>
      <c r="D4" s="9">
        <f>'Ipswich'!$E$14</f>
        <v/>
      </c>
      <c r="E4" s="9">
        <f>'Ipswich'!$E$16</f>
        <v/>
      </c>
      <c r="F4" s="9">
        <f>'Ipswich'!$E$18</f>
        <v/>
      </c>
      <c r="G4" s="9">
        <f>'Ipswich'!$E$20</f>
        <v/>
      </c>
      <c r="H4" s="9">
        <f>'Ipswich'!$E$24</f>
        <v/>
      </c>
      <c r="I4" s="9">
        <f>'Ipswich'!$E$25</f>
        <v/>
      </c>
      <c r="J4" s="9">
        <f>'Ipswich'!$E$28</f>
        <v/>
      </c>
      <c r="K4" s="9">
        <f>'Ipswich'!$E$29</f>
        <v/>
      </c>
      <c r="L4" s="9">
        <f>'Ipswich'!$E$30</f>
        <v/>
      </c>
    </row>
    <row r="5">
      <c r="A5" s="8" t="inlineStr">
        <is>
          <t>Brentford</t>
        </is>
      </c>
      <c r="B5" s="8">
        <f>'Brentford'!$E$9</f>
        <v/>
      </c>
      <c r="C5" s="10">
        <f>'Brentford'!$E$12</f>
        <v/>
      </c>
      <c r="D5" s="10">
        <f>'Brentford'!$E$14</f>
        <v/>
      </c>
      <c r="E5" s="10">
        <f>'Brentford'!$E$16</f>
        <v/>
      </c>
      <c r="F5" s="10">
        <f>'Brentford'!$E$18</f>
        <v/>
      </c>
      <c r="G5" s="10">
        <f>'Brentford'!$E$20</f>
        <v/>
      </c>
      <c r="H5" s="10">
        <f>'Brentford'!$E$24</f>
        <v/>
      </c>
      <c r="I5" s="10">
        <f>'Brentford'!$E$25</f>
        <v/>
      </c>
      <c r="J5" s="10">
        <f>'Brentford'!$E$28</f>
        <v/>
      </c>
      <c r="K5" s="10">
        <f>'Brentford'!$E$29</f>
        <v/>
      </c>
      <c r="L5" s="10">
        <f>'Brentford'!$E$30</f>
        <v/>
      </c>
    </row>
    <row r="6">
      <c r="A6" s="6" t="inlineStr">
        <is>
          <t>Fulham</t>
        </is>
      </c>
      <c r="B6" s="6">
        <f>'Fulham'!$E$9</f>
        <v/>
      </c>
      <c r="C6" s="9">
        <f>'Fulham'!$E$12</f>
        <v/>
      </c>
      <c r="D6" s="9">
        <f>'Fulham'!$E$14</f>
        <v/>
      </c>
      <c r="E6" s="9">
        <f>'Fulham'!$E$16</f>
        <v/>
      </c>
      <c r="F6" s="9">
        <f>'Fulham'!$E$18</f>
        <v/>
      </c>
      <c r="G6" s="9">
        <f>'Fulham'!$E$20</f>
        <v/>
      </c>
      <c r="H6" s="9">
        <f>'Fulham'!$E$24</f>
        <v/>
      </c>
      <c r="I6" s="9">
        <f>'Fulham'!$E$25</f>
        <v/>
      </c>
      <c r="J6" s="9">
        <f>'Fulham'!$E$28</f>
        <v/>
      </c>
      <c r="K6" s="9">
        <f>'Fulham'!$E$29</f>
        <v/>
      </c>
      <c r="L6" s="9">
        <f>'Fulham'!$E$30</f>
        <v/>
      </c>
    </row>
    <row r="7">
      <c r="A7" s="8" t="inlineStr">
        <is>
          <t>Leeds United</t>
        </is>
      </c>
      <c r="B7" s="8">
        <f>'Leeds United'!$E$9</f>
        <v/>
      </c>
      <c r="C7" s="10">
        <f>'Leeds United'!$E$12</f>
        <v/>
      </c>
      <c r="D7" s="10">
        <f>'Leeds United'!$E$14</f>
        <v/>
      </c>
      <c r="E7" s="10">
        <f>'Leeds United'!$E$16</f>
        <v/>
      </c>
      <c r="F7" s="10">
        <f>'Leeds United'!$E$18</f>
        <v/>
      </c>
      <c r="G7" s="10">
        <f>'Leeds United'!$E$20</f>
        <v/>
      </c>
      <c r="H7" s="10">
        <f>'Leeds United'!$E$24</f>
        <v/>
      </c>
      <c r="I7" s="10">
        <f>'Leeds United'!$E$25</f>
        <v/>
      </c>
      <c r="J7" s="10">
        <f>'Leeds United'!$E$28</f>
        <v/>
      </c>
      <c r="K7" s="10">
        <f>'Leeds United'!$E$29</f>
        <v/>
      </c>
      <c r="L7" s="10">
        <f>'Leeds United'!$E$30</f>
        <v/>
      </c>
    </row>
    <row r="8">
      <c r="A8" s="6" t="inlineStr">
        <is>
          <t>Hull</t>
        </is>
      </c>
      <c r="B8" s="6">
        <f>'Hull'!$E$9</f>
        <v/>
      </c>
      <c r="C8" s="9">
        <f>'Hull'!$E$12</f>
        <v/>
      </c>
      <c r="D8" s="9">
        <f>'Hull'!$E$14</f>
        <v/>
      </c>
      <c r="E8" s="9">
        <f>'Hull'!$E$16</f>
        <v/>
      </c>
      <c r="F8" s="9">
        <f>'Hull'!$E$18</f>
        <v/>
      </c>
      <c r="G8" s="9">
        <f>'Hull'!$E$20</f>
        <v/>
      </c>
      <c r="H8" s="9">
        <f>'Hull'!$E$24</f>
        <v/>
      </c>
      <c r="I8" s="9">
        <f>'Hull'!$E$25</f>
        <v/>
      </c>
      <c r="J8" s="9">
        <f>'Hull'!$E$28</f>
        <v/>
      </c>
      <c r="K8" s="9">
        <f>'Hull'!$E$29</f>
        <v/>
      </c>
      <c r="L8" s="9">
        <f>'Hull'!$E$30</f>
        <v/>
      </c>
    </row>
    <row r="9">
      <c r="A9" s="8" t="inlineStr">
        <is>
          <t>Manchester United</t>
        </is>
      </c>
      <c r="B9" s="8">
        <f>'Manchester United'!$E$9</f>
        <v/>
      </c>
      <c r="C9" s="10">
        <f>'Manchester United'!$E$12</f>
        <v/>
      </c>
      <c r="D9" s="10">
        <f>'Manchester United'!$E$14</f>
        <v/>
      </c>
      <c r="E9" s="10">
        <f>'Manchester United'!$E$16</f>
        <v/>
      </c>
      <c r="F9" s="10">
        <f>'Manchester United'!$E$18</f>
        <v/>
      </c>
      <c r="G9" s="10">
        <f>'Manchester United'!$E$20</f>
        <v/>
      </c>
      <c r="H9" s="10">
        <f>'Manchester United'!$E$24</f>
        <v/>
      </c>
      <c r="I9" s="10">
        <f>'Manchester United'!$E$25</f>
        <v/>
      </c>
      <c r="J9" s="10">
        <f>'Manchester United'!$E$28</f>
        <v/>
      </c>
      <c r="K9" s="10">
        <f>'Manchester United'!$E$29</f>
        <v/>
      </c>
      <c r="L9" s="10">
        <f>'Manchester United'!$E$30</f>
        <v/>
      </c>
    </row>
    <row r="10">
      <c r="A10" s="6" t="inlineStr">
        <is>
          <t>Everton</t>
        </is>
      </c>
      <c r="B10" s="6">
        <f>'Everton'!$E$9</f>
        <v/>
      </c>
      <c r="C10" s="9">
        <f>'Everton'!$E$12</f>
        <v/>
      </c>
      <c r="D10" s="9">
        <f>'Everton'!$E$14</f>
        <v/>
      </c>
      <c r="E10" s="9">
        <f>'Everton'!$E$16</f>
        <v/>
      </c>
      <c r="F10" s="9">
        <f>'Everton'!$E$18</f>
        <v/>
      </c>
      <c r="G10" s="9">
        <f>'Everton'!$E$20</f>
        <v/>
      </c>
      <c r="H10" s="9">
        <f>'Everton'!$E$24</f>
        <v/>
      </c>
      <c r="I10" s="9">
        <f>'Everton'!$E$25</f>
        <v/>
      </c>
      <c r="J10" s="9">
        <f>'Everton'!$E$28</f>
        <v/>
      </c>
      <c r="K10" s="9">
        <f>'Everton'!$E$29</f>
        <v/>
      </c>
      <c r="L10" s="9">
        <f>'Everton'!$E$30</f>
        <v/>
      </c>
    </row>
    <row r="11">
      <c r="A11" s="8" t="inlineStr">
        <is>
          <t>Nottingham Forest</t>
        </is>
      </c>
      <c r="B11" s="8">
        <f>'Nottingham Forest'!$E$9</f>
        <v/>
      </c>
      <c r="C11" s="10">
        <f>'Nottingham Forest'!$E$12</f>
        <v/>
      </c>
      <c r="D11" s="10">
        <f>'Nottingham Forest'!$E$14</f>
        <v/>
      </c>
      <c r="E11" s="10">
        <f>'Nottingham Forest'!$E$16</f>
        <v/>
      </c>
      <c r="F11" s="10">
        <f>'Nottingham Forest'!$E$18</f>
        <v/>
      </c>
      <c r="G11" s="10">
        <f>'Nottingham Forest'!$E$20</f>
        <v/>
      </c>
      <c r="H11" s="10">
        <f>'Nottingham Forest'!$E$24</f>
        <v/>
      </c>
      <c r="I11" s="10">
        <f>'Nottingham Forest'!$E$25</f>
        <v/>
      </c>
      <c r="J11" s="10">
        <f>'Nottingham Forest'!$E$28</f>
        <v/>
      </c>
      <c r="K11" s="10">
        <f>'Nottingham Forest'!$E$29</f>
        <v/>
      </c>
      <c r="L11" s="10">
        <f>'Nottingham Forest'!$E$30</f>
        <v/>
      </c>
    </row>
    <row r="12">
      <c r="A12" s="6" t="inlineStr">
        <is>
          <t>Crystal Palace</t>
        </is>
      </c>
      <c r="B12" s="6">
        <f>'Crystal Palace'!$E$9</f>
        <v/>
      </c>
      <c r="C12" s="9">
        <f>'Crystal Palace'!$E$12</f>
        <v/>
      </c>
      <c r="D12" s="9">
        <f>'Crystal Palace'!$E$14</f>
        <v/>
      </c>
      <c r="E12" s="9">
        <f>'Crystal Palace'!$E$16</f>
        <v/>
      </c>
      <c r="F12" s="9">
        <f>'Crystal Palace'!$E$18</f>
        <v/>
      </c>
      <c r="G12" s="9">
        <f>'Crystal Palace'!$E$20</f>
        <v/>
      </c>
      <c r="H12" s="9">
        <f>'Crystal Palace'!$E$24</f>
        <v/>
      </c>
      <c r="I12" s="9">
        <f>'Crystal Palace'!$E$25</f>
        <v/>
      </c>
      <c r="J12" s="9">
        <f>'Crystal Palace'!$E$28</f>
        <v/>
      </c>
      <c r="K12" s="9">
        <f>'Crystal Palace'!$E$29</f>
        <v/>
      </c>
      <c r="L12" s="9">
        <f>'Crystal Palace'!$E$30</f>
        <v/>
      </c>
    </row>
    <row r="13">
      <c r="A13" s="8" t="inlineStr">
        <is>
          <t>Coventry</t>
        </is>
      </c>
      <c r="B13" s="8">
        <f>'Coventry'!$E$9</f>
        <v/>
      </c>
      <c r="C13" s="10">
        <f>'Coventry'!$E$12</f>
        <v/>
      </c>
      <c r="D13" s="10">
        <f>'Coventry'!$E$14</f>
        <v/>
      </c>
      <c r="E13" s="10">
        <f>'Coventry'!$E$16</f>
        <v/>
      </c>
      <c r="F13" s="10">
        <f>'Coventry'!$E$18</f>
        <v/>
      </c>
      <c r="G13" s="10">
        <f>'Coventry'!$E$20</f>
        <v/>
      </c>
      <c r="H13" s="10">
        <f>'Coventry'!$E$24</f>
        <v/>
      </c>
      <c r="I13" s="10">
        <f>'Coventry'!$E$25</f>
        <v/>
      </c>
      <c r="J13" s="10">
        <f>'Coventry'!$E$28</f>
        <v/>
      </c>
      <c r="K13" s="10">
        <f>'Coventry'!$E$29</f>
        <v/>
      </c>
      <c r="L13" s="10">
        <f>'Coventry'!$E$30</f>
        <v/>
      </c>
    </row>
    <row r="14">
      <c r="A14" s="6" t="inlineStr">
        <is>
          <t>Bournemouth</t>
        </is>
      </c>
      <c r="B14" s="6">
        <f>'Bournemouth'!$E$9</f>
        <v/>
      </c>
      <c r="C14" s="9">
        <f>'Bournemouth'!$E$12</f>
        <v/>
      </c>
      <c r="D14" s="9">
        <f>'Bournemouth'!$E$14</f>
        <v/>
      </c>
      <c r="E14" s="9">
        <f>'Bournemouth'!$E$16</f>
        <v/>
      </c>
      <c r="F14" s="9">
        <f>'Bournemouth'!$E$18</f>
        <v/>
      </c>
      <c r="G14" s="9">
        <f>'Bournemouth'!$E$20</f>
        <v/>
      </c>
      <c r="H14" s="9">
        <f>'Bournemouth'!$E$24</f>
        <v/>
      </c>
      <c r="I14" s="9">
        <f>'Bournemouth'!$E$25</f>
        <v/>
      </c>
      <c r="J14" s="9">
        <f>'Bournemouth'!$E$28</f>
        <v/>
      </c>
      <c r="K14" s="9">
        <f>'Bournemouth'!$E$29</f>
        <v/>
      </c>
      <c r="L14" s="9">
        <f>'Bournemouth'!$E$30</f>
        <v/>
      </c>
    </row>
    <row r="15">
      <c r="A15" s="8" t="inlineStr">
        <is>
          <t>Manchester City</t>
        </is>
      </c>
      <c r="B15" s="8">
        <f>'Manchester City'!$E$9</f>
        <v/>
      </c>
      <c r="C15" s="10">
        <f>'Manchester City'!$E$12</f>
        <v/>
      </c>
      <c r="D15" s="10">
        <f>'Manchester City'!$E$14</f>
        <v/>
      </c>
      <c r="E15" s="10">
        <f>'Manchester City'!$E$16</f>
        <v/>
      </c>
      <c r="F15" s="10">
        <f>'Manchester City'!$E$18</f>
        <v/>
      </c>
      <c r="G15" s="10">
        <f>'Manchester City'!$E$20</f>
        <v/>
      </c>
      <c r="H15" s="10">
        <f>'Manchester City'!$E$24</f>
        <v/>
      </c>
      <c r="I15" s="10">
        <f>'Manchester City'!$E$25</f>
        <v/>
      </c>
      <c r="J15" s="10">
        <f>'Manchester City'!$E$28</f>
        <v/>
      </c>
      <c r="K15" s="10">
        <f>'Manchester City'!$E$29</f>
        <v/>
      </c>
      <c r="L15" s="10">
        <f>'Manchester City'!$E$30</f>
        <v/>
      </c>
    </row>
    <row r="16">
      <c r="A16" s="6" t="inlineStr">
        <is>
          <t>Arsenal</t>
        </is>
      </c>
      <c r="B16" s="6">
        <f>'Arsenal'!$E$9</f>
        <v/>
      </c>
      <c r="C16" s="9">
        <f>'Arsenal'!$E$12</f>
        <v/>
      </c>
      <c r="D16" s="9">
        <f>'Arsenal'!$E$14</f>
        <v/>
      </c>
      <c r="E16" s="9">
        <f>'Arsenal'!$E$16</f>
        <v/>
      </c>
      <c r="F16" s="9">
        <f>'Arsenal'!$E$18</f>
        <v/>
      </c>
      <c r="G16" s="9">
        <f>'Arsenal'!$E$20</f>
        <v/>
      </c>
      <c r="H16" s="9">
        <f>'Arsenal'!$E$24</f>
        <v/>
      </c>
      <c r="I16" s="9">
        <f>'Arsenal'!$E$25</f>
        <v/>
      </c>
      <c r="J16" s="9">
        <f>'Arsenal'!$E$28</f>
        <v/>
      </c>
      <c r="K16" s="9">
        <f>'Arsenal'!$E$29</f>
        <v/>
      </c>
      <c r="L16" s="9">
        <f>'Arsenal'!$E$30</f>
        <v/>
      </c>
    </row>
    <row r="17">
      <c r="A17" s="8" t="inlineStr">
        <is>
          <t>Chelsea</t>
        </is>
      </c>
      <c r="B17" s="8">
        <f>'Chelsea'!$E$9</f>
        <v/>
      </c>
      <c r="C17" s="10">
        <f>'Chelsea'!$E$12</f>
        <v/>
      </c>
      <c r="D17" s="10">
        <f>'Chelsea'!$E$14</f>
        <v/>
      </c>
      <c r="E17" s="10">
        <f>'Chelsea'!$E$16</f>
        <v/>
      </c>
      <c r="F17" s="10">
        <f>'Chelsea'!$E$18</f>
        <v/>
      </c>
      <c r="G17" s="10">
        <f>'Chelsea'!$E$20</f>
        <v/>
      </c>
      <c r="H17" s="10">
        <f>'Chelsea'!$E$24</f>
        <v/>
      </c>
      <c r="I17" s="10">
        <f>'Chelsea'!$E$25</f>
        <v/>
      </c>
      <c r="J17" s="10">
        <f>'Chelsea'!$E$28</f>
        <v/>
      </c>
      <c r="K17" s="10">
        <f>'Chelsea'!$E$29</f>
        <v/>
      </c>
      <c r="L17" s="10">
        <f>'Chelsea'!$E$30</f>
        <v/>
      </c>
    </row>
    <row r="18">
      <c r="A18" s="6" t="inlineStr">
        <is>
          <t>Aston Villa</t>
        </is>
      </c>
      <c r="B18" s="6">
        <f>'Aston Villa'!$E$9</f>
        <v/>
      </c>
      <c r="C18" s="9">
        <f>'Aston Villa'!$E$12</f>
        <v/>
      </c>
      <c r="D18" s="9">
        <f>'Aston Villa'!$E$14</f>
        <v/>
      </c>
      <c r="E18" s="9">
        <f>'Aston Villa'!$E$16</f>
        <v/>
      </c>
      <c r="F18" s="9">
        <f>'Aston Villa'!$E$18</f>
        <v/>
      </c>
      <c r="G18" s="9">
        <f>'Aston Villa'!$E$20</f>
        <v/>
      </c>
      <c r="H18" s="9">
        <f>'Aston Villa'!$E$24</f>
        <v/>
      </c>
      <c r="I18" s="9">
        <f>'Aston Villa'!$E$25</f>
        <v/>
      </c>
      <c r="J18" s="9">
        <f>'Aston Villa'!$E$28</f>
        <v/>
      </c>
      <c r="K18" s="9">
        <f>'Aston Villa'!$E$29</f>
        <v/>
      </c>
      <c r="L18" s="9">
        <f>'Aston Villa'!$E$30</f>
        <v/>
      </c>
    </row>
    <row r="19">
      <c r="A19" s="8" t="inlineStr">
        <is>
          <t>Liverpool</t>
        </is>
      </c>
      <c r="B19" s="8">
        <f>'Liverpool'!$E$9</f>
        <v/>
      </c>
      <c r="C19" s="10">
        <f>'Liverpool'!$E$12</f>
        <v/>
      </c>
      <c r="D19" s="10">
        <f>'Liverpool'!$E$14</f>
        <v/>
      </c>
      <c r="E19" s="10">
        <f>'Liverpool'!$E$16</f>
        <v/>
      </c>
      <c r="F19" s="10">
        <f>'Liverpool'!$E$18</f>
        <v/>
      </c>
      <c r="G19" s="10">
        <f>'Liverpool'!$E$20</f>
        <v/>
      </c>
      <c r="H19" s="10">
        <f>'Liverpool'!$E$24</f>
        <v/>
      </c>
      <c r="I19" s="10">
        <f>'Liverpool'!$E$25</f>
        <v/>
      </c>
      <c r="J19" s="10">
        <f>'Liverpool'!$E$28</f>
        <v/>
      </c>
      <c r="K19" s="10">
        <f>'Liverpool'!$E$29</f>
        <v/>
      </c>
      <c r="L19" s="10">
        <f>'Liverpool'!$E$30</f>
        <v/>
      </c>
    </row>
    <row r="20">
      <c r="A20" s="6" t="inlineStr">
        <is>
          <t>Newcastle United</t>
        </is>
      </c>
      <c r="B20" s="6">
        <f>'Newcastle United'!$E$9</f>
        <v/>
      </c>
      <c r="C20" s="9">
        <f>'Newcastle United'!$E$12</f>
        <v/>
      </c>
      <c r="D20" s="9">
        <f>'Newcastle United'!$E$14</f>
        <v/>
      </c>
      <c r="E20" s="9">
        <f>'Newcastle United'!$E$16</f>
        <v/>
      </c>
      <c r="F20" s="9">
        <f>'Newcastle United'!$E$18</f>
        <v/>
      </c>
      <c r="G20" s="9">
        <f>'Newcastle United'!$E$20</f>
        <v/>
      </c>
      <c r="H20" s="9">
        <f>'Newcastle United'!$E$24</f>
        <v/>
      </c>
      <c r="I20" s="9">
        <f>'Newcastle United'!$E$25</f>
        <v/>
      </c>
      <c r="J20" s="9">
        <f>'Newcastle United'!$E$28</f>
        <v/>
      </c>
      <c r="K20" s="9">
        <f>'Newcastle United'!$E$29</f>
        <v/>
      </c>
      <c r="L20" s="9">
        <f>'Newcastle United'!$E$30</f>
        <v/>
      </c>
    </row>
    <row r="21">
      <c r="A21" s="8" t="inlineStr">
        <is>
          <t>Tottenham Hotspur</t>
        </is>
      </c>
      <c r="B21" s="8">
        <f>'Tottenham Hotspur'!$E$9</f>
        <v/>
      </c>
      <c r="C21" s="10">
        <f>'Tottenham Hotspur'!$E$12</f>
        <v/>
      </c>
      <c r="D21" s="10">
        <f>'Tottenham Hotspur'!$E$14</f>
        <v/>
      </c>
      <c r="E21" s="10">
        <f>'Tottenham Hotspur'!$E$16</f>
        <v/>
      </c>
      <c r="F21" s="10">
        <f>'Tottenham Hotspur'!$E$18</f>
        <v/>
      </c>
      <c r="G21" s="10">
        <f>'Tottenham Hotspur'!$E$20</f>
        <v/>
      </c>
      <c r="H21" s="10">
        <f>'Tottenham Hotspur'!$E$24</f>
        <v/>
      </c>
      <c r="I21" s="10">
        <f>'Tottenham Hotspur'!$E$25</f>
        <v/>
      </c>
      <c r="J21" s="10">
        <f>'Tottenham Hotspur'!$E$28</f>
        <v/>
      </c>
      <c r="K21" s="10">
        <f>'Tottenham Hotspur'!$E$29</f>
        <v/>
      </c>
      <c r="L21" s="10">
        <f>'Tottenham Hotspur'!$E$30</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Sunderland</t>
        </is>
      </c>
      <c r="C2" s="6">
        <f>'Sunderland'!$E$9</f>
        <v/>
      </c>
      <c r="D2" s="9">
        <f>'Sunderland'!$E$28</f>
        <v/>
      </c>
      <c r="E2" s="9">
        <f>'Sunderland'!$E$29</f>
        <v/>
      </c>
      <c r="F2" s="9">
        <f>D2-E2</f>
        <v/>
      </c>
    </row>
    <row r="3">
      <c r="A3" s="7" t="n">
        <v>2</v>
      </c>
      <c r="B3" s="8" t="inlineStr">
        <is>
          <t>Ipswich</t>
        </is>
      </c>
      <c r="C3" s="8">
        <f>'Ipswich'!$E$9</f>
        <v/>
      </c>
      <c r="D3" s="10">
        <f>'Ipswich'!$E$28</f>
        <v/>
      </c>
      <c r="E3" s="10">
        <f>'Ipswich'!$E$29</f>
        <v/>
      </c>
      <c r="F3" s="10">
        <f>D3-E3</f>
        <v/>
      </c>
    </row>
    <row r="4">
      <c r="A4" s="5" t="n">
        <v>3</v>
      </c>
      <c r="B4" s="6" t="inlineStr">
        <is>
          <t>Hull</t>
        </is>
      </c>
      <c r="C4" s="6">
        <f>'Hull'!$E$9</f>
        <v/>
      </c>
      <c r="D4" s="9">
        <f>'Hull'!$E$28</f>
        <v/>
      </c>
      <c r="E4" s="9">
        <f>'Hull'!$E$29</f>
        <v/>
      </c>
      <c r="F4" s="9">
        <f>D4-E4</f>
        <v/>
      </c>
    </row>
    <row r="5">
      <c r="A5" s="7" t="n">
        <v>4</v>
      </c>
      <c r="B5" s="8" t="inlineStr">
        <is>
          <t>Nottingham Forest</t>
        </is>
      </c>
      <c r="C5" s="8">
        <f>'Nottingham Forest'!$E$9</f>
        <v/>
      </c>
      <c r="D5" s="10">
        <f>'Nottingham Forest'!$E$28</f>
        <v/>
      </c>
      <c r="E5" s="10">
        <f>'Nottingham Forest'!$E$29</f>
        <v/>
      </c>
      <c r="F5" s="10">
        <f>D5-E5</f>
        <v/>
      </c>
    </row>
    <row r="6">
      <c r="A6" s="5" t="n">
        <v>5</v>
      </c>
      <c r="B6" s="6" t="inlineStr">
        <is>
          <t>Brighton &amp; Hove Albion</t>
        </is>
      </c>
      <c r="C6" s="6">
        <f>'Brighton &amp; Hove Albion'!$E$9</f>
        <v/>
      </c>
      <c r="D6" s="9">
        <f>'Brighton &amp; Hove Albion'!$E$28</f>
        <v/>
      </c>
      <c r="E6" s="9">
        <f>'Brighton &amp; Hove Albion'!$E$29</f>
        <v/>
      </c>
      <c r="F6" s="9">
        <f>D6-E6</f>
        <v/>
      </c>
    </row>
    <row r="7">
      <c r="A7" s="7" t="n">
        <v>6</v>
      </c>
      <c r="B7" s="8" t="inlineStr">
        <is>
          <t>Bournemouth</t>
        </is>
      </c>
      <c r="C7" s="8">
        <f>'Bournemouth'!$E$9</f>
        <v/>
      </c>
      <c r="D7" s="10">
        <f>'Bournemouth'!$E$28</f>
        <v/>
      </c>
      <c r="E7" s="10">
        <f>'Bournemouth'!$E$29</f>
        <v/>
      </c>
      <c r="F7" s="10">
        <f>D7-E7</f>
        <v/>
      </c>
    </row>
    <row r="8">
      <c r="A8" s="5" t="n">
        <v>7</v>
      </c>
      <c r="B8" s="6" t="inlineStr">
        <is>
          <t>Brentford</t>
        </is>
      </c>
      <c r="C8" s="6">
        <f>'Brentford'!$E$9</f>
        <v/>
      </c>
      <c r="D8" s="9">
        <f>'Brentford'!$E$28</f>
        <v/>
      </c>
      <c r="E8" s="9">
        <f>'Brentford'!$E$29</f>
        <v/>
      </c>
      <c r="F8" s="9">
        <f>D8-E8</f>
        <v/>
      </c>
    </row>
    <row r="9">
      <c r="A9" s="7" t="n">
        <v>8</v>
      </c>
      <c r="B9" s="8" t="inlineStr">
        <is>
          <t>Leeds United</t>
        </is>
      </c>
      <c r="C9" s="8">
        <f>'Leeds United'!$E$9</f>
        <v/>
      </c>
      <c r="D9" s="10">
        <f>'Leeds United'!$E$28</f>
        <v/>
      </c>
      <c r="E9" s="10">
        <f>'Leeds United'!$E$29</f>
        <v/>
      </c>
      <c r="F9" s="10">
        <f>D9-E9</f>
        <v/>
      </c>
    </row>
    <row r="10">
      <c r="A10" s="5" t="n">
        <v>9</v>
      </c>
      <c r="B10" s="6" t="inlineStr">
        <is>
          <t>Everton</t>
        </is>
      </c>
      <c r="C10" s="6">
        <f>'Everton'!$E$9</f>
        <v/>
      </c>
      <c r="D10" s="9">
        <f>'Everton'!$E$28</f>
        <v/>
      </c>
      <c r="E10" s="9">
        <f>'Everton'!$E$29</f>
        <v/>
      </c>
      <c r="F10" s="9">
        <f>D10-E10</f>
        <v/>
      </c>
    </row>
    <row r="11">
      <c r="A11" s="7" t="n">
        <v>10</v>
      </c>
      <c r="B11" s="8" t="inlineStr">
        <is>
          <t>Coventry</t>
        </is>
      </c>
      <c r="C11" s="8">
        <f>'Coventry'!$E$9</f>
        <v/>
      </c>
      <c r="D11" s="10">
        <f>'Coventry'!$E$28</f>
        <v/>
      </c>
      <c r="E11" s="10">
        <f>'Coventry'!$E$29</f>
        <v/>
      </c>
      <c r="F11" s="10">
        <f>D11-E11</f>
        <v/>
      </c>
    </row>
    <row r="12">
      <c r="A12" s="5" t="n">
        <v>11</v>
      </c>
      <c r="B12" s="6" t="inlineStr">
        <is>
          <t>Fulham</t>
        </is>
      </c>
      <c r="C12" s="6">
        <f>'Fulham'!$E$9</f>
        <v/>
      </c>
      <c r="D12" s="9">
        <f>'Fulham'!$E$28</f>
        <v/>
      </c>
      <c r="E12" s="9">
        <f>'Fulham'!$E$29</f>
        <v/>
      </c>
      <c r="F12" s="9">
        <f>D12-E12</f>
        <v/>
      </c>
    </row>
    <row r="13">
      <c r="A13" s="7" t="n">
        <v>12</v>
      </c>
      <c r="B13" s="8" t="inlineStr">
        <is>
          <t>Arsenal</t>
        </is>
      </c>
      <c r="C13" s="8">
        <f>'Arsenal'!$E$9</f>
        <v/>
      </c>
      <c r="D13" s="10">
        <f>'Arsenal'!$E$28</f>
        <v/>
      </c>
      <c r="E13" s="10">
        <f>'Arsenal'!$E$29</f>
        <v/>
      </c>
      <c r="F13" s="10">
        <f>D13-E13</f>
        <v/>
      </c>
    </row>
    <row r="14">
      <c r="A14" s="5" t="n">
        <v>13</v>
      </c>
      <c r="B14" s="6" t="inlineStr">
        <is>
          <t>Crystal Palace</t>
        </is>
      </c>
      <c r="C14" s="6">
        <f>'Crystal Palace'!$E$9</f>
        <v/>
      </c>
      <c r="D14" s="9">
        <f>'Crystal Palace'!$E$28</f>
        <v/>
      </c>
      <c r="E14" s="9">
        <f>'Crystal Palace'!$E$29</f>
        <v/>
      </c>
      <c r="F14" s="9">
        <f>D14-E14</f>
        <v/>
      </c>
    </row>
    <row r="15">
      <c r="A15" s="7" t="n">
        <v>14</v>
      </c>
      <c r="B15" s="8" t="inlineStr">
        <is>
          <t>Manchester United</t>
        </is>
      </c>
      <c r="C15" s="8">
        <f>'Manchester United'!$E$9</f>
        <v/>
      </c>
      <c r="D15" s="10">
        <f>'Manchester United'!$E$28</f>
        <v/>
      </c>
      <c r="E15" s="10">
        <f>'Manchester United'!$E$29</f>
        <v/>
      </c>
      <c r="F15" s="10">
        <f>D15-E15</f>
        <v/>
      </c>
    </row>
    <row r="16">
      <c r="A16" s="5" t="n">
        <v>15</v>
      </c>
      <c r="B16" s="6" t="inlineStr">
        <is>
          <t>Liverpool</t>
        </is>
      </c>
      <c r="C16" s="6">
        <f>'Liverpool'!$E$9</f>
        <v/>
      </c>
      <c r="D16" s="9">
        <f>'Liverpool'!$E$28</f>
        <v/>
      </c>
      <c r="E16" s="9">
        <f>'Liverpool'!$E$29</f>
        <v/>
      </c>
      <c r="F16" s="9">
        <f>D16-E16</f>
        <v/>
      </c>
    </row>
    <row r="17">
      <c r="A17" s="7" t="n">
        <v>16</v>
      </c>
      <c r="B17" s="8" t="inlineStr">
        <is>
          <t>Manchester City</t>
        </is>
      </c>
      <c r="C17" s="8">
        <f>'Manchester City'!$E$9</f>
        <v/>
      </c>
      <c r="D17" s="10">
        <f>'Manchester City'!$E$28</f>
        <v/>
      </c>
      <c r="E17" s="10">
        <f>'Manchester City'!$E$29</f>
        <v/>
      </c>
      <c r="F17" s="10">
        <f>D17-E17</f>
        <v/>
      </c>
    </row>
    <row r="18">
      <c r="A18" s="5" t="n">
        <v>17</v>
      </c>
      <c r="B18" s="6" t="inlineStr">
        <is>
          <t>Aston Villa</t>
        </is>
      </c>
      <c r="C18" s="6">
        <f>'Aston Villa'!$E$9</f>
        <v/>
      </c>
      <c r="D18" s="9">
        <f>'Aston Villa'!$E$28</f>
        <v/>
      </c>
      <c r="E18" s="9">
        <f>'Aston Villa'!$E$29</f>
        <v/>
      </c>
      <c r="F18" s="9">
        <f>D18-E18</f>
        <v/>
      </c>
    </row>
    <row r="19">
      <c r="A19" s="7" t="n">
        <v>18</v>
      </c>
      <c r="B19" s="8" t="inlineStr">
        <is>
          <t>Tottenham Hotspur</t>
        </is>
      </c>
      <c r="C19" s="8">
        <f>'Tottenham Hotspur'!$E$9</f>
        <v/>
      </c>
      <c r="D19" s="10">
        <f>'Tottenham Hotspur'!$E$28</f>
        <v/>
      </c>
      <c r="E19" s="10">
        <f>'Tottenham Hotspur'!$E$29</f>
        <v/>
      </c>
      <c r="F19" s="10">
        <f>D19-E19</f>
        <v/>
      </c>
    </row>
    <row r="20">
      <c r="A20" s="5" t="n">
        <v>19</v>
      </c>
      <c r="B20" s="6" t="inlineStr">
        <is>
          <t>Chelsea</t>
        </is>
      </c>
      <c r="C20" s="6">
        <f>'Chelsea'!$E$9</f>
        <v/>
      </c>
      <c r="D20" s="9">
        <f>'Chelsea'!$E$28</f>
        <v/>
      </c>
      <c r="E20" s="9">
        <f>'Chelsea'!$E$29</f>
        <v/>
      </c>
      <c r="F20" s="9">
        <f>D20-E20</f>
        <v/>
      </c>
    </row>
    <row r="21">
      <c r="A21" s="7" t="n">
        <v>20</v>
      </c>
      <c r="B21" s="8" t="inlineStr">
        <is>
          <t>Newcastle United</t>
        </is>
      </c>
      <c r="C21" s="8">
        <f>'Newcastle United'!$E$9</f>
        <v/>
      </c>
      <c r="D21" s="10">
        <f>'Newcastle United'!$E$28</f>
        <v/>
      </c>
      <c r="E21" s="10">
        <f>'Newcastle United'!$E$29</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50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Everton</t>
        </is>
      </c>
      <c r="C5" s="8" t="inlineStr">
        <is>
          <t>Crystal Palace</t>
        </is>
      </c>
      <c r="D5" s="8" t="n">
        <v>2</v>
      </c>
      <c r="E5" s="8" t="n">
        <v>0</v>
      </c>
      <c r="F5" s="10" t="n">
        <v>1.49</v>
      </c>
      <c r="G5" s="10" t="n">
        <v>1.15</v>
      </c>
      <c r="H5" s="10" t="n">
        <v>1.12</v>
      </c>
      <c r="I5" s="10" t="n">
        <v>1.96</v>
      </c>
      <c r="J5" s="10" t="n">
        <v>-0.37</v>
      </c>
      <c r="K5" s="10" t="n">
        <v>0.8100000000000001</v>
      </c>
      <c r="L5" s="10" t="n">
        <v>-1.18</v>
      </c>
      <c r="M5" s="10" t="n">
        <v>0.44</v>
      </c>
      <c r="N5" s="10" t="n">
        <v>0.86</v>
      </c>
      <c r="O5" s="10" t="n">
        <v>1.92</v>
      </c>
      <c r="P5" s="10" t="n">
        <v>1.6</v>
      </c>
      <c r="Q5" s="10" t="n">
        <v>1.14</v>
      </c>
    </row>
    <row r="6">
      <c r="A6" s="6" t="inlineStr">
        <is>
          <t>2026-08-22</t>
        </is>
      </c>
      <c r="B6" s="6" t="inlineStr">
        <is>
          <t>Brentford</t>
        </is>
      </c>
      <c r="C6" s="6" t="inlineStr">
        <is>
          <t>Tottenham Hotspur</t>
        </is>
      </c>
      <c r="D6" s="6" t="n">
        <v>3</v>
      </c>
      <c r="E6" s="6" t="n">
        <v>0</v>
      </c>
      <c r="F6" s="9" t="n">
        <v>1.53</v>
      </c>
      <c r="G6" s="9" t="n">
        <v>1.41</v>
      </c>
      <c r="H6" s="9" t="n">
        <v>3.87</v>
      </c>
      <c r="I6" s="9" t="n">
        <v>0.57</v>
      </c>
      <c r="J6" s="9" t="n">
        <v>2.34</v>
      </c>
      <c r="K6" s="9" t="n">
        <v>-0.84</v>
      </c>
      <c r="L6" s="9" t="n">
        <v>3.18</v>
      </c>
      <c r="M6" s="9" t="n">
        <v>1.5</v>
      </c>
      <c r="N6" s="9" t="n">
        <v>2.81</v>
      </c>
      <c r="O6" s="9" t="n">
        <v>0.12</v>
      </c>
      <c r="P6" s="9" t="n">
        <v>1.45</v>
      </c>
      <c r="Q6" s="9" t="n">
        <v>1.3</v>
      </c>
    </row>
    <row r="7">
      <c r="A7" s="8" t="inlineStr">
        <is>
          <t>2026-08-22</t>
        </is>
      </c>
      <c r="B7" s="8" t="inlineStr">
        <is>
          <t>Nottingham Forest</t>
        </is>
      </c>
      <c r="C7" s="8" t="inlineStr">
        <is>
          <t>Leeds United</t>
        </is>
      </c>
      <c r="D7" s="8" t="n">
        <v>0</v>
      </c>
      <c r="E7" s="8" t="n">
        <v>1</v>
      </c>
      <c r="F7" s="10" t="n">
        <v>1.43</v>
      </c>
      <c r="G7" s="10" t="n">
        <v>1.2</v>
      </c>
      <c r="H7" s="10" t="n">
        <v>0.66</v>
      </c>
      <c r="I7" s="10" t="n">
        <v>0.47</v>
      </c>
      <c r="J7" s="10" t="n">
        <v>-0.77</v>
      </c>
      <c r="K7" s="10" t="n">
        <v>-0.73</v>
      </c>
      <c r="L7" s="10" t="n">
        <v>-0.04</v>
      </c>
      <c r="M7" s="10" t="n">
        <v>-1.51</v>
      </c>
      <c r="N7" s="10" t="n">
        <v>1.47</v>
      </c>
      <c r="O7" s="10" t="n">
        <v>1.1</v>
      </c>
      <c r="P7" s="10" t="n">
        <v>1.53</v>
      </c>
      <c r="Q7" s="10" t="n">
        <v>1.21</v>
      </c>
    </row>
    <row r="8">
      <c r="A8" s="6" t="inlineStr">
        <is>
          <t>2026-08-23</t>
        </is>
      </c>
      <c r="B8" s="6" t="inlineStr">
        <is>
          <t>Manchester City</t>
        </is>
      </c>
      <c r="C8" s="6" t="inlineStr">
        <is>
          <t>Bournemouth</t>
        </is>
      </c>
      <c r="D8" s="6" t="n">
        <v>2</v>
      </c>
      <c r="E8" s="6" t="n">
        <v>1</v>
      </c>
      <c r="F8" s="9" t="n">
        <v>2.32</v>
      </c>
      <c r="G8" s="9" t="n">
        <v>1.09</v>
      </c>
      <c r="H8" s="9" t="n">
        <v>2.25</v>
      </c>
      <c r="I8" s="9" t="n">
        <v>0.65</v>
      </c>
      <c r="J8" s="9" t="n">
        <v>-0.07000000000000001</v>
      </c>
      <c r="K8" s="9" t="n">
        <v>-0.44</v>
      </c>
      <c r="L8" s="9" t="n">
        <v>0.37</v>
      </c>
      <c r="M8" s="9" t="n">
        <v>-0.51</v>
      </c>
      <c r="N8" s="9" t="n">
        <v>2.38</v>
      </c>
      <c r="O8" s="9" t="n">
        <v>0.45</v>
      </c>
      <c r="P8" s="9" t="n">
        <v>2.13</v>
      </c>
      <c r="Q8" s="9" t="n">
        <v>0.68</v>
      </c>
    </row>
    <row r="9">
      <c r="A9" s="8" t="inlineStr">
        <is>
          <t>2026-08-23</t>
        </is>
      </c>
      <c r="B9" s="8" t="inlineStr">
        <is>
          <t>Newcastle United</t>
        </is>
      </c>
      <c r="C9" s="8" t="inlineStr">
        <is>
          <t>Liverpool</t>
        </is>
      </c>
      <c r="D9" s="8" t="n">
        <v>2</v>
      </c>
      <c r="E9" s="8" t="n">
        <v>2</v>
      </c>
      <c r="F9" s="10" t="n">
        <v>1.29</v>
      </c>
      <c r="G9" s="10" t="n">
        <v>1.92</v>
      </c>
      <c r="H9" s="10" t="n">
        <v>1.58</v>
      </c>
      <c r="I9" s="10" t="n">
        <v>2.98</v>
      </c>
      <c r="J9" s="10" t="n">
        <v>0.29</v>
      </c>
      <c r="K9" s="10" t="n">
        <v>1.06</v>
      </c>
      <c r="L9" s="10" t="n">
        <v>-0.77</v>
      </c>
      <c r="M9" s="10" t="n">
        <v>1.35</v>
      </c>
      <c r="N9" s="10" t="n">
        <v>0.7</v>
      </c>
      <c r="O9" s="10" t="n">
        <v>2.14</v>
      </c>
      <c r="P9" s="10" t="n">
        <v>0.99</v>
      </c>
      <c r="Q9" s="10" t="n">
        <v>1.78</v>
      </c>
    </row>
    <row r="10">
      <c r="A10" s="6" t="inlineStr">
        <is>
          <t>2026-08-23</t>
        </is>
      </c>
      <c r="B10" s="6" t="inlineStr">
        <is>
          <t>Brighton &amp; Hove Albion</t>
        </is>
      </c>
      <c r="C10" s="6" t="inlineStr">
        <is>
          <t>Aston Villa</t>
        </is>
      </c>
      <c r="D10" s="6" t="n">
        <v>4</v>
      </c>
      <c r="E10" s="6" t="n">
        <v>0</v>
      </c>
      <c r="F10" s="9" t="n">
        <v>1.62</v>
      </c>
      <c r="G10" s="9" t="n">
        <v>1.34</v>
      </c>
      <c r="H10" s="9" t="n">
        <v>3.77</v>
      </c>
      <c r="I10" s="9" t="n">
        <v>0.29</v>
      </c>
      <c r="J10" s="9" t="n">
        <v>2.15</v>
      </c>
      <c r="K10" s="9" t="n">
        <v>-1.05</v>
      </c>
      <c r="L10" s="9" t="n">
        <v>3.2</v>
      </c>
      <c r="M10" s="9" t="n">
        <v>1.1</v>
      </c>
      <c r="N10" s="9" t="n">
        <v>2.88</v>
      </c>
      <c r="O10" s="9" t="n">
        <v>0.07000000000000001</v>
      </c>
      <c r="P10" s="9" t="n">
        <v>1.56</v>
      </c>
      <c r="Q10" s="9" t="n">
        <v>1.19</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Liverpool</t>
        </is>
      </c>
      <c r="C13" s="8" t="inlineStr">
        <is>
          <t>Nottingham Forest</t>
        </is>
      </c>
      <c r="D13" s="8" t="n">
        <v>2</v>
      </c>
      <c r="E13" s="8" t="n">
        <v>2</v>
      </c>
      <c r="F13" s="10" t="n">
        <v>2.08</v>
      </c>
      <c r="G13" s="10" t="n">
        <v>0.95</v>
      </c>
      <c r="H13" s="10" t="n">
        <v>1.75</v>
      </c>
      <c r="I13" s="10" t="n">
        <v>2.3</v>
      </c>
      <c r="J13" s="10" t="n">
        <v>-0.33</v>
      </c>
      <c r="K13" s="10" t="n">
        <v>1.35</v>
      </c>
      <c r="L13" s="10" t="n">
        <v>-1.68</v>
      </c>
      <c r="M13" s="10" t="n">
        <v>1.02</v>
      </c>
      <c r="N13" s="10" t="n">
        <v>1.09</v>
      </c>
      <c r="O13" s="10" t="n">
        <v>1.71</v>
      </c>
      <c r="P13" s="10" t="n">
        <v>2.1</v>
      </c>
      <c r="Q13" s="10" t="n">
        <v>0.6899999999999999</v>
      </c>
    </row>
    <row r="14">
      <c r="A14" s="6" t="inlineStr">
        <is>
          <t>2026-08-29</t>
        </is>
      </c>
      <c r="B14" s="6" t="inlineStr">
        <is>
          <t>Coventry</t>
        </is>
      </c>
      <c r="C14" s="6" t="inlineStr">
        <is>
          <t>Hull</t>
        </is>
      </c>
      <c r="D14" s="6" t="n">
        <v>0</v>
      </c>
      <c r="E14" s="6" t="n">
        <v>1</v>
      </c>
      <c r="F14" s="9" t="n">
        <v>1.65</v>
      </c>
      <c r="G14" s="9" t="n">
        <v>1.05</v>
      </c>
      <c r="H14" s="9" t="n">
        <v>1.29</v>
      </c>
      <c r="I14" s="9" t="n">
        <v>0.72</v>
      </c>
      <c r="J14" s="9" t="n">
        <v>-0.36</v>
      </c>
      <c r="K14" s="9" t="n">
        <v>-0.33</v>
      </c>
      <c r="L14" s="9" t="n">
        <v>-0.03</v>
      </c>
      <c r="M14" s="9" t="n">
        <v>-0.6899999999999999</v>
      </c>
      <c r="N14" s="9" t="n">
        <v>1.79</v>
      </c>
      <c r="O14" s="9" t="n">
        <v>0.92</v>
      </c>
      <c r="P14" s="9" t="n">
        <v>1.79</v>
      </c>
      <c r="Q14" s="9" t="n">
        <v>0.97</v>
      </c>
    </row>
    <row r="15">
      <c r="A15" s="8" t="inlineStr">
        <is>
          <t>2026-08-29</t>
        </is>
      </c>
      <c r="B15" s="8" t="inlineStr">
        <is>
          <t>Tottenham Hotspur</t>
        </is>
      </c>
      <c r="C15" s="8" t="inlineStr">
        <is>
          <t>Newcastle United</t>
        </is>
      </c>
      <c r="D15" s="8" t="n">
        <v>0</v>
      </c>
      <c r="E15" s="8" t="n">
        <v>2</v>
      </c>
      <c r="F15" s="10" t="n">
        <v>1.61</v>
      </c>
      <c r="G15" s="10" t="n">
        <v>1.39</v>
      </c>
      <c r="H15" s="10" t="n">
        <v>1.12</v>
      </c>
      <c r="I15" s="10" t="n">
        <v>0.72</v>
      </c>
      <c r="J15" s="10" t="n">
        <v>-0.49</v>
      </c>
      <c r="K15" s="10" t="n">
        <v>-0.67</v>
      </c>
      <c r="L15" s="10" t="n">
        <v>0.18</v>
      </c>
      <c r="M15" s="10" t="n">
        <v>-1.16</v>
      </c>
      <c r="N15" s="10" t="n">
        <v>1.67</v>
      </c>
      <c r="O15" s="10" t="n">
        <v>1.02</v>
      </c>
      <c r="P15" s="10" t="n">
        <v>1.52</v>
      </c>
      <c r="Q15" s="10" t="n">
        <v>1.24</v>
      </c>
    </row>
    <row r="16">
      <c r="A16" s="6" t="inlineStr">
        <is>
          <t>2026-08-29</t>
        </is>
      </c>
      <c r="B16" s="6" t="inlineStr">
        <is>
          <t>Bournemouth</t>
        </is>
      </c>
      <c r="C16" s="6" t="inlineStr">
        <is>
          <t>Everton</t>
        </is>
      </c>
      <c r="D16" s="6" t="n">
        <v>1</v>
      </c>
      <c r="E16" s="6" t="n">
        <v>1</v>
      </c>
      <c r="F16" s="9" t="n">
        <v>1.56</v>
      </c>
      <c r="G16" s="9" t="n">
        <v>1.12</v>
      </c>
      <c r="H16" s="9" t="n">
        <v>2.16</v>
      </c>
      <c r="I16" s="9" t="n">
        <v>1.84</v>
      </c>
      <c r="J16" s="9" t="n">
        <v>0.6</v>
      </c>
      <c r="K16" s="9" t="n">
        <v>0.72</v>
      </c>
      <c r="L16" s="9" t="n">
        <v>-0.12</v>
      </c>
      <c r="M16" s="9" t="n">
        <v>1.32</v>
      </c>
      <c r="N16" s="9" t="n">
        <v>1.58</v>
      </c>
      <c r="O16" s="9" t="n">
        <v>1.21</v>
      </c>
      <c r="P16" s="9" t="n">
        <v>1.68</v>
      </c>
      <c r="Q16" s="9" t="n">
        <v>1.07</v>
      </c>
    </row>
    <row r="17">
      <c r="A17" s="8" t="inlineStr">
        <is>
          <t>2026-08-30</t>
        </is>
      </c>
      <c r="B17" s="8" t="inlineStr">
        <is>
          <t>Manchester United</t>
        </is>
      </c>
      <c r="C17" s="8" t="inlineStr">
        <is>
          <t>Ipswich</t>
        </is>
      </c>
      <c r="D17" s="8" t="n">
        <v>5</v>
      </c>
      <c r="E17" s="8" t="n">
        <v>2</v>
      </c>
      <c r="F17" s="10" t="n">
        <v>2.22</v>
      </c>
      <c r="G17" s="10" t="n">
        <v>0.87</v>
      </c>
      <c r="H17" s="10" t="n">
        <v>4.77</v>
      </c>
      <c r="I17" s="10" t="n">
        <v>2.06</v>
      </c>
      <c r="J17" s="10" t="n">
        <v>2.55</v>
      </c>
      <c r="K17" s="10" t="n">
        <v>1.19</v>
      </c>
      <c r="L17" s="10" t="n">
        <v>1.37</v>
      </c>
      <c r="M17" s="10" t="n">
        <v>3.74</v>
      </c>
      <c r="N17" s="10" t="n">
        <v>2.47</v>
      </c>
      <c r="O17" s="10" t="n">
        <v>0.4</v>
      </c>
      <c r="P17" s="10" t="n">
        <v>2.22</v>
      </c>
      <c r="Q17" s="10" t="n">
        <v>0.59</v>
      </c>
    </row>
    <row r="18">
      <c r="A18" s="6" t="inlineStr">
        <is>
          <t>2026-08-30</t>
        </is>
      </c>
      <c r="B18" s="6" t="inlineStr">
        <is>
          <t>Leeds United</t>
        </is>
      </c>
      <c r="C18" s="6" t="inlineStr">
        <is>
          <t>Brentford</t>
        </is>
      </c>
      <c r="D18" s="6" t="n">
        <v>1</v>
      </c>
      <c r="E18" s="6" t="n">
        <v>1</v>
      </c>
      <c r="F18" s="9" t="n">
        <v>1.35</v>
      </c>
      <c r="G18" s="9" t="n">
        <v>1.33</v>
      </c>
      <c r="H18" s="9" t="n">
        <v>1.46</v>
      </c>
      <c r="I18" s="9" t="n">
        <v>1.67</v>
      </c>
      <c r="J18" s="9" t="n">
        <v>0.1</v>
      </c>
      <c r="K18" s="9" t="n">
        <v>0.34</v>
      </c>
      <c r="L18" s="9" t="n">
        <v>-0.24</v>
      </c>
      <c r="M18" s="9" t="n">
        <v>0.45</v>
      </c>
      <c r="N18" s="9" t="n">
        <v>1.25</v>
      </c>
      <c r="O18" s="9" t="n">
        <v>1.52</v>
      </c>
      <c r="P18" s="9" t="n">
        <v>1.39</v>
      </c>
      <c r="Q18" s="9" t="n">
        <v>1.35</v>
      </c>
    </row>
    <row r="19">
      <c r="A19" s="8" t="inlineStr">
        <is>
          <t>2026-08-30</t>
        </is>
      </c>
      <c r="B19" s="8" t="inlineStr">
        <is>
          <t>Sunderland</t>
        </is>
      </c>
      <c r="C19" s="8" t="inlineStr">
        <is>
          <t>Fulham</t>
        </is>
      </c>
      <c r="D19" s="8" t="n">
        <v>1</v>
      </c>
      <c r="E19" s="8" t="n">
        <v>0</v>
      </c>
      <c r="F19" s="10" t="n">
        <v>1.36</v>
      </c>
      <c r="G19" s="10" t="n">
        <v>1.17</v>
      </c>
      <c r="H19" s="10" t="n">
        <v>2.02</v>
      </c>
      <c r="I19" s="10" t="n">
        <v>0.95</v>
      </c>
      <c r="J19" s="10" t="n">
        <v>0.66</v>
      </c>
      <c r="K19" s="10" t="n">
        <v>-0.22</v>
      </c>
      <c r="L19" s="10" t="n">
        <v>0.88</v>
      </c>
      <c r="M19" s="10" t="n">
        <v>0.45</v>
      </c>
      <c r="N19" s="10" t="n">
        <v>2.07</v>
      </c>
      <c r="O19" s="10" t="n">
        <v>0.72</v>
      </c>
      <c r="P19" s="10" t="n">
        <v>1.5</v>
      </c>
      <c r="Q19" s="10" t="n">
        <v>1.23</v>
      </c>
    </row>
    <row r="20">
      <c r="A20" s="6" t="inlineStr">
        <is>
          <t>2026-08-30</t>
        </is>
      </c>
      <c r="B20" s="6" t="inlineStr">
        <is>
          <t>Chelsea</t>
        </is>
      </c>
      <c r="C20" s="6" t="inlineStr">
        <is>
          <t>Brighton &amp; Hove Albion</t>
        </is>
      </c>
      <c r="D20" s="6" t="n">
        <v>4</v>
      </c>
      <c r="E20" s="6" t="n">
        <v>3</v>
      </c>
      <c r="F20" s="9" t="n">
        <v>1.84</v>
      </c>
      <c r="G20" s="9" t="n">
        <v>1.17</v>
      </c>
      <c r="H20" s="9" t="n">
        <v>2.93</v>
      </c>
      <c r="I20" s="9" t="n">
        <v>1.41</v>
      </c>
      <c r="J20" s="9" t="n">
        <v>1.09</v>
      </c>
      <c r="K20" s="9" t="n">
        <v>0.24</v>
      </c>
      <c r="L20" s="9" t="n">
        <v>0.86</v>
      </c>
      <c r="M20" s="9" t="n">
        <v>1.33</v>
      </c>
      <c r="N20" s="9" t="n">
        <v>2.21</v>
      </c>
      <c r="O20" s="9" t="n">
        <v>0.63</v>
      </c>
      <c r="P20" s="9" t="n">
        <v>1.82</v>
      </c>
      <c r="Q20" s="9" t="n">
        <v>0.95</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Manchester City</t>
        </is>
      </c>
      <c r="C23" s="8" t="inlineStr">
        <is>
          <t>Coventry</t>
        </is>
      </c>
      <c r="D23" s="8" t="n">
        <v>1</v>
      </c>
      <c r="E23" s="8" t="n">
        <v>0</v>
      </c>
      <c r="F23" s="10" t="n">
        <v>2.89</v>
      </c>
      <c r="G23" s="10" t="n">
        <v>0.76</v>
      </c>
      <c r="H23" s="10" t="n">
        <v>2.12</v>
      </c>
      <c r="I23" s="10" t="n">
        <v>1.37</v>
      </c>
      <c r="J23" s="10" t="n">
        <v>-0.77</v>
      </c>
      <c r="K23" s="10" t="n">
        <v>0.61</v>
      </c>
      <c r="L23" s="10" t="n">
        <v>-1.39</v>
      </c>
      <c r="M23" s="10" t="n">
        <v>-0.16</v>
      </c>
      <c r="N23" s="10" t="n">
        <v>1.85</v>
      </c>
      <c r="O23" s="10" t="n">
        <v>0.9399999999999999</v>
      </c>
      <c r="P23" s="10" t="n">
        <v>2.55</v>
      </c>
      <c r="Q23" s="10" t="n">
        <v>0.33</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Hull</t>
        </is>
      </c>
      <c r="C25" s="8" t="inlineStr">
        <is>
          <t>Aston Villa</t>
        </is>
      </c>
      <c r="D25" s="8" t="n">
        <v>0</v>
      </c>
      <c r="E25" s="8" t="n">
        <v>0</v>
      </c>
      <c r="F25" s="10" t="n">
        <v>1.04</v>
      </c>
      <c r="G25" s="10" t="n">
        <v>1.68</v>
      </c>
      <c r="H25" s="10" t="n">
        <v>0.57</v>
      </c>
      <c r="I25" s="10" t="n">
        <v>1.93</v>
      </c>
      <c r="J25" s="10" t="n">
        <v>-0.47</v>
      </c>
      <c r="K25" s="10" t="n">
        <v>0.25</v>
      </c>
      <c r="L25" s="10" t="n">
        <v>-0.72</v>
      </c>
      <c r="M25" s="10" t="n">
        <v>-0.22</v>
      </c>
      <c r="N25" s="10" t="n">
        <v>0.5</v>
      </c>
      <c r="O25" s="10" t="n">
        <v>2.3</v>
      </c>
      <c r="P25" s="10" t="n">
        <v>0.95</v>
      </c>
      <c r="Q25" s="10" t="n">
        <v>1.81</v>
      </c>
    </row>
    <row r="26">
      <c r="A26" s="6" t="inlineStr">
        <is>
          <t>2026-09-05</t>
        </is>
      </c>
      <c r="B26" s="6" t="inlineStr">
        <is>
          <t>Fulham</t>
        </is>
      </c>
      <c r="C26" s="6" t="inlineStr">
        <is>
          <t>Crystal Palace</t>
        </is>
      </c>
      <c r="D26" s="6" t="n">
        <v>2</v>
      </c>
      <c r="E26" s="6" t="n">
        <v>3</v>
      </c>
      <c r="F26" s="9" t="n">
        <v>1.45</v>
      </c>
      <c r="G26" s="9" t="n">
        <v>1.19</v>
      </c>
      <c r="H26" s="9" t="n">
        <v>3.14</v>
      </c>
      <c r="I26" s="9" t="n">
        <v>1.97</v>
      </c>
      <c r="J26" s="9" t="n">
        <v>1.69</v>
      </c>
      <c r="K26" s="9" t="n">
        <v>0.78</v>
      </c>
      <c r="L26" s="9" t="n">
        <v>0.91</v>
      </c>
      <c r="M26" s="9" t="n">
        <v>2.47</v>
      </c>
      <c r="N26" s="9" t="n">
        <v>2</v>
      </c>
      <c r="O26" s="9" t="n">
        <v>0.84</v>
      </c>
      <c r="P26" s="9" t="n">
        <v>1.55</v>
      </c>
      <c r="Q26" s="9" t="n">
        <v>1.19</v>
      </c>
    </row>
    <row r="27">
      <c r="A27" s="8" t="inlineStr">
        <is>
          <t>2026-09-05</t>
        </is>
      </c>
      <c r="B27" s="8" t="inlineStr">
        <is>
          <t>Newcastle United</t>
        </is>
      </c>
      <c r="C27" s="8" t="inlineStr">
        <is>
          <t>Bournemouth</t>
        </is>
      </c>
      <c r="D27" s="8" t="n">
        <v>2</v>
      </c>
      <c r="E27" s="8" t="n">
        <v>2</v>
      </c>
      <c r="F27" s="10" t="n">
        <v>1.75</v>
      </c>
      <c r="G27" s="10" t="n">
        <v>1.37</v>
      </c>
      <c r="H27" s="10" t="n">
        <v>0.71</v>
      </c>
      <c r="I27" s="10" t="n">
        <v>1.37</v>
      </c>
      <c r="J27" s="10" t="n">
        <v>-1.04</v>
      </c>
      <c r="K27" s="10" t="n">
        <v>0</v>
      </c>
      <c r="L27" s="10" t="n">
        <v>-1.04</v>
      </c>
      <c r="M27" s="10" t="n">
        <v>-1.03</v>
      </c>
      <c r="N27" s="10" t="n">
        <v>0.86</v>
      </c>
      <c r="O27" s="10" t="n">
        <v>1.86</v>
      </c>
      <c r="P27" s="10" t="n">
        <v>1.63</v>
      </c>
      <c r="Q27" s="10" t="n">
        <v>1.14</v>
      </c>
    </row>
    <row r="28">
      <c r="A28" s="6" t="inlineStr">
        <is>
          <t>2026-09-05</t>
        </is>
      </c>
      <c r="B28" s="6" t="inlineStr">
        <is>
          <t>Brentford</t>
        </is>
      </c>
      <c r="C28" s="6" t="inlineStr">
        <is>
          <t>Sunderland</t>
        </is>
      </c>
      <c r="D28" s="6" t="n">
        <v>1</v>
      </c>
      <c r="E28" s="6" t="n">
        <v>1</v>
      </c>
      <c r="F28" s="9" t="n">
        <v>1.84</v>
      </c>
      <c r="G28" s="9" t="n">
        <v>0.9</v>
      </c>
      <c r="H28" s="9" t="n">
        <v>1.21</v>
      </c>
      <c r="I28" s="9" t="n">
        <v>1.71</v>
      </c>
      <c r="J28" s="9" t="n">
        <v>-0.63</v>
      </c>
      <c r="K28" s="9" t="n">
        <v>0.8100000000000001</v>
      </c>
      <c r="L28" s="9" t="n">
        <v>-1.44</v>
      </c>
      <c r="M28" s="9" t="n">
        <v>0.18</v>
      </c>
      <c r="N28" s="9" t="n">
        <v>1.05</v>
      </c>
      <c r="O28" s="9" t="n">
        <v>1.71</v>
      </c>
      <c r="P28" s="9" t="n">
        <v>2.01</v>
      </c>
      <c r="Q28" s="9" t="n">
        <v>0.77</v>
      </c>
    </row>
    <row r="29">
      <c r="A29" s="8" t="inlineStr">
        <is>
          <t>2026-09-05</t>
        </is>
      </c>
      <c r="B29" s="8" t="inlineStr">
        <is>
          <t>Brighton &amp; Hove Albion</t>
        </is>
      </c>
      <c r="C29" s="8" t="inlineStr">
        <is>
          <t>Leeds United</t>
        </is>
      </c>
      <c r="D29" s="8" t="n">
        <v>1</v>
      </c>
      <c r="E29" s="8" t="n">
        <v>1</v>
      </c>
      <c r="F29" s="10" t="n">
        <v>1.61</v>
      </c>
      <c r="G29" s="10" t="n">
        <v>1.08</v>
      </c>
      <c r="H29" s="10" t="n">
        <v>2.19</v>
      </c>
      <c r="I29" s="10" t="n">
        <v>2.49</v>
      </c>
      <c r="J29" s="10" t="n">
        <v>0.57</v>
      </c>
      <c r="K29" s="10" t="n">
        <v>1.41</v>
      </c>
      <c r="L29" s="10" t="n">
        <v>-0.83</v>
      </c>
      <c r="M29" s="10" t="n">
        <v>1.98</v>
      </c>
      <c r="N29" s="10" t="n">
        <v>1.25</v>
      </c>
      <c r="O29" s="10" t="n">
        <v>1.57</v>
      </c>
      <c r="P29" s="10" t="n">
        <v>1.74</v>
      </c>
      <c r="Q29" s="10" t="n">
        <v>1.01</v>
      </c>
    </row>
    <row r="30">
      <c r="A30" s="6" t="inlineStr">
        <is>
          <t>2026-09-06</t>
        </is>
      </c>
      <c r="B30" s="6" t="inlineStr">
        <is>
          <t>Everton</t>
        </is>
      </c>
      <c r="C30" s="6" t="inlineStr">
        <is>
          <t>Manchester United</t>
        </is>
      </c>
      <c r="D30" s="6" t="n">
        <v>2</v>
      </c>
      <c r="E30" s="6" t="n">
        <v>2</v>
      </c>
      <c r="F30" s="9" t="n">
        <v>1.28</v>
      </c>
      <c r="G30" s="9" t="n">
        <v>1.64</v>
      </c>
      <c r="H30" s="9" t="n">
        <v>1.01</v>
      </c>
      <c r="I30" s="9" t="n">
        <v>0.6899999999999999</v>
      </c>
      <c r="J30" s="9" t="n">
        <v>-0.27</v>
      </c>
      <c r="K30" s="9" t="n">
        <v>-0.95</v>
      </c>
      <c r="L30" s="9" t="n">
        <v>0.6899999999999999</v>
      </c>
      <c r="M30" s="9" t="n">
        <v>-1.22</v>
      </c>
      <c r="N30" s="9" t="n">
        <v>1.6</v>
      </c>
      <c r="O30" s="9" t="n">
        <v>1.07</v>
      </c>
      <c r="P30" s="9" t="n">
        <v>1.14</v>
      </c>
      <c r="Q30" s="9" t="n">
        <v>1.62</v>
      </c>
    </row>
    <row r="31">
      <c r="A31" s="8" t="inlineStr">
        <is>
          <t>2026-09-06</t>
        </is>
      </c>
      <c r="B31" s="8" t="inlineStr">
        <is>
          <t>Arsenal</t>
        </is>
      </c>
      <c r="C31" s="8" t="inlineStr">
        <is>
          <t>Chelsea</t>
        </is>
      </c>
      <c r="D31" s="8" t="n">
        <v>2</v>
      </c>
      <c r="E31" s="8" t="n">
        <v>1</v>
      </c>
      <c r="F31" s="10" t="n">
        <v>1.85</v>
      </c>
      <c r="G31" s="10" t="n">
        <v>0.98</v>
      </c>
      <c r="H31" s="10" t="n">
        <v>2.05</v>
      </c>
      <c r="I31" s="10" t="n">
        <v>0.39</v>
      </c>
      <c r="J31" s="10" t="n">
        <v>0.2</v>
      </c>
      <c r="K31" s="10" t="n">
        <v>-0.59</v>
      </c>
      <c r="L31" s="10" t="n">
        <v>0.78</v>
      </c>
      <c r="M31" s="10" t="n">
        <v>-0.39</v>
      </c>
      <c r="N31" s="10" t="n">
        <v>2.48</v>
      </c>
      <c r="O31" s="10" t="n">
        <v>0.35</v>
      </c>
      <c r="P31" s="10" t="n">
        <v>1.96</v>
      </c>
      <c r="Q31" s="10" t="n">
        <v>0.8100000000000001</v>
      </c>
    </row>
    <row r="32">
      <c r="A32" s="6" t="inlineStr">
        <is>
          <t>2026-09-12</t>
        </is>
      </c>
      <c r="B32" s="6" t="inlineStr">
        <is>
          <t>Sunderland</t>
        </is>
      </c>
      <c r="C32" s="6" t="inlineStr">
        <is>
          <t>Arsenal</t>
        </is>
      </c>
      <c r="D32" s="6" t="n">
        <v>0</v>
      </c>
      <c r="E32" s="6" t="n">
        <v>2</v>
      </c>
      <c r="F32" s="9" t="n">
        <v>0.6899999999999999</v>
      </c>
      <c r="G32" s="9" t="n">
        <v>1.85</v>
      </c>
      <c r="H32" s="9" t="n">
        <v>1.8</v>
      </c>
      <c r="I32" s="9" t="n">
        <v>1.88</v>
      </c>
      <c r="J32" s="9" t="n">
        <v>1.11</v>
      </c>
      <c r="K32" s="9" t="n">
        <v>0.03</v>
      </c>
      <c r="L32" s="9" t="n">
        <v>1.08</v>
      </c>
      <c r="M32" s="9" t="n">
        <v>1.15</v>
      </c>
      <c r="N32" s="9" t="n">
        <v>1.34</v>
      </c>
      <c r="O32" s="9" t="n">
        <v>1.44</v>
      </c>
      <c r="P32" s="9" t="n">
        <v>0.61</v>
      </c>
      <c r="Q32" s="9" t="n">
        <v>2.17</v>
      </c>
    </row>
    <row r="33">
      <c r="A33" s="8" t="inlineStr">
        <is>
          <t>2026-09-12</t>
        </is>
      </c>
      <c r="B33" s="8" t="inlineStr">
        <is>
          <t>Chelsea</t>
        </is>
      </c>
      <c r="C33" s="8" t="inlineStr">
        <is>
          <t>Hull</t>
        </is>
      </c>
      <c r="D33" s="8" t="n">
        <v>2</v>
      </c>
      <c r="E33" s="8" t="n">
        <v>2</v>
      </c>
      <c r="F33" s="10" t="n">
        <v>2.69</v>
      </c>
      <c r="G33" s="10" t="n">
        <v>0.78</v>
      </c>
      <c r="H33" s="10" t="n">
        <v>0.91</v>
      </c>
      <c r="I33" s="10" t="n">
        <v>1.38</v>
      </c>
      <c r="J33" s="10" t="n">
        <v>-1.77</v>
      </c>
      <c r="K33" s="10" t="n">
        <v>0.6</v>
      </c>
      <c r="L33" s="10" t="n">
        <v>-2.38</v>
      </c>
      <c r="M33" s="10" t="n">
        <v>-1.17</v>
      </c>
      <c r="N33" s="10" t="n">
        <v>1.02</v>
      </c>
      <c r="O33" s="10" t="n">
        <v>1.71</v>
      </c>
      <c r="P33" s="10" t="n">
        <v>2.47</v>
      </c>
      <c r="Q33" s="10" t="n">
        <v>0.39</v>
      </c>
    </row>
    <row r="34">
      <c r="A34" s="6" t="inlineStr">
        <is>
          <t>2026-09-12</t>
        </is>
      </c>
      <c r="B34" s="6" t="inlineStr">
        <is>
          <t>Tottenham Hotspur</t>
        </is>
      </c>
      <c r="C34" s="6" t="inlineStr">
        <is>
          <t>Everton</t>
        </is>
      </c>
      <c r="D34" s="6" t="n">
        <v>0</v>
      </c>
      <c r="E34" s="6" t="n">
        <v>0</v>
      </c>
      <c r="F34" s="9" t="n">
        <v>1.56</v>
      </c>
      <c r="G34" s="9" t="n">
        <v>1.1</v>
      </c>
      <c r="H34" s="9" t="n">
        <v>0.6899999999999999</v>
      </c>
      <c r="I34" s="9" t="n">
        <v>1.11</v>
      </c>
      <c r="J34" s="9" t="n">
        <v>-0.87</v>
      </c>
      <c r="K34" s="9" t="n">
        <v>0.01</v>
      </c>
      <c r="L34" s="9" t="n">
        <v>-0.88</v>
      </c>
      <c r="M34" s="9" t="n">
        <v>-0.86</v>
      </c>
      <c r="N34" s="9" t="n">
        <v>1</v>
      </c>
      <c r="O34" s="9" t="n">
        <v>1.68</v>
      </c>
      <c r="P34" s="9" t="n">
        <v>1.7</v>
      </c>
      <c r="Q34" s="9" t="n">
        <v>1.05</v>
      </c>
    </row>
    <row r="35">
      <c r="A35" s="8" t="inlineStr">
        <is>
          <t>2026-09-12</t>
        </is>
      </c>
      <c r="B35" s="8" t="inlineStr">
        <is>
          <t>Bournemouth</t>
        </is>
      </c>
      <c r="C35" s="8" t="inlineStr">
        <is>
          <t>Brentford</t>
        </is>
      </c>
      <c r="D35" s="8" t="n">
        <v>2</v>
      </c>
      <c r="E35" s="8" t="n">
        <v>2</v>
      </c>
      <c r="F35" s="10" t="n">
        <v>1.51</v>
      </c>
      <c r="G35" s="10" t="n">
        <v>1.45</v>
      </c>
      <c r="H35" s="10" t="n">
        <v>1.75</v>
      </c>
      <c r="I35" s="10" t="n">
        <v>0.5</v>
      </c>
      <c r="J35" s="10" t="n">
        <v>0.24</v>
      </c>
      <c r="K35" s="10" t="n">
        <v>-0.95</v>
      </c>
      <c r="L35" s="10" t="n">
        <v>1.19</v>
      </c>
      <c r="M35" s="10" t="n">
        <v>-0.72</v>
      </c>
      <c r="N35" s="10" t="n">
        <v>2.26</v>
      </c>
      <c r="O35" s="10" t="n">
        <v>0.52</v>
      </c>
      <c r="P35" s="10" t="n">
        <v>1.42</v>
      </c>
      <c r="Q35" s="10" t="n">
        <v>1.33</v>
      </c>
    </row>
    <row r="36">
      <c r="A36" s="6" t="inlineStr">
        <is>
          <t>2026-09-12</t>
        </is>
      </c>
      <c r="B36" s="6" t="inlineStr">
        <is>
          <t>Crystal Palace</t>
        </is>
      </c>
      <c r="C36" s="6" t="inlineStr">
        <is>
          <t>Ipswich</t>
        </is>
      </c>
      <c r="D36" s="6" t="n">
        <v>2</v>
      </c>
      <c r="E36" s="6" t="n">
        <v>3</v>
      </c>
      <c r="F36" s="9" t="n">
        <v>1.72</v>
      </c>
      <c r="G36" s="9" t="n">
        <v>1.1</v>
      </c>
      <c r="H36" s="9" t="n">
        <v>0.62</v>
      </c>
      <c r="I36" s="9" t="n">
        <v>1.68</v>
      </c>
      <c r="J36" s="9" t="n">
        <v>-1.1</v>
      </c>
      <c r="K36" s="9" t="n">
        <v>0.58</v>
      </c>
      <c r="L36" s="9" t="n">
        <v>-1.67</v>
      </c>
      <c r="M36" s="9" t="n">
        <v>-0.52</v>
      </c>
      <c r="N36" s="9" t="n">
        <v>0.64</v>
      </c>
      <c r="O36" s="9" t="n">
        <v>2.13</v>
      </c>
      <c r="P36" s="9" t="n">
        <v>1.79</v>
      </c>
      <c r="Q36" s="9" t="n">
        <v>0.97</v>
      </c>
    </row>
    <row r="37">
      <c r="A37" s="8" t="inlineStr">
        <is>
          <t>2026-09-12</t>
        </is>
      </c>
      <c r="B37" s="8" t="inlineStr">
        <is>
          <t>Aston Villa</t>
        </is>
      </c>
      <c r="C37" s="8" t="inlineStr">
        <is>
          <t>Nottingham Forest</t>
        </is>
      </c>
      <c r="D37" s="8" t="n">
        <v>1</v>
      </c>
      <c r="E37" s="8" t="n">
        <v>2</v>
      </c>
      <c r="F37" s="10" t="n">
        <v>1.47</v>
      </c>
      <c r="G37" s="10" t="n">
        <v>1.17</v>
      </c>
      <c r="H37" s="10" t="n">
        <v>0.82</v>
      </c>
      <c r="I37" s="10" t="n">
        <v>2.28</v>
      </c>
      <c r="J37" s="10" t="n">
        <v>-0.65</v>
      </c>
      <c r="K37" s="10" t="n">
        <v>1.11</v>
      </c>
      <c r="L37" s="10" t="n">
        <v>-1.76</v>
      </c>
      <c r="M37" s="10" t="n">
        <v>0.45</v>
      </c>
      <c r="N37" s="10" t="n">
        <v>0.54</v>
      </c>
      <c r="O37" s="10" t="n">
        <v>2.29</v>
      </c>
      <c r="P37" s="10" t="n">
        <v>1.58</v>
      </c>
      <c r="Q37" s="10" t="n">
        <v>1.16</v>
      </c>
    </row>
    <row r="38">
      <c r="A38" s="6" t="inlineStr">
        <is>
          <t>2026-09-12</t>
        </is>
      </c>
      <c r="B38" s="6" t="inlineStr">
        <is>
          <t>Liverpool</t>
        </is>
      </c>
      <c r="C38" s="6" t="inlineStr">
        <is>
          <t>Fulham</t>
        </is>
      </c>
      <c r="D38" s="6" t="n">
        <v>0</v>
      </c>
      <c r="E38" s="6" t="n">
        <v>0</v>
      </c>
      <c r="F38" s="9" t="n">
        <v>2.3</v>
      </c>
      <c r="G38" s="9" t="n">
        <v>0.99</v>
      </c>
      <c r="H38" s="9" t="n">
        <v>1.28</v>
      </c>
      <c r="I38" s="9" t="n">
        <v>0.7</v>
      </c>
      <c r="J38" s="9" t="n">
        <v>-1.02</v>
      </c>
      <c r="K38" s="9" t="n">
        <v>-0.29</v>
      </c>
      <c r="L38" s="9" t="n">
        <v>-0.73</v>
      </c>
      <c r="M38" s="9" t="n">
        <v>-1.3</v>
      </c>
      <c r="N38" s="9" t="n">
        <v>1.8</v>
      </c>
      <c r="O38" s="9" t="n">
        <v>0.9</v>
      </c>
      <c r="P38" s="9" t="n">
        <v>2.19</v>
      </c>
      <c r="Q38" s="9" t="n">
        <v>0.63</v>
      </c>
    </row>
    <row r="39">
      <c r="A39" s="8" t="inlineStr">
        <is>
          <t>2026-09-13</t>
        </is>
      </c>
      <c r="B39" s="8" t="inlineStr">
        <is>
          <t>Manchester United</t>
        </is>
      </c>
      <c r="C39" s="8" t="inlineStr">
        <is>
          <t>Manchester City</t>
        </is>
      </c>
      <c r="D39" s="8" t="n">
        <v>0</v>
      </c>
      <c r="E39" s="8" t="n">
        <v>1</v>
      </c>
      <c r="F39" s="10" t="n">
        <v>1.42</v>
      </c>
      <c r="G39" s="10" t="n">
        <v>1.8</v>
      </c>
      <c r="H39" s="10" t="n">
        <v>1</v>
      </c>
      <c r="I39" s="10" t="n">
        <v>1.1</v>
      </c>
      <c r="J39" s="10" t="n">
        <v>-0.42</v>
      </c>
      <c r="K39" s="10" t="n">
        <v>-0.7</v>
      </c>
      <c r="L39" s="10" t="n">
        <v>0.28</v>
      </c>
      <c r="M39" s="10" t="n">
        <v>-1.12</v>
      </c>
      <c r="N39" s="10" t="n">
        <v>1.27</v>
      </c>
      <c r="O39" s="10" t="n">
        <v>1.43</v>
      </c>
      <c r="P39" s="10" t="n">
        <v>1.14</v>
      </c>
      <c r="Q39" s="10" t="n">
        <v>1.63</v>
      </c>
    </row>
    <row r="40">
      <c r="A40" s="6" t="inlineStr">
        <is>
          <t>2026-09-13</t>
        </is>
      </c>
      <c r="B40" s="6" t="inlineStr">
        <is>
          <t>Coventry</t>
        </is>
      </c>
      <c r="C40" s="6" t="inlineStr">
        <is>
          <t>Brighton &amp; Hove Albion</t>
        </is>
      </c>
      <c r="D40" s="6" t="n">
        <v>0</v>
      </c>
      <c r="E40" s="6" t="n">
        <v>5</v>
      </c>
      <c r="F40" s="9" t="n">
        <v>1.15</v>
      </c>
      <c r="G40" s="9" t="n">
        <v>1.72</v>
      </c>
      <c r="H40" s="9" t="n">
        <v>1.33</v>
      </c>
      <c r="I40" s="9" t="n">
        <v>2.81</v>
      </c>
      <c r="J40" s="9" t="n">
        <v>0.18</v>
      </c>
      <c r="K40" s="9" t="n">
        <v>1.09</v>
      </c>
      <c r="L40" s="9" t="n">
        <v>-0.9</v>
      </c>
      <c r="M40" s="9" t="n">
        <v>1.27</v>
      </c>
      <c r="N40" s="9" t="n">
        <v>0.63</v>
      </c>
      <c r="O40" s="9" t="n">
        <v>2.21</v>
      </c>
      <c r="P40" s="9" t="n">
        <v>1</v>
      </c>
      <c r="Q40" s="9" t="n">
        <v>1.76</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Nottingham Forest</t>
        </is>
      </c>
      <c r="C43" s="8" t="inlineStr">
        <is>
          <t>Coventry</t>
        </is>
      </c>
      <c r="D43" s="8" t="n">
        <v>0</v>
      </c>
      <c r="E43" s="8" t="n">
        <v>1</v>
      </c>
      <c r="F43" s="10" t="n">
        <v>1.91</v>
      </c>
      <c r="G43" s="10" t="n">
        <v>0.91</v>
      </c>
      <c r="H43" s="10" t="n">
        <v>1.1</v>
      </c>
      <c r="I43" s="10" t="n">
        <v>0.67</v>
      </c>
      <c r="J43" s="10" t="n">
        <v>-0.8100000000000001</v>
      </c>
      <c r="K43" s="10" t="n">
        <v>-0.24</v>
      </c>
      <c r="L43" s="10" t="n">
        <v>-0.58</v>
      </c>
      <c r="M43" s="10" t="n">
        <v>-1.05</v>
      </c>
      <c r="N43" s="10" t="n">
        <v>1.69</v>
      </c>
      <c r="O43" s="10" t="n">
        <v>0.99</v>
      </c>
      <c r="P43" s="10" t="n">
        <v>2.05</v>
      </c>
      <c r="Q43" s="10" t="n">
        <v>0.73</v>
      </c>
    </row>
    <row r="44">
      <c r="A44" s="6" t="inlineStr">
        <is>
          <t>2026-09-19</t>
        </is>
      </c>
      <c r="B44" s="6" t="inlineStr">
        <is>
          <t>Tottenham Hotspur</t>
        </is>
      </c>
      <c r="C44" s="6" t="inlineStr">
        <is>
          <t>Aston Villa</t>
        </is>
      </c>
      <c r="D44" s="6" t="n">
        <v>2</v>
      </c>
      <c r="E44" s="6" t="n">
        <v>3</v>
      </c>
      <c r="F44" s="9" t="n">
        <v>1.63</v>
      </c>
      <c r="G44" s="9" t="n">
        <v>1.15</v>
      </c>
      <c r="H44" s="9" t="n">
        <v>1.56</v>
      </c>
      <c r="I44" s="9" t="n">
        <v>1.26</v>
      </c>
      <c r="J44" s="9" t="n">
        <v>-0.07000000000000001</v>
      </c>
      <c r="K44" s="9" t="n">
        <v>0.11</v>
      </c>
      <c r="L44" s="9" t="n">
        <v>-0.18</v>
      </c>
      <c r="M44" s="9" t="n">
        <v>0.04</v>
      </c>
      <c r="N44" s="9" t="n">
        <v>1.58</v>
      </c>
      <c r="O44" s="9" t="n">
        <v>1.17</v>
      </c>
      <c r="P44" s="9" t="n">
        <v>1.7</v>
      </c>
      <c r="Q44" s="9" t="n">
        <v>1.05</v>
      </c>
    </row>
    <row r="45">
      <c r="A45" s="8" t="inlineStr">
        <is>
          <t>2026-09-19</t>
        </is>
      </c>
      <c r="B45" s="8" t="inlineStr">
        <is>
          <t>Everton</t>
        </is>
      </c>
      <c r="C45" s="8" t="inlineStr">
        <is>
          <t>Ipswich</t>
        </is>
      </c>
      <c r="D45" s="8" t="n">
        <v>1</v>
      </c>
      <c r="E45" s="8" t="n">
        <v>0</v>
      </c>
      <c r="F45" s="10" t="n">
        <v>1.82</v>
      </c>
      <c r="G45" s="10" t="n">
        <v>1.06</v>
      </c>
      <c r="H45" s="10" t="n">
        <v>2.24</v>
      </c>
      <c r="I45" s="10" t="n">
        <v>1.44</v>
      </c>
      <c r="J45" s="10" t="n">
        <v>0.42</v>
      </c>
      <c r="K45" s="10" t="n">
        <v>0.38</v>
      </c>
      <c r="L45" s="10" t="n">
        <v>0.04</v>
      </c>
      <c r="M45" s="10" t="n">
        <v>0.79</v>
      </c>
      <c r="N45" s="10" t="n">
        <v>1.87</v>
      </c>
      <c r="O45" s="10" t="n">
        <v>0.93</v>
      </c>
      <c r="P45" s="10" t="n">
        <v>1.88</v>
      </c>
      <c r="Q45" s="10" t="n">
        <v>0.89</v>
      </c>
    </row>
    <row r="46">
      <c r="A46" s="6" t="inlineStr">
        <is>
          <t>2026-09-19</t>
        </is>
      </c>
      <c r="B46" s="6" t="inlineStr">
        <is>
          <t>Brighton &amp; Hove Albion</t>
        </is>
      </c>
      <c r="C46" s="6" t="inlineStr">
        <is>
          <t>Arsenal</t>
        </is>
      </c>
      <c r="D46" s="6" t="n">
        <v>3</v>
      </c>
      <c r="E46" s="6" t="n">
        <v>0</v>
      </c>
      <c r="F46" s="9" t="n">
        <v>1</v>
      </c>
      <c r="G46" s="9" t="n">
        <v>1.87</v>
      </c>
      <c r="H46" s="9" t="n">
        <v>1.31</v>
      </c>
      <c r="I46" s="9" t="n">
        <v>1.63</v>
      </c>
      <c r="J46" s="9" t="n">
        <v>0.31</v>
      </c>
      <c r="K46" s="9" t="n">
        <v>-0.24</v>
      </c>
      <c r="L46" s="9" t="n">
        <v>0.55</v>
      </c>
      <c r="M46" s="9" t="n">
        <v>0.07000000000000001</v>
      </c>
      <c r="N46" s="9" t="n">
        <v>1.17</v>
      </c>
      <c r="O46" s="9" t="n">
        <v>1.59</v>
      </c>
      <c r="P46" s="9" t="n">
        <v>0.82</v>
      </c>
      <c r="Q46" s="9" t="n">
        <v>1.96</v>
      </c>
    </row>
    <row r="47">
      <c r="A47" s="8" t="inlineStr">
        <is>
          <t>2026-09-19</t>
        </is>
      </c>
      <c r="B47" s="8" t="inlineStr">
        <is>
          <t>Newcastle United</t>
        </is>
      </c>
      <c r="C47" s="8" t="inlineStr">
        <is>
          <t>Hull</t>
        </is>
      </c>
      <c r="D47" s="8" t="n">
        <v>2</v>
      </c>
      <c r="E47" s="8" t="n">
        <v>1</v>
      </c>
      <c r="F47" s="10" t="n">
        <v>2.02</v>
      </c>
      <c r="G47" s="10" t="n">
        <v>1.05</v>
      </c>
      <c r="H47" s="10" t="n">
        <v>1.44</v>
      </c>
      <c r="I47" s="10" t="n">
        <v>1.59</v>
      </c>
      <c r="J47" s="10" t="n">
        <v>-0.58</v>
      </c>
      <c r="K47" s="10" t="n">
        <v>0.54</v>
      </c>
      <c r="L47" s="10" t="n">
        <v>-1.12</v>
      </c>
      <c r="M47" s="10" t="n">
        <v>-0.04</v>
      </c>
      <c r="N47" s="10" t="n">
        <v>1.28</v>
      </c>
      <c r="O47" s="10" t="n">
        <v>1.48</v>
      </c>
      <c r="P47" s="10" t="n">
        <v>2.01</v>
      </c>
      <c r="Q47" s="10" t="n">
        <v>0.78</v>
      </c>
    </row>
    <row r="48">
      <c r="A48" s="6" t="inlineStr">
        <is>
          <t>2026-09-20</t>
        </is>
      </c>
      <c r="B48" s="6" t="inlineStr">
        <is>
          <t>Manchester City</t>
        </is>
      </c>
      <c r="C48" s="6" t="inlineStr">
        <is>
          <t>Sunderland</t>
        </is>
      </c>
      <c r="D48" s="6" t="n">
        <v>5</v>
      </c>
      <c r="E48" s="6" t="n">
        <v>3</v>
      </c>
      <c r="F48" s="9" t="n">
        <v>2.35</v>
      </c>
      <c r="G48" s="9" t="n">
        <v>0.76</v>
      </c>
      <c r="H48" s="9" t="n">
        <v>2.82</v>
      </c>
      <c r="I48" s="9" t="n">
        <v>3.57</v>
      </c>
      <c r="J48" s="9" t="n">
        <v>0.46</v>
      </c>
      <c r="K48" s="9" t="n">
        <v>2.81</v>
      </c>
      <c r="L48" s="9" t="n">
        <v>-2.35</v>
      </c>
      <c r="M48" s="9" t="n">
        <v>3.28</v>
      </c>
      <c r="N48" s="9" t="n">
        <v>1.08</v>
      </c>
      <c r="O48" s="9" t="n">
        <v>1.76</v>
      </c>
      <c r="P48" s="9" t="n">
        <v>2.36</v>
      </c>
      <c r="Q48" s="9" t="n">
        <v>0.47</v>
      </c>
    </row>
    <row r="49">
      <c r="A49" s="8" t="inlineStr">
        <is>
          <t>2026-09-20</t>
        </is>
      </c>
      <c r="B49" s="8" t="inlineStr">
        <is>
          <t>Leeds United</t>
        </is>
      </c>
      <c r="C49" s="8" t="inlineStr">
        <is>
          <t>Crystal Palace</t>
        </is>
      </c>
      <c r="D49" s="8" t="n">
        <v>0</v>
      </c>
      <c r="E49" s="8" t="n">
        <v>0</v>
      </c>
      <c r="F49" s="10" t="n">
        <v>1.83</v>
      </c>
      <c r="G49" s="10" t="n">
        <v>1.02</v>
      </c>
      <c r="H49" s="10" t="n">
        <v>1.31</v>
      </c>
      <c r="I49" s="10" t="n">
        <v>1.06</v>
      </c>
      <c r="J49" s="10" t="n">
        <v>-0.52</v>
      </c>
      <c r="K49" s="10" t="n">
        <v>0.04</v>
      </c>
      <c r="L49" s="10" t="n">
        <v>-0.5600000000000001</v>
      </c>
      <c r="M49" s="10" t="n">
        <v>-0.48</v>
      </c>
      <c r="N49" s="10" t="n">
        <v>1.54</v>
      </c>
      <c r="O49" s="10" t="n">
        <v>1.18</v>
      </c>
      <c r="P49" s="10" t="n">
        <v>1.92</v>
      </c>
      <c r="Q49" s="10" t="n">
        <v>0.85</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Fulham</t>
        </is>
      </c>
      <c r="C51" s="8" t="inlineStr">
        <is>
          <t>Manchester United</t>
        </is>
      </c>
      <c r="D51" s="8" t="n">
        <v>1</v>
      </c>
      <c r="E51" s="8" t="n">
        <v>1</v>
      </c>
      <c r="F51" s="10" t="n">
        <v>1.32</v>
      </c>
      <c r="G51" s="10" t="n">
        <v>1.8</v>
      </c>
      <c r="H51" s="10" t="n">
        <v>1.62</v>
      </c>
      <c r="I51" s="10" t="n">
        <v>1.6</v>
      </c>
      <c r="J51" s="10" t="n">
        <v>0.3</v>
      </c>
      <c r="K51" s="10" t="n">
        <v>-0.2</v>
      </c>
      <c r="L51" s="10" t="n">
        <v>0.5</v>
      </c>
      <c r="M51" s="10" t="n">
        <v>0.1</v>
      </c>
      <c r="N51" s="10" t="n">
        <v>1.4</v>
      </c>
      <c r="O51" s="10" t="n">
        <v>1.37</v>
      </c>
      <c r="P51" s="10" t="n">
        <v>1.08</v>
      </c>
      <c r="Q51" s="10" t="n">
        <v>1.69</v>
      </c>
    </row>
  </sheetData>
  <autoFilter ref="A1:Q51"/>
  <conditionalFormatting sqref="J2:J51">
    <cfRule type="colorScale" priority="1">
      <colorScale>
        <cfvo type="min"/>
        <cfvo type="num" val="0"/>
        <cfvo type="max"/>
        <color rgb="00F8696B"/>
        <color rgb="00FFFFFF"/>
        <color rgb="0063BE7B"/>
      </colorScale>
    </cfRule>
  </conditionalFormatting>
  <conditionalFormatting sqref="K2:K51">
    <cfRule type="colorScale" priority="2">
      <colorScale>
        <cfvo type="min"/>
        <cfvo type="num" val="0"/>
        <cfvo type="max"/>
        <color rgb="00F8696B"/>
        <color rgb="00FFFFFF"/>
        <color rgb="0063BE7B"/>
      </colorScale>
    </cfRule>
  </conditionalFormatting>
  <conditionalFormatting sqref="L2:L51">
    <cfRule type="colorScale" priority="3">
      <colorScale>
        <cfvo type="min"/>
        <cfvo type="num" val="0"/>
        <cfvo type="max"/>
        <color rgb="00F8696B"/>
        <color rgb="00FFFFFF"/>
        <color rgb="0063BE7B"/>
      </colorScale>
    </cfRule>
  </conditionalFormatting>
  <conditionalFormatting sqref="M2:M5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Sunderland</t>
        </is>
      </c>
      <c r="B3" s="9" t="n">
        <v>0.92</v>
      </c>
      <c r="C3" s="9" t="n">
        <v>1.08</v>
      </c>
      <c r="D3" s="9" t="n">
        <v>0.98</v>
      </c>
      <c r="E3" s="9" t="n">
        <v>0.98</v>
      </c>
      <c r="F3" s="9" t="n">
        <v>0.88</v>
      </c>
      <c r="G3" s="9" t="n">
        <v>1.44</v>
      </c>
    </row>
    <row r="4">
      <c r="A4" s="8" t="inlineStr">
        <is>
          <t>Hull</t>
        </is>
      </c>
      <c r="B4" s="10" t="n">
        <v>0.6899999999999999</v>
      </c>
      <c r="C4" s="10" t="n">
        <v>0.64</v>
      </c>
      <c r="D4" s="10" t="n">
        <v>-0.04</v>
      </c>
      <c r="E4" s="10" t="n">
        <v>-0.04</v>
      </c>
      <c r="F4" s="10" t="n">
        <v>1.18</v>
      </c>
      <c r="G4" s="10" t="n">
        <v>1.12</v>
      </c>
    </row>
    <row r="5">
      <c r="A5" s="6" t="inlineStr">
        <is>
          <t>Brighton &amp; Hove Albion</t>
        </is>
      </c>
      <c r="B5" s="9" t="n">
        <v>0.59</v>
      </c>
      <c r="C5" s="9" t="n">
        <v>0.55</v>
      </c>
      <c r="D5" s="9" t="n">
        <v>0.97</v>
      </c>
      <c r="E5" s="9" t="n">
        <v>0.55</v>
      </c>
      <c r="F5" s="9" t="n">
        <v>0.02</v>
      </c>
      <c r="G5" s="9" t="n">
        <v>0.02</v>
      </c>
    </row>
    <row r="6">
      <c r="A6" s="8" t="inlineStr">
        <is>
          <t>Brentford</t>
        </is>
      </c>
      <c r="B6" s="10" t="n">
        <v>0.53</v>
      </c>
      <c r="C6" s="10" t="n">
        <v>0.24</v>
      </c>
      <c r="D6" s="10" t="n">
        <v>1.2</v>
      </c>
      <c r="E6" s="10" t="n">
        <v>1.85</v>
      </c>
      <c r="F6" s="10" t="n">
        <v>-0.47</v>
      </c>
      <c r="G6" s="10" t="n">
        <v>-0.47</v>
      </c>
    </row>
    <row r="7">
      <c r="A7" s="6" t="inlineStr">
        <is>
          <t>Ipswich</t>
        </is>
      </c>
      <c r="B7" s="9" t="n">
        <v>0.53</v>
      </c>
      <c r="C7" s="9" t="n">
        <v>1.16</v>
      </c>
      <c r="D7" s="9" t="n">
        <v>1.19</v>
      </c>
      <c r="E7" s="9" t="n">
        <v>1.19</v>
      </c>
      <c r="F7" s="9" t="n">
        <v>0.09</v>
      </c>
      <c r="G7" s="9" t="n">
        <v>-0.04</v>
      </c>
    </row>
    <row r="8">
      <c r="A8" s="8" t="inlineStr">
        <is>
          <t>Nottingham Forest</t>
        </is>
      </c>
      <c r="B8" s="10" t="n">
        <v>0.51</v>
      </c>
      <c r="C8" s="10" t="n">
        <v>-0.04</v>
      </c>
      <c r="D8" s="10" t="n">
        <v>-0.3</v>
      </c>
      <c r="E8" s="10" t="n">
        <v>-0.29</v>
      </c>
      <c r="F8" s="10" t="n">
        <v>1.72</v>
      </c>
      <c r="G8" s="10" t="n">
        <v>1.72</v>
      </c>
    </row>
    <row r="9">
      <c r="A9" s="6" t="inlineStr">
        <is>
          <t>Coventry</t>
        </is>
      </c>
      <c r="B9" s="9" t="n">
        <v>0.26</v>
      </c>
      <c r="C9" s="9" t="n">
        <v>0.28</v>
      </c>
      <c r="D9" s="9" t="n">
        <v>-0.47</v>
      </c>
      <c r="E9" s="9" t="n">
        <v>-0.47</v>
      </c>
      <c r="F9" s="9" t="n">
        <v>0.75</v>
      </c>
      <c r="G9" s="9" t="n">
        <v>0.58</v>
      </c>
    </row>
    <row r="10">
      <c r="A10" s="8" t="inlineStr">
        <is>
          <t>Bournemouth</t>
        </is>
      </c>
      <c r="B10" s="10" t="n">
        <v>0.25</v>
      </c>
      <c r="C10" s="10" t="n">
        <v>-0.12</v>
      </c>
      <c r="D10" s="10" t="n">
        <v>0.19</v>
      </c>
      <c r="E10" s="10" t="n">
        <v>-0.12</v>
      </c>
      <c r="F10" s="10" t="n">
        <v>0.34</v>
      </c>
      <c r="G10" s="10" t="n">
        <v>0.34</v>
      </c>
    </row>
    <row r="11">
      <c r="A11" s="6" t="inlineStr">
        <is>
          <t>Leeds United</t>
        </is>
      </c>
      <c r="B11" s="9" t="n">
        <v>0.21</v>
      </c>
      <c r="C11" s="9" t="n">
        <v>0.04</v>
      </c>
      <c r="D11" s="9" t="n">
        <v>0.05</v>
      </c>
      <c r="E11" s="9" t="n">
        <v>-0.24</v>
      </c>
      <c r="F11" s="9" t="n">
        <v>0.43</v>
      </c>
      <c r="G11" s="9" t="n">
        <v>0.43</v>
      </c>
    </row>
    <row r="12">
      <c r="A12" s="8" t="inlineStr">
        <is>
          <t>Fulham</t>
        </is>
      </c>
      <c r="B12" s="10" t="n">
        <v>0.18</v>
      </c>
      <c r="C12" s="10" t="n">
        <v>0.5</v>
      </c>
      <c r="D12" s="10" t="n">
        <v>0.35</v>
      </c>
      <c r="E12" s="10" t="n">
        <v>0.5</v>
      </c>
      <c r="F12" s="10" t="n">
        <v>-0.08</v>
      </c>
      <c r="G12" s="10" t="n">
        <v>-0.08</v>
      </c>
    </row>
    <row r="13">
      <c r="A13" s="6" t="inlineStr">
        <is>
          <t>Everton</t>
        </is>
      </c>
      <c r="B13" s="9" t="n">
        <v>0.11</v>
      </c>
      <c r="C13" s="9" t="n">
        <v>0.12</v>
      </c>
      <c r="D13" s="9" t="n">
        <v>-0.15</v>
      </c>
      <c r="E13" s="9" t="n">
        <v>0.04</v>
      </c>
      <c r="F13" s="9" t="n">
        <v>0.5</v>
      </c>
      <c r="G13" s="9" t="n">
        <v>0.5</v>
      </c>
    </row>
    <row r="14">
      <c r="A14" s="8" t="inlineStr">
        <is>
          <t>Manchester United</t>
        </is>
      </c>
      <c r="B14" s="10" t="n">
        <v>-0.04</v>
      </c>
      <c r="C14" s="10" t="n">
        <v>-0.5</v>
      </c>
      <c r="D14" s="10" t="n">
        <v>0.83</v>
      </c>
      <c r="E14" s="10" t="n">
        <v>0.83</v>
      </c>
      <c r="F14" s="10" t="n">
        <v>-0.61</v>
      </c>
      <c r="G14" s="10" t="n">
        <v>-0.64</v>
      </c>
    </row>
    <row r="15">
      <c r="A15" s="6" t="inlineStr">
        <is>
          <t>Arsenal</t>
        </is>
      </c>
      <c r="B15" s="9" t="n">
        <v>-0.3</v>
      </c>
      <c r="C15" s="9" t="n">
        <v>-0.36</v>
      </c>
      <c r="D15" s="9" t="n">
        <v>0.25</v>
      </c>
      <c r="E15" s="9" t="n">
        <v>0.25</v>
      </c>
      <c r="F15" s="9" t="n">
        <v>-0.66</v>
      </c>
      <c r="G15" s="9" t="n">
        <v>-0.55</v>
      </c>
    </row>
    <row r="16">
      <c r="A16" s="8" t="inlineStr">
        <is>
          <t>Crystal Palace</t>
        </is>
      </c>
      <c r="B16" s="10" t="n">
        <v>-0.3</v>
      </c>
      <c r="C16" s="10" t="n">
        <v>-0.68</v>
      </c>
      <c r="D16" s="10" t="n">
        <v>-1.18</v>
      </c>
      <c r="E16" s="10" t="n">
        <v>-1.18</v>
      </c>
      <c r="F16" s="10" t="n">
        <v>0.28</v>
      </c>
      <c r="G16" s="10" t="n">
        <v>0.5600000000000001</v>
      </c>
    </row>
    <row r="17">
      <c r="A17" s="6" t="inlineStr">
        <is>
          <t>Liverpool</t>
        </is>
      </c>
      <c r="B17" s="9" t="n">
        <v>-0.47</v>
      </c>
      <c r="C17" s="9" t="n">
        <v>-0.73</v>
      </c>
      <c r="D17" s="9" t="n">
        <v>-1.21</v>
      </c>
      <c r="E17" s="9" t="n">
        <v>-1.21</v>
      </c>
      <c r="F17" s="9" t="n">
        <v>0.02</v>
      </c>
      <c r="G17" s="9" t="n">
        <v>0.49</v>
      </c>
    </row>
    <row r="18">
      <c r="A18" s="8" t="inlineStr">
        <is>
          <t>Manchester City</t>
        </is>
      </c>
      <c r="B18" s="10" t="n">
        <v>-0.59</v>
      </c>
      <c r="C18" s="10" t="n">
        <v>-0.28</v>
      </c>
      <c r="D18" s="10" t="n">
        <v>-1.12</v>
      </c>
      <c r="E18" s="10" t="n">
        <v>-1.39</v>
      </c>
      <c r="F18" s="10" t="n">
        <v>0.2</v>
      </c>
      <c r="G18" s="10" t="n">
        <v>0.2</v>
      </c>
    </row>
    <row r="19">
      <c r="A19" s="6" t="inlineStr">
        <is>
          <t>Aston Villa</t>
        </is>
      </c>
      <c r="B19" s="9" t="n">
        <v>-0.74</v>
      </c>
      <c r="C19" s="9" t="n">
        <v>0.18</v>
      </c>
      <c r="D19" s="9" t="n">
        <v>-0.7</v>
      </c>
      <c r="E19" s="9" t="n">
        <v>-0.7</v>
      </c>
      <c r="F19" s="9" t="n">
        <v>-0.77</v>
      </c>
      <c r="G19" s="9" t="n">
        <v>0.18</v>
      </c>
    </row>
    <row r="20">
      <c r="A20" s="8" t="inlineStr">
        <is>
          <t>Tottenham Hotspur</t>
        </is>
      </c>
      <c r="B20" s="10" t="n">
        <v>-0.75</v>
      </c>
      <c r="C20" s="10" t="n">
        <v>-0.18</v>
      </c>
      <c r="D20" s="10" t="n">
        <v>-0.29</v>
      </c>
      <c r="E20" s="10" t="n">
        <v>-0.18</v>
      </c>
      <c r="F20" s="10" t="n">
        <v>-1.45</v>
      </c>
      <c r="G20" s="10" t="n">
        <v>-1.45</v>
      </c>
    </row>
    <row r="21">
      <c r="A21" s="6" t="inlineStr">
        <is>
          <t>Chelsea</t>
        </is>
      </c>
      <c r="B21" s="9" t="n">
        <v>-0.76</v>
      </c>
      <c r="C21" s="9" t="n">
        <v>-0.78</v>
      </c>
      <c r="D21" s="9" t="n">
        <v>-0.76</v>
      </c>
      <c r="E21" s="9" t="n">
        <v>-0.76</v>
      </c>
      <c r="F21" s="9" t="n">
        <v>-0.75</v>
      </c>
      <c r="G21" s="9" t="n">
        <v>-0.78</v>
      </c>
    </row>
    <row r="22">
      <c r="A22" s="8" t="inlineStr">
        <is>
          <t>Newcastle United</t>
        </is>
      </c>
      <c r="B22" s="10" t="n">
        <v>-0.8100000000000001</v>
      </c>
      <c r="C22" s="10" t="n">
        <v>-0.96</v>
      </c>
      <c r="D22" s="10" t="n">
        <v>-0.98</v>
      </c>
      <c r="E22" s="10" t="n">
        <v>-1.04</v>
      </c>
      <c r="F22" s="10" t="n">
        <v>-0.57</v>
      </c>
      <c r="G22" s="10" t="n">
        <v>-0.57</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Sunderland</t>
        </is>
      </c>
      <c r="B26" s="6" t="n">
        <v>6</v>
      </c>
      <c r="C26" s="6" t="n">
        <v>10</v>
      </c>
      <c r="D26" s="6" t="n">
        <v>1</v>
      </c>
      <c r="E26" s="6" t="n">
        <v>2</v>
      </c>
      <c r="F26" s="6" t="n">
        <v>5</v>
      </c>
      <c r="G26" s="6" t="n">
        <v>8</v>
      </c>
    </row>
    <row r="27">
      <c r="A27" s="8" t="inlineStr">
        <is>
          <t>Hull</t>
        </is>
      </c>
      <c r="B27" s="8" t="n">
        <v>6</v>
      </c>
      <c r="C27" s="8" t="n">
        <v>4</v>
      </c>
      <c r="D27" s="8" t="n">
        <v>2</v>
      </c>
      <c r="E27" s="8" t="n">
        <v>0</v>
      </c>
      <c r="F27" s="8" t="n">
        <v>4</v>
      </c>
      <c r="G27" s="8" t="n">
        <v>4</v>
      </c>
    </row>
    <row r="28">
      <c r="A28" s="6" t="inlineStr">
        <is>
          <t>Brighton &amp; Hove Albion</t>
        </is>
      </c>
      <c r="B28" s="6" t="n">
        <v>16</v>
      </c>
      <c r="C28" s="6" t="n">
        <v>5</v>
      </c>
      <c r="D28" s="6" t="n">
        <v>8</v>
      </c>
      <c r="E28" s="6" t="n">
        <v>1</v>
      </c>
      <c r="F28" s="6" t="n">
        <v>8</v>
      </c>
      <c r="G28" s="6" t="n">
        <v>4</v>
      </c>
    </row>
    <row r="29">
      <c r="A29" s="8" t="inlineStr">
        <is>
          <t>Brentford</t>
        </is>
      </c>
      <c r="B29" s="8" t="n">
        <v>10</v>
      </c>
      <c r="C29" s="8" t="n">
        <v>4</v>
      </c>
      <c r="D29" s="8" t="n">
        <v>7</v>
      </c>
      <c r="E29" s="8" t="n">
        <v>1</v>
      </c>
      <c r="F29" s="8" t="n">
        <v>3</v>
      </c>
      <c r="G29" s="8" t="n">
        <v>3</v>
      </c>
    </row>
    <row r="30">
      <c r="A30" s="6" t="inlineStr">
        <is>
          <t>Ipswich</t>
        </is>
      </c>
      <c r="B30" s="6" t="n">
        <v>7</v>
      </c>
      <c r="C30" s="6" t="n">
        <v>11</v>
      </c>
      <c r="D30" s="6" t="n">
        <v>2</v>
      </c>
      <c r="E30" s="6" t="n">
        <v>3</v>
      </c>
      <c r="F30" s="6" t="n">
        <v>5</v>
      </c>
      <c r="G30" s="6" t="n">
        <v>8</v>
      </c>
    </row>
    <row r="31">
      <c r="A31" s="8" t="inlineStr">
        <is>
          <t>Nottingham Forest</t>
        </is>
      </c>
      <c r="B31" s="8" t="n">
        <v>4</v>
      </c>
      <c r="C31" s="8" t="n">
        <v>5</v>
      </c>
      <c r="D31" s="8" t="n">
        <v>0</v>
      </c>
      <c r="E31" s="8" t="n">
        <v>2</v>
      </c>
      <c r="F31" s="8" t="n">
        <v>4</v>
      </c>
      <c r="G31" s="8" t="n">
        <v>3</v>
      </c>
    </row>
    <row r="32">
      <c r="A32" s="6" t="inlineStr">
        <is>
          <t>Coventry</t>
        </is>
      </c>
      <c r="B32" s="6" t="n">
        <v>1</v>
      </c>
      <c r="C32" s="6" t="n">
        <v>10</v>
      </c>
      <c r="D32" s="6" t="n">
        <v>0</v>
      </c>
      <c r="E32" s="6" t="n">
        <v>6</v>
      </c>
      <c r="F32" s="6" t="n">
        <v>1</v>
      </c>
      <c r="G32" s="6" t="n">
        <v>4</v>
      </c>
    </row>
    <row r="33">
      <c r="A33" s="8" t="inlineStr">
        <is>
          <t>Bournemouth</t>
        </is>
      </c>
      <c r="B33" s="8" t="n">
        <v>6</v>
      </c>
      <c r="C33" s="8" t="n">
        <v>8</v>
      </c>
      <c r="D33" s="8" t="n">
        <v>3</v>
      </c>
      <c r="E33" s="8" t="n">
        <v>4</v>
      </c>
      <c r="F33" s="8" t="n">
        <v>3</v>
      </c>
      <c r="G33" s="8" t="n">
        <v>4</v>
      </c>
    </row>
    <row r="34">
      <c r="A34" s="6" t="inlineStr">
        <is>
          <t>Leeds United</t>
        </is>
      </c>
      <c r="B34" s="6" t="n">
        <v>7</v>
      </c>
      <c r="C34" s="6" t="n">
        <v>3</v>
      </c>
      <c r="D34" s="6" t="n">
        <v>5</v>
      </c>
      <c r="E34" s="6" t="n">
        <v>2</v>
      </c>
      <c r="F34" s="6" t="n">
        <v>2</v>
      </c>
      <c r="G34" s="6" t="n">
        <v>1</v>
      </c>
    </row>
    <row r="35">
      <c r="A35" s="8" t="inlineStr">
        <is>
          <t>Fulham</t>
        </is>
      </c>
      <c r="B35" s="8" t="n">
        <v>5</v>
      </c>
      <c r="C35" s="8" t="n">
        <v>8</v>
      </c>
      <c r="D35" s="8" t="n">
        <v>5</v>
      </c>
      <c r="E35" s="8" t="n">
        <v>7</v>
      </c>
      <c r="F35" s="8" t="n">
        <v>0</v>
      </c>
      <c r="G35" s="8" t="n">
        <v>1</v>
      </c>
    </row>
    <row r="36">
      <c r="A36" s="6" t="inlineStr">
        <is>
          <t>Everton</t>
        </is>
      </c>
      <c r="B36" s="6" t="n">
        <v>6</v>
      </c>
      <c r="C36" s="6" t="n">
        <v>3</v>
      </c>
      <c r="D36" s="6" t="n">
        <v>5</v>
      </c>
      <c r="E36" s="6" t="n">
        <v>2</v>
      </c>
      <c r="F36" s="6" t="n">
        <v>1</v>
      </c>
      <c r="G36" s="6" t="n">
        <v>1</v>
      </c>
    </row>
    <row r="37">
      <c r="A37" s="8" t="inlineStr">
        <is>
          <t>Manchester United</t>
        </is>
      </c>
      <c r="B37" s="8" t="n">
        <v>8</v>
      </c>
      <c r="C37" s="8" t="n">
        <v>8</v>
      </c>
      <c r="D37" s="8" t="n">
        <v>5</v>
      </c>
      <c r="E37" s="8" t="n">
        <v>3</v>
      </c>
      <c r="F37" s="8" t="n">
        <v>3</v>
      </c>
      <c r="G37" s="8" t="n">
        <v>5</v>
      </c>
    </row>
    <row r="38">
      <c r="A38" s="6" t="inlineStr">
        <is>
          <t>Arsenal</t>
        </is>
      </c>
      <c r="B38" s="6" t="n">
        <v>8</v>
      </c>
      <c r="C38" s="6" t="n">
        <v>4</v>
      </c>
      <c r="D38" s="6" t="n">
        <v>5</v>
      </c>
      <c r="E38" s="6" t="n">
        <v>1</v>
      </c>
      <c r="F38" s="6" t="n">
        <v>3</v>
      </c>
      <c r="G38" s="6" t="n">
        <v>3</v>
      </c>
    </row>
    <row r="39">
      <c r="A39" s="8" t="inlineStr">
        <is>
          <t>Crystal Palace</t>
        </is>
      </c>
      <c r="B39" s="8" t="n">
        <v>6</v>
      </c>
      <c r="C39" s="8" t="n">
        <v>11</v>
      </c>
      <c r="D39" s="8" t="n">
        <v>3</v>
      </c>
      <c r="E39" s="8" t="n">
        <v>7</v>
      </c>
      <c r="F39" s="8" t="n">
        <v>3</v>
      </c>
      <c r="G39" s="8" t="n">
        <v>4</v>
      </c>
    </row>
    <row r="40">
      <c r="A40" s="6" t="inlineStr">
        <is>
          <t>Liverpool</t>
        </is>
      </c>
      <c r="B40" s="6" t="n">
        <v>7</v>
      </c>
      <c r="C40" s="6" t="n">
        <v>4</v>
      </c>
      <c r="D40" s="6" t="n">
        <v>2</v>
      </c>
      <c r="E40" s="6" t="n">
        <v>2</v>
      </c>
      <c r="F40" s="6" t="n">
        <v>5</v>
      </c>
      <c r="G40" s="6" t="n">
        <v>2</v>
      </c>
    </row>
    <row r="41">
      <c r="A41" s="8" t="inlineStr">
        <is>
          <t>Manchester City</t>
        </is>
      </c>
      <c r="B41" s="8" t="n">
        <v>13</v>
      </c>
      <c r="C41" s="8" t="n">
        <v>5</v>
      </c>
      <c r="D41" s="8" t="n">
        <v>8</v>
      </c>
      <c r="E41" s="8" t="n">
        <v>4</v>
      </c>
      <c r="F41" s="8" t="n">
        <v>5</v>
      </c>
      <c r="G41" s="8" t="n">
        <v>1</v>
      </c>
    </row>
    <row r="42">
      <c r="A42" s="6" t="inlineStr">
        <is>
          <t>Aston Villa</t>
        </is>
      </c>
      <c r="B42" s="6" t="n">
        <v>4</v>
      </c>
      <c r="C42" s="6" t="n">
        <v>9</v>
      </c>
      <c r="D42" s="6" t="n">
        <v>1</v>
      </c>
      <c r="E42" s="6" t="n">
        <v>3</v>
      </c>
      <c r="F42" s="6" t="n">
        <v>3</v>
      </c>
      <c r="G42" s="6" t="n">
        <v>6</v>
      </c>
    </row>
    <row r="43">
      <c r="A43" s="8" t="inlineStr">
        <is>
          <t>Tottenham Hotspur</t>
        </is>
      </c>
      <c r="B43" s="8" t="n">
        <v>2</v>
      </c>
      <c r="C43" s="8" t="n">
        <v>8</v>
      </c>
      <c r="D43" s="8" t="n">
        <v>2</v>
      </c>
      <c r="E43" s="8" t="n">
        <v>5</v>
      </c>
      <c r="F43" s="8" t="n">
        <v>0</v>
      </c>
      <c r="G43" s="8" t="n">
        <v>3</v>
      </c>
    </row>
    <row r="44">
      <c r="A44" s="6" t="inlineStr">
        <is>
          <t>Chelsea</t>
        </is>
      </c>
      <c r="B44" s="6" t="n">
        <v>10</v>
      </c>
      <c r="C44" s="6" t="n">
        <v>12</v>
      </c>
      <c r="D44" s="6" t="n">
        <v>6</v>
      </c>
      <c r="E44" s="6" t="n">
        <v>5</v>
      </c>
      <c r="F44" s="6" t="n">
        <v>4</v>
      </c>
      <c r="G44" s="6" t="n">
        <v>7</v>
      </c>
    </row>
    <row r="45">
      <c r="A45" s="8" t="inlineStr">
        <is>
          <t>Newcastle United</t>
        </is>
      </c>
      <c r="B45" s="8" t="n">
        <v>9</v>
      </c>
      <c r="C45" s="8" t="n">
        <v>9</v>
      </c>
      <c r="D45" s="8" t="n">
        <v>6</v>
      </c>
      <c r="E45" s="8" t="n">
        <v>5</v>
      </c>
      <c r="F45" s="8" t="n">
        <v>3</v>
      </c>
      <c r="G45" s="8" t="n">
        <v>4</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row>
    <row r="2">
      <c r="A2" s="6" t="inlineStr">
        <is>
          <t>Sunderland</t>
        </is>
      </c>
      <c r="B2" s="14">
        <f>'Sunderland'!$E$20</f>
        <v/>
      </c>
      <c r="C2" s="9">
        <f>'Sunderland'!$R$2</f>
        <v/>
      </c>
      <c r="D2" s="9">
        <f>'Sunderland'!$R$3</f>
        <v/>
      </c>
      <c r="E2" s="9">
        <f>'Sunderland'!$R$4</f>
        <v/>
      </c>
      <c r="F2" s="9">
        <f>'Sunderland'!$R$5</f>
        <v/>
      </c>
      <c r="G2" s="9">
        <f>'Sunderland'!$R$6</f>
        <v/>
      </c>
    </row>
    <row r="3">
      <c r="A3" s="6" t="inlineStr">
        <is>
          <t>Hull</t>
        </is>
      </c>
      <c r="B3" s="14">
        <f>'Hull'!$E$20</f>
        <v/>
      </c>
      <c r="C3" s="9">
        <f>'Hull'!$R$2</f>
        <v/>
      </c>
      <c r="D3" s="9">
        <f>'Hull'!$R$3</f>
        <v/>
      </c>
      <c r="E3" s="9">
        <f>'Hull'!$R$4</f>
        <v/>
      </c>
      <c r="F3" s="9">
        <f>'Hull'!$R$5</f>
        <v/>
      </c>
      <c r="G3" s="9">
        <f>'Hull'!$R$6</f>
        <v/>
      </c>
    </row>
    <row r="4">
      <c r="A4" s="6" t="inlineStr">
        <is>
          <t>Brighton &amp; Hove Albion</t>
        </is>
      </c>
      <c r="B4" s="14">
        <f>'Brighton &amp; Hove Albion'!$E$20</f>
        <v/>
      </c>
      <c r="C4" s="9">
        <f>'Brighton &amp; Hove Albion'!$R$2</f>
        <v/>
      </c>
      <c r="D4" s="9">
        <f>'Brighton &amp; Hove Albion'!$R$3</f>
        <v/>
      </c>
      <c r="E4" s="9">
        <f>'Brighton &amp; Hove Albion'!$R$4</f>
        <v/>
      </c>
      <c r="F4" s="9">
        <f>'Brighton &amp; Hove Albion'!$R$5</f>
        <v/>
      </c>
      <c r="G4" s="9">
        <f>'Brighton &amp; Hove Albion'!$R$6</f>
        <v/>
      </c>
    </row>
    <row r="5">
      <c r="A5" s="6" t="inlineStr">
        <is>
          <t>Brentford</t>
        </is>
      </c>
      <c r="B5" s="14">
        <f>'Brentford'!$E$20</f>
        <v/>
      </c>
      <c r="C5" s="9">
        <f>'Brentford'!$R$2</f>
        <v/>
      </c>
      <c r="D5" s="9">
        <f>'Brentford'!$R$3</f>
        <v/>
      </c>
      <c r="E5" s="9">
        <f>'Brentford'!$R$4</f>
        <v/>
      </c>
      <c r="F5" s="9">
        <f>'Brentford'!$R$5</f>
        <v/>
      </c>
      <c r="G5" s="9">
        <f>'Brentford'!$R$6</f>
        <v/>
      </c>
    </row>
    <row r="6">
      <c r="A6" s="6" t="inlineStr">
        <is>
          <t>Ipswich</t>
        </is>
      </c>
      <c r="B6" s="14">
        <f>'Ipswich'!$E$20</f>
        <v/>
      </c>
      <c r="C6" s="9">
        <f>'Ipswich'!$R$2</f>
        <v/>
      </c>
      <c r="D6" s="9">
        <f>'Ipswich'!$R$3</f>
        <v/>
      </c>
      <c r="E6" s="9">
        <f>'Ipswich'!$R$4</f>
        <v/>
      </c>
      <c r="F6" s="9">
        <f>'Ipswich'!$R$5</f>
        <v/>
      </c>
      <c r="G6" s="9">
        <f>'Ipswich'!$R$6</f>
        <v/>
      </c>
    </row>
    <row r="7">
      <c r="A7" s="6" t="inlineStr">
        <is>
          <t>Nottingham Forest</t>
        </is>
      </c>
      <c r="B7" s="14">
        <f>'Nottingham Forest'!$E$20</f>
        <v/>
      </c>
      <c r="C7" s="9">
        <f>'Nottingham Forest'!$R$2</f>
        <v/>
      </c>
      <c r="D7" s="9">
        <f>'Nottingham Forest'!$R$3</f>
        <v/>
      </c>
      <c r="E7" s="9">
        <f>'Nottingham Forest'!$R$4</f>
        <v/>
      </c>
      <c r="F7" s="9">
        <f>'Nottingham Forest'!$R$5</f>
        <v/>
      </c>
      <c r="G7" s="9">
        <f>'Nottingham Forest'!$R$6</f>
        <v/>
      </c>
    </row>
    <row r="8">
      <c r="A8" s="6" t="inlineStr">
        <is>
          <t>Coventry</t>
        </is>
      </c>
      <c r="B8" s="14">
        <f>'Coventry'!$E$20</f>
        <v/>
      </c>
      <c r="C8" s="9">
        <f>'Coventry'!$R$2</f>
        <v/>
      </c>
      <c r="D8" s="9">
        <f>'Coventry'!$R$3</f>
        <v/>
      </c>
      <c r="E8" s="9">
        <f>'Coventry'!$R$4</f>
        <v/>
      </c>
      <c r="F8" s="9">
        <f>'Coventry'!$R$5</f>
        <v/>
      </c>
      <c r="G8" s="9">
        <f>'Coventry'!$R$6</f>
        <v/>
      </c>
    </row>
    <row r="9">
      <c r="A9" s="6" t="inlineStr">
        <is>
          <t>Bournemouth</t>
        </is>
      </c>
      <c r="B9" s="14">
        <f>'Bournemouth'!$E$20</f>
        <v/>
      </c>
      <c r="C9" s="9">
        <f>'Bournemouth'!$R$2</f>
        <v/>
      </c>
      <c r="D9" s="9">
        <f>'Bournemouth'!$R$3</f>
        <v/>
      </c>
      <c r="E9" s="9">
        <f>'Bournemouth'!$R$4</f>
        <v/>
      </c>
      <c r="F9" s="9">
        <f>'Bournemouth'!$R$5</f>
        <v/>
      </c>
      <c r="G9" s="9">
        <f>'Bournemouth'!$R$6</f>
        <v/>
      </c>
    </row>
    <row r="10">
      <c r="A10" s="6" t="inlineStr">
        <is>
          <t>Leeds United</t>
        </is>
      </c>
      <c r="B10" s="14">
        <f>'Leeds United'!$E$20</f>
        <v/>
      </c>
      <c r="C10" s="9">
        <f>'Leeds United'!$R$2</f>
        <v/>
      </c>
      <c r="D10" s="9">
        <f>'Leeds United'!$R$3</f>
        <v/>
      </c>
      <c r="E10" s="9">
        <f>'Leeds United'!$R$4</f>
        <v/>
      </c>
      <c r="F10" s="9">
        <f>'Leeds United'!$R$5</f>
        <v/>
      </c>
      <c r="G10" s="9">
        <f>'Leeds United'!$R$6</f>
        <v/>
      </c>
    </row>
    <row r="11">
      <c r="A11" s="6" t="inlineStr">
        <is>
          <t>Fulham</t>
        </is>
      </c>
      <c r="B11" s="14">
        <f>'Fulham'!$E$20</f>
        <v/>
      </c>
      <c r="C11" s="9">
        <f>'Fulham'!$R$2</f>
        <v/>
      </c>
      <c r="D11" s="9">
        <f>'Fulham'!$R$3</f>
        <v/>
      </c>
      <c r="E11" s="9">
        <f>'Fulham'!$R$4</f>
        <v/>
      </c>
      <c r="F11" s="9">
        <f>'Fulham'!$R$5</f>
        <v/>
      </c>
      <c r="G11" s="9">
        <f>'Fulham'!$R$6</f>
        <v/>
      </c>
    </row>
    <row r="12">
      <c r="A12" s="6" t="inlineStr">
        <is>
          <t>Everton</t>
        </is>
      </c>
      <c r="B12" s="14">
        <f>'Everton'!$E$20</f>
        <v/>
      </c>
      <c r="C12" s="9">
        <f>'Everton'!$R$2</f>
        <v/>
      </c>
      <c r="D12" s="9">
        <f>'Everton'!$R$3</f>
        <v/>
      </c>
      <c r="E12" s="9">
        <f>'Everton'!$R$4</f>
        <v/>
      </c>
      <c r="F12" s="9">
        <f>'Everton'!$R$5</f>
        <v/>
      </c>
      <c r="G12" s="9">
        <f>'Everton'!$R$6</f>
        <v/>
      </c>
    </row>
    <row r="13">
      <c r="A13" s="6" t="inlineStr">
        <is>
          <t>Manchester United</t>
        </is>
      </c>
      <c r="B13" s="14">
        <f>'Manchester United'!$E$20</f>
        <v/>
      </c>
      <c r="C13" s="9">
        <f>'Manchester United'!$R$2</f>
        <v/>
      </c>
      <c r="D13" s="9">
        <f>'Manchester United'!$R$3</f>
        <v/>
      </c>
      <c r="E13" s="9">
        <f>'Manchester United'!$R$4</f>
        <v/>
      </c>
      <c r="F13" s="9">
        <f>'Manchester United'!$R$5</f>
        <v/>
      </c>
      <c r="G13" s="9">
        <f>'Manchester United'!$R$6</f>
        <v/>
      </c>
    </row>
    <row r="14">
      <c r="A14" s="6" t="inlineStr">
        <is>
          <t>Arsenal</t>
        </is>
      </c>
      <c r="B14" s="14">
        <f>'Arsenal'!$E$20</f>
        <v/>
      </c>
      <c r="C14" s="9">
        <f>'Arsenal'!$R$2</f>
        <v/>
      </c>
      <c r="D14" s="9">
        <f>'Arsenal'!$R$3</f>
        <v/>
      </c>
      <c r="E14" s="9">
        <f>'Arsenal'!$R$4</f>
        <v/>
      </c>
      <c r="F14" s="9">
        <f>'Arsenal'!$R$5</f>
        <v/>
      </c>
      <c r="G14" s="9">
        <f>'Arsenal'!$R$6</f>
        <v/>
      </c>
    </row>
    <row r="15">
      <c r="A15" s="6" t="inlineStr">
        <is>
          <t>Crystal Palace</t>
        </is>
      </c>
      <c r="B15" s="14">
        <f>'Crystal Palace'!$E$20</f>
        <v/>
      </c>
      <c r="C15" s="9">
        <f>'Crystal Palace'!$R$2</f>
        <v/>
      </c>
      <c r="D15" s="9">
        <f>'Crystal Palace'!$R$3</f>
        <v/>
      </c>
      <c r="E15" s="9">
        <f>'Crystal Palace'!$R$4</f>
        <v/>
      </c>
      <c r="F15" s="9">
        <f>'Crystal Palace'!$R$5</f>
        <v/>
      </c>
      <c r="G15" s="9">
        <f>'Crystal Palace'!$R$6</f>
        <v/>
      </c>
    </row>
    <row r="16">
      <c r="A16" s="6" t="inlineStr">
        <is>
          <t>Liverpool</t>
        </is>
      </c>
      <c r="B16" s="14">
        <f>'Liverpool'!$E$20</f>
        <v/>
      </c>
      <c r="C16" s="9">
        <f>'Liverpool'!$R$2</f>
        <v/>
      </c>
      <c r="D16" s="9">
        <f>'Liverpool'!$R$3</f>
        <v/>
      </c>
      <c r="E16" s="9">
        <f>'Liverpool'!$R$4</f>
        <v/>
      </c>
      <c r="F16" s="9">
        <f>'Liverpool'!$R$5</f>
        <v/>
      </c>
      <c r="G16" s="9">
        <f>'Liverpool'!$R$6</f>
        <v/>
      </c>
    </row>
    <row r="17">
      <c r="A17" s="6" t="inlineStr">
        <is>
          <t>Manchester City</t>
        </is>
      </c>
      <c r="B17" s="14">
        <f>'Manchester City'!$E$20</f>
        <v/>
      </c>
      <c r="C17" s="9">
        <f>'Manchester City'!$R$2</f>
        <v/>
      </c>
      <c r="D17" s="9">
        <f>'Manchester City'!$R$3</f>
        <v/>
      </c>
      <c r="E17" s="9">
        <f>'Manchester City'!$R$4</f>
        <v/>
      </c>
      <c r="F17" s="9">
        <f>'Manchester City'!$R$5</f>
        <v/>
      </c>
      <c r="G17" s="9">
        <f>'Manchester City'!$R$6</f>
        <v/>
      </c>
    </row>
    <row r="18">
      <c r="A18" s="6" t="inlineStr">
        <is>
          <t>Aston Villa</t>
        </is>
      </c>
      <c r="B18" s="14">
        <f>'Aston Villa'!$E$20</f>
        <v/>
      </c>
      <c r="C18" s="9">
        <f>'Aston Villa'!$R$2</f>
        <v/>
      </c>
      <c r="D18" s="9">
        <f>'Aston Villa'!$R$3</f>
        <v/>
      </c>
      <c r="E18" s="9">
        <f>'Aston Villa'!$R$4</f>
        <v/>
      </c>
      <c r="F18" s="9">
        <f>'Aston Villa'!$R$5</f>
        <v/>
      </c>
      <c r="G18" s="9">
        <f>'Aston Villa'!$R$6</f>
        <v/>
      </c>
    </row>
    <row r="19">
      <c r="A19" s="6" t="inlineStr">
        <is>
          <t>Tottenham Hotspur</t>
        </is>
      </c>
      <c r="B19" s="14">
        <f>'Tottenham Hotspur'!$E$20</f>
        <v/>
      </c>
      <c r="C19" s="9">
        <f>'Tottenham Hotspur'!$R$2</f>
        <v/>
      </c>
      <c r="D19" s="9">
        <f>'Tottenham Hotspur'!$R$3</f>
        <v/>
      </c>
      <c r="E19" s="9">
        <f>'Tottenham Hotspur'!$R$4</f>
        <v/>
      </c>
      <c r="F19" s="9">
        <f>'Tottenham Hotspur'!$R$5</f>
        <v/>
      </c>
      <c r="G19" s="9">
        <f>'Tottenham Hotspur'!$R$6</f>
        <v/>
      </c>
    </row>
    <row r="20">
      <c r="A20" s="6" t="inlineStr">
        <is>
          <t>Chelsea</t>
        </is>
      </c>
      <c r="B20" s="14">
        <f>'Chelsea'!$E$20</f>
        <v/>
      </c>
      <c r="C20" s="9">
        <f>'Chelsea'!$R$2</f>
        <v/>
      </c>
      <c r="D20" s="9">
        <f>'Chelsea'!$R$3</f>
        <v/>
      </c>
      <c r="E20" s="9">
        <f>'Chelsea'!$R$4</f>
        <v/>
      </c>
      <c r="F20" s="9">
        <f>'Chelsea'!$R$5</f>
        <v/>
      </c>
      <c r="G20" s="9">
        <f>'Chelsea'!$R$6</f>
        <v/>
      </c>
    </row>
    <row r="21">
      <c r="A21" s="6" t="inlineStr">
        <is>
          <t>Newcastle United</t>
        </is>
      </c>
      <c r="B21" s="14">
        <f>'Newcastle United'!$E$20</f>
        <v/>
      </c>
      <c r="C21" s="9">
        <f>'Newcastle United'!$R$2</f>
        <v/>
      </c>
      <c r="D21" s="9">
        <f>'Newcastle United'!$R$3</f>
        <v/>
      </c>
      <c r="E21" s="9">
        <f>'Newcastle United'!$R$4</f>
        <v/>
      </c>
      <c r="F21" s="9">
        <f>'Newcastle United'!$R$5</f>
        <v/>
      </c>
      <c r="G21" s="9">
        <f>'Newcastle United'!$R$6</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Brentford</t>
        </is>
      </c>
      <c r="B2" s="14" t="n">
        <v>1.2</v>
      </c>
      <c r="C2" s="9" t="n">
        <v>3.18</v>
      </c>
      <c r="D2" s="9" t="n">
        <v>-1.44</v>
      </c>
      <c r="E2" s="9" t="n">
        <v>1.85</v>
      </c>
    </row>
    <row r="3">
      <c r="A3" s="6" t="inlineStr">
        <is>
          <t>Ipswich</t>
        </is>
      </c>
      <c r="B3" s="14" t="n">
        <v>1.19</v>
      </c>
      <c r="C3" s="9" t="n">
        <v>1.16</v>
      </c>
      <c r="D3" s="9" t="n">
        <v>1.21</v>
      </c>
      <c r="E3" s="6" t="n"/>
    </row>
    <row r="4">
      <c r="A4" s="6" t="inlineStr">
        <is>
          <t>Sunderland</t>
        </is>
      </c>
      <c r="B4" s="14" t="n">
        <v>0.98</v>
      </c>
      <c r="C4" s="9" t="n">
        <v>0.88</v>
      </c>
      <c r="D4" s="9" t="n">
        <v>1.08</v>
      </c>
      <c r="E4" s="6" t="n"/>
    </row>
    <row r="5">
      <c r="A5" s="6" t="inlineStr">
        <is>
          <t>Brighton &amp; Hove Albion</t>
        </is>
      </c>
      <c r="B5" s="14" t="n">
        <v>0.97</v>
      </c>
      <c r="C5" s="9" t="n">
        <v>3.2</v>
      </c>
      <c r="D5" s="9" t="n">
        <v>-0.83</v>
      </c>
      <c r="E5" s="9" t="n">
        <v>0.55</v>
      </c>
    </row>
    <row r="6">
      <c r="A6" s="6" t="inlineStr">
        <is>
          <t>Manchester United</t>
        </is>
      </c>
      <c r="B6" s="14" t="n">
        <v>0.83</v>
      </c>
      <c r="C6" s="9" t="n">
        <v>1.37</v>
      </c>
      <c r="D6" s="9" t="n">
        <v>0.28</v>
      </c>
      <c r="E6" s="6" t="n"/>
    </row>
    <row r="7">
      <c r="A7" s="6" t="inlineStr">
        <is>
          <t>Fulham</t>
        </is>
      </c>
      <c r="B7" s="14" t="n">
        <v>0.35</v>
      </c>
      <c r="C7" s="9" t="n">
        <v>-0.37</v>
      </c>
      <c r="D7" s="9" t="n">
        <v>0.91</v>
      </c>
      <c r="E7" s="9" t="n">
        <v>0.5</v>
      </c>
    </row>
    <row r="8">
      <c r="A8" s="6" t="inlineStr">
        <is>
          <t>Arsenal</t>
        </is>
      </c>
      <c r="B8" s="14" t="n">
        <v>0.25</v>
      </c>
      <c r="C8" s="9" t="n">
        <v>-0.28</v>
      </c>
      <c r="D8" s="9" t="n">
        <v>0.78</v>
      </c>
      <c r="E8" s="6" t="n"/>
    </row>
    <row r="9">
      <c r="A9" s="6" t="inlineStr">
        <is>
          <t>Bournemouth</t>
        </is>
      </c>
      <c r="B9" s="14" t="n">
        <v>0.19</v>
      </c>
      <c r="C9" s="9" t="n">
        <v>-0.12</v>
      </c>
      <c r="D9" s="9" t="n">
        <v>1.19</v>
      </c>
      <c r="E9" s="9" t="n">
        <v>-0.49</v>
      </c>
    </row>
    <row r="10">
      <c r="A10" s="6" t="inlineStr">
        <is>
          <t>Leeds United</t>
        </is>
      </c>
      <c r="B10" s="14" t="n">
        <v>0.05</v>
      </c>
      <c r="C10" s="9" t="n">
        <v>-0.24</v>
      </c>
      <c r="D10" s="9" t="n">
        <v>0.96</v>
      </c>
      <c r="E10" s="9" t="n">
        <v>-0.5600000000000001</v>
      </c>
    </row>
    <row r="11">
      <c r="A11" s="6" t="inlineStr">
        <is>
          <t>Hull</t>
        </is>
      </c>
      <c r="B11" s="14" t="n">
        <v>-0.04</v>
      </c>
      <c r="C11" s="9" t="n">
        <v>0.64</v>
      </c>
      <c r="D11" s="9" t="n">
        <v>-0.72</v>
      </c>
      <c r="E11" s="6" t="n"/>
    </row>
    <row r="12">
      <c r="A12" s="6" t="inlineStr">
        <is>
          <t>Everton</t>
        </is>
      </c>
      <c r="B12" s="14" t="n">
        <v>-0.15</v>
      </c>
      <c r="C12" s="9" t="n">
        <v>-1.18</v>
      </c>
      <c r="D12" s="9" t="n">
        <v>0.6899999999999999</v>
      </c>
      <c r="E12" s="9" t="n">
        <v>0.04</v>
      </c>
    </row>
    <row r="13">
      <c r="A13" s="6" t="inlineStr">
        <is>
          <t>Tottenham Hotspur</t>
        </is>
      </c>
      <c r="B13" s="14" t="n">
        <v>-0.29</v>
      </c>
      <c r="C13" s="9" t="n">
        <v>0.18</v>
      </c>
      <c r="D13" s="9" t="n">
        <v>-0.88</v>
      </c>
      <c r="E13" s="9" t="n">
        <v>-0.18</v>
      </c>
    </row>
    <row r="14">
      <c r="A14" s="6" t="inlineStr">
        <is>
          <t>Nottingham Forest</t>
        </is>
      </c>
      <c r="B14" s="14" t="n">
        <v>-0.3</v>
      </c>
      <c r="C14" s="9" t="n">
        <v>-0.04</v>
      </c>
      <c r="D14" s="9" t="n">
        <v>-0.29</v>
      </c>
      <c r="E14" s="9" t="n">
        <v>-0.58</v>
      </c>
    </row>
    <row r="15">
      <c r="A15" s="6" t="inlineStr">
        <is>
          <t>Coventry</t>
        </is>
      </c>
      <c r="B15" s="14" t="n">
        <v>-0.47</v>
      </c>
      <c r="C15" s="9" t="n">
        <v>-0.03</v>
      </c>
      <c r="D15" s="9" t="n">
        <v>-0.9</v>
      </c>
      <c r="E15" s="6" t="n"/>
    </row>
    <row r="16">
      <c r="A16" s="6" t="inlineStr">
        <is>
          <t>Aston Villa</t>
        </is>
      </c>
      <c r="B16" s="14" t="n">
        <v>-0.7</v>
      </c>
      <c r="C16" s="9" t="n">
        <v>0.36</v>
      </c>
      <c r="D16" s="9" t="n">
        <v>-1.76</v>
      </c>
      <c r="E16" s="6" t="n"/>
    </row>
    <row r="17">
      <c r="A17" s="6" t="inlineStr">
        <is>
          <t>Chelsea</t>
        </is>
      </c>
      <c r="B17" s="14" t="n">
        <v>-0.76</v>
      </c>
      <c r="C17" s="9" t="n">
        <v>0.86</v>
      </c>
      <c r="D17" s="9" t="n">
        <v>-2.38</v>
      </c>
      <c r="E17" s="6" t="n"/>
    </row>
    <row r="18">
      <c r="A18" s="6" t="inlineStr">
        <is>
          <t>Newcastle United</t>
        </is>
      </c>
      <c r="B18" s="14" t="n">
        <v>-0.98</v>
      </c>
      <c r="C18" s="9" t="n">
        <v>-0.77</v>
      </c>
      <c r="D18" s="9" t="n">
        <v>-1.04</v>
      </c>
      <c r="E18" s="9" t="n">
        <v>-1.12</v>
      </c>
    </row>
    <row r="19">
      <c r="A19" s="6" t="inlineStr">
        <is>
          <t>Manchester City</t>
        </is>
      </c>
      <c r="B19" s="14" t="n">
        <v>-1.12</v>
      </c>
      <c r="C19" s="9" t="n">
        <v>0.37</v>
      </c>
      <c r="D19" s="9" t="n">
        <v>-1.39</v>
      </c>
      <c r="E19" s="9" t="n">
        <v>-2.35</v>
      </c>
    </row>
    <row r="20">
      <c r="A20" s="6" t="inlineStr">
        <is>
          <t>Crystal Palace</t>
        </is>
      </c>
      <c r="B20" s="14" t="n">
        <v>-1.18</v>
      </c>
      <c r="C20" s="9" t="n">
        <v>-0.68</v>
      </c>
      <c r="D20" s="9" t="n">
        <v>-1.67</v>
      </c>
      <c r="E20" s="6" t="n"/>
    </row>
    <row r="21">
      <c r="A21" s="6" t="inlineStr">
        <is>
          <t>Liverpool</t>
        </is>
      </c>
      <c r="B21" s="14" t="n">
        <v>-1.21</v>
      </c>
      <c r="C21" s="9" t="n">
        <v>-1.68</v>
      </c>
      <c r="D21" s="9" t="n">
        <v>-0.73</v>
      </c>
      <c r="E21" s="6" t="n"/>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Nottingham Forest</t>
        </is>
      </c>
      <c r="B2" s="14" t="n">
        <v>1.72</v>
      </c>
      <c r="C2" s="9" t="n">
        <v>1.68</v>
      </c>
      <c r="D2" s="9" t="n">
        <v>1.76</v>
      </c>
      <c r="E2" s="6" t="n"/>
    </row>
    <row r="3">
      <c r="A3" s="6" t="inlineStr">
        <is>
          <t>Hull</t>
        </is>
      </c>
      <c r="B3" s="14" t="n">
        <v>1.18</v>
      </c>
      <c r="C3" s="9" t="n">
        <v>0.03</v>
      </c>
      <c r="D3" s="9" t="n">
        <v>2.38</v>
      </c>
      <c r="E3" s="9" t="n">
        <v>1.12</v>
      </c>
    </row>
    <row r="4">
      <c r="A4" s="6" t="inlineStr">
        <is>
          <t>Sunderland</t>
        </is>
      </c>
      <c r="B4" s="14" t="n">
        <v>0.88</v>
      </c>
      <c r="C4" s="9" t="n">
        <v>-1.16</v>
      </c>
      <c r="D4" s="9" t="n">
        <v>1.44</v>
      </c>
      <c r="E4" s="9" t="n">
        <v>2.35</v>
      </c>
    </row>
    <row r="5">
      <c r="A5" s="6" t="inlineStr">
        <is>
          <t>Coventry</t>
        </is>
      </c>
      <c r="B5" s="14" t="n">
        <v>0.75</v>
      </c>
      <c r="C5" s="9" t="n">
        <v>0.28</v>
      </c>
      <c r="D5" s="9" t="n">
        <v>1.39</v>
      </c>
      <c r="E5" s="9" t="n">
        <v>0.58</v>
      </c>
    </row>
    <row r="6">
      <c r="A6" s="6" t="inlineStr">
        <is>
          <t>Everton</t>
        </is>
      </c>
      <c r="B6" s="14" t="n">
        <v>0.5</v>
      </c>
      <c r="C6" s="9" t="n">
        <v>0.12</v>
      </c>
      <c r="D6" s="9" t="n">
        <v>0.88</v>
      </c>
      <c r="E6" s="6" t="n"/>
    </row>
    <row r="7">
      <c r="A7" s="6" t="inlineStr">
        <is>
          <t>Leeds United</t>
        </is>
      </c>
      <c r="B7" s="14" t="n">
        <v>0.43</v>
      </c>
      <c r="C7" s="9" t="n">
        <v>0.04</v>
      </c>
      <c r="D7" s="9" t="n">
        <v>0.83</v>
      </c>
      <c r="E7" s="6" t="n"/>
    </row>
    <row r="8">
      <c r="A8" s="6" t="inlineStr">
        <is>
          <t>Bournemouth</t>
        </is>
      </c>
      <c r="B8" s="14" t="n">
        <v>0.34</v>
      </c>
      <c r="C8" s="9" t="n">
        <v>-0.37</v>
      </c>
      <c r="D8" s="9" t="n">
        <v>1.04</v>
      </c>
      <c r="E8" s="6" t="n"/>
    </row>
    <row r="9">
      <c r="A9" s="6" t="inlineStr">
        <is>
          <t>Crystal Palace</t>
        </is>
      </c>
      <c r="B9" s="14" t="n">
        <v>0.28</v>
      </c>
      <c r="C9" s="9" t="n">
        <v>1.18</v>
      </c>
      <c r="D9" s="9" t="n">
        <v>-0.91</v>
      </c>
      <c r="E9" s="9" t="n">
        <v>0.5600000000000001</v>
      </c>
    </row>
    <row r="10">
      <c r="A10" s="6" t="inlineStr">
        <is>
          <t>Manchester City</t>
        </is>
      </c>
      <c r="B10" s="14" t="n">
        <v>0.2</v>
      </c>
      <c r="C10" s="9" t="n">
        <v>0.68</v>
      </c>
      <c r="D10" s="9" t="n">
        <v>-0.28</v>
      </c>
      <c r="E10" s="6" t="n"/>
    </row>
    <row r="11">
      <c r="A11" s="6" t="inlineStr">
        <is>
          <t>Ipswich</t>
        </is>
      </c>
      <c r="B11" s="14" t="n">
        <v>0.09</v>
      </c>
      <c r="C11" s="9" t="n">
        <v>-1.37</v>
      </c>
      <c r="D11" s="9" t="n">
        <v>1.67</v>
      </c>
      <c r="E11" s="9" t="n">
        <v>-0.04</v>
      </c>
    </row>
    <row r="12">
      <c r="A12" s="6" t="inlineStr">
        <is>
          <t>Brighton &amp; Hove Albion</t>
        </is>
      </c>
      <c r="B12" s="14" t="n">
        <v>0.02</v>
      </c>
      <c r="C12" s="9" t="n">
        <v>-0.86</v>
      </c>
      <c r="D12" s="9" t="n">
        <v>0.9</v>
      </c>
      <c r="E12" s="6" t="n"/>
    </row>
    <row r="13">
      <c r="A13" s="6" t="inlineStr">
        <is>
          <t>Liverpool</t>
        </is>
      </c>
      <c r="B13" s="14" t="n">
        <v>0.02</v>
      </c>
      <c r="C13" s="9" t="n">
        <v>0.77</v>
      </c>
      <c r="D13" s="9" t="n">
        <v>-1.21</v>
      </c>
      <c r="E13" s="9" t="n">
        <v>0.49</v>
      </c>
    </row>
    <row r="14">
      <c r="A14" s="6" t="inlineStr">
        <is>
          <t>Fulham</t>
        </is>
      </c>
      <c r="B14" s="14" t="n">
        <v>-0.08</v>
      </c>
      <c r="C14" s="9" t="n">
        <v>-0.88</v>
      </c>
      <c r="D14" s="9" t="n">
        <v>0.73</v>
      </c>
      <c r="E14" s="6" t="n"/>
    </row>
    <row r="15">
      <c r="A15" s="6" t="inlineStr">
        <is>
          <t>Brentford</t>
        </is>
      </c>
      <c r="B15" s="14" t="n">
        <v>-0.47</v>
      </c>
      <c r="C15" s="9" t="n">
        <v>0.24</v>
      </c>
      <c r="D15" s="9" t="n">
        <v>-1.19</v>
      </c>
      <c r="E15" s="6" t="n"/>
    </row>
    <row r="16">
      <c r="A16" s="6" t="inlineStr">
        <is>
          <t>Newcastle United</t>
        </is>
      </c>
      <c r="B16" s="14" t="n">
        <v>-0.57</v>
      </c>
      <c r="C16" s="9" t="n">
        <v>-0.18</v>
      </c>
      <c r="D16" s="9" t="n">
        <v>-0.96</v>
      </c>
      <c r="E16" s="6" t="n"/>
    </row>
    <row r="17">
      <c r="A17" s="6" t="inlineStr">
        <is>
          <t>Manchester United</t>
        </is>
      </c>
      <c r="B17" s="14" t="n">
        <v>-0.61</v>
      </c>
      <c r="C17" s="9" t="n">
        <v>-0.64</v>
      </c>
      <c r="D17" s="9" t="n">
        <v>-0.6899999999999999</v>
      </c>
      <c r="E17" s="9" t="n">
        <v>-0.5</v>
      </c>
    </row>
    <row r="18">
      <c r="A18" s="6" t="inlineStr">
        <is>
          <t>Arsenal</t>
        </is>
      </c>
      <c r="B18" s="14" t="n">
        <v>-0.66</v>
      </c>
      <c r="C18" s="9" t="n">
        <v>-0.36</v>
      </c>
      <c r="D18" s="9" t="n">
        <v>-1.08</v>
      </c>
      <c r="E18" s="9" t="n">
        <v>-0.55</v>
      </c>
    </row>
    <row r="19">
      <c r="A19" s="6" t="inlineStr">
        <is>
          <t>Chelsea</t>
        </is>
      </c>
      <c r="B19" s="14" t="n">
        <v>-0.75</v>
      </c>
      <c r="C19" s="9" t="n">
        <v>0.37</v>
      </c>
      <c r="D19" s="9" t="n">
        <v>-0.78</v>
      </c>
      <c r="E19" s="9" t="n">
        <v>-1.85</v>
      </c>
    </row>
    <row r="20">
      <c r="A20" s="6" t="inlineStr">
        <is>
          <t>Aston Villa</t>
        </is>
      </c>
      <c r="B20" s="14" t="n">
        <v>-0.77</v>
      </c>
      <c r="C20" s="9" t="n">
        <v>-3.2</v>
      </c>
      <c r="D20" s="9" t="n">
        <v>0.72</v>
      </c>
      <c r="E20" s="9" t="n">
        <v>0.18</v>
      </c>
    </row>
    <row r="21">
      <c r="A21" s="6" t="inlineStr">
        <is>
          <t>Tottenham Hotspur</t>
        </is>
      </c>
      <c r="B21" s="14" t="n">
        <v>-1.45</v>
      </c>
      <c r="C21" s="9" t="n">
        <v>-3.18</v>
      </c>
      <c r="D21" s="9" t="n">
        <v>0.29</v>
      </c>
      <c r="E21" s="6" t="n"/>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Median</t>
        </is>
      </c>
    </row>
    <row r="2">
      <c r="A2" s="6" t="inlineStr">
        <is>
          <t>Brighton &amp; Hove Albion</t>
        </is>
      </c>
      <c r="B2" s="14">
        <f>'Brighton &amp; Hove Albion'!$E$22</f>
        <v/>
      </c>
      <c r="C2" s="9">
        <f>'Brighton &amp; Hove Albion'!$S$2</f>
        <v/>
      </c>
      <c r="D2" s="9">
        <f>'Brighton &amp; Hove Albion'!$S$3</f>
        <v/>
      </c>
      <c r="E2" s="9">
        <f>'Brighton &amp; Hove Albion'!$S$4</f>
        <v/>
      </c>
      <c r="F2" s="9">
        <f>'Brighton &amp; Hove Albion'!$S$5</f>
        <v/>
      </c>
      <c r="G2" s="9">
        <f>'Brighton &amp; Hove Albion'!$S$6</f>
        <v/>
      </c>
      <c r="H2" s="14">
        <f>'Brighton &amp; Hove Albion'!$E$23</f>
        <v/>
      </c>
    </row>
    <row r="3">
      <c r="A3" s="6" t="inlineStr">
        <is>
          <t>Sunderland</t>
        </is>
      </c>
      <c r="B3" s="14">
        <f>'Sunderland'!$E$22</f>
        <v/>
      </c>
      <c r="C3" s="9">
        <f>'Sunderland'!$S$2</f>
        <v/>
      </c>
      <c r="D3" s="9">
        <f>'Sunderland'!$S$3</f>
        <v/>
      </c>
      <c r="E3" s="9">
        <f>'Sunderland'!$S$4</f>
        <v/>
      </c>
      <c r="F3" s="9">
        <f>'Sunderland'!$S$5</f>
        <v/>
      </c>
      <c r="G3" s="9">
        <f>'Sunderland'!$S$6</f>
        <v/>
      </c>
      <c r="H3" s="14">
        <f>'Sunderland'!$E$23</f>
        <v/>
      </c>
    </row>
    <row r="4">
      <c r="A4" s="6" t="inlineStr">
        <is>
          <t>Fulham</t>
        </is>
      </c>
      <c r="B4" s="14">
        <f>'Fulham'!$E$22</f>
        <v/>
      </c>
      <c r="C4" s="9">
        <f>'Fulham'!$S$2</f>
        <v/>
      </c>
      <c r="D4" s="9">
        <f>'Fulham'!$S$3</f>
        <v/>
      </c>
      <c r="E4" s="9">
        <f>'Fulham'!$S$4</f>
        <v/>
      </c>
      <c r="F4" s="9">
        <f>'Fulham'!$S$5</f>
        <v/>
      </c>
      <c r="G4" s="9">
        <f>'Fulham'!$S$6</f>
        <v/>
      </c>
      <c r="H4" s="14">
        <f>'Fulham'!$E$23</f>
        <v/>
      </c>
    </row>
    <row r="5">
      <c r="A5" s="6" t="inlineStr">
        <is>
          <t>Crystal Palace</t>
        </is>
      </c>
      <c r="B5" s="14">
        <f>'Crystal Palace'!$E$22</f>
        <v/>
      </c>
      <c r="C5" s="9">
        <f>'Crystal Palace'!$S$2</f>
        <v/>
      </c>
      <c r="D5" s="9">
        <f>'Crystal Palace'!$S$3</f>
        <v/>
      </c>
      <c r="E5" s="9">
        <f>'Crystal Palace'!$S$4</f>
        <v/>
      </c>
      <c r="F5" s="9">
        <f>'Crystal Palace'!$S$5</f>
        <v/>
      </c>
      <c r="G5" s="9">
        <f>'Crystal Palace'!$S$6</f>
        <v/>
      </c>
      <c r="H5" s="14">
        <f>'Crystal Palace'!$E$23</f>
        <v/>
      </c>
    </row>
    <row r="6">
      <c r="A6" s="6" t="inlineStr">
        <is>
          <t>Ipswich</t>
        </is>
      </c>
      <c r="B6" s="14">
        <f>'Ipswich'!$E$22</f>
        <v/>
      </c>
      <c r="C6" s="9">
        <f>'Ipswich'!$S$2</f>
        <v/>
      </c>
      <c r="D6" s="9">
        <f>'Ipswich'!$S$3</f>
        <v/>
      </c>
      <c r="E6" s="9">
        <f>'Ipswich'!$S$4</f>
        <v/>
      </c>
      <c r="F6" s="9">
        <f>'Ipswich'!$S$5</f>
        <v/>
      </c>
      <c r="G6" s="9">
        <f>'Ipswich'!$S$6</f>
        <v/>
      </c>
      <c r="H6" s="14">
        <f>'Ipswich'!$E$23</f>
        <v/>
      </c>
    </row>
    <row r="7">
      <c r="A7" s="6" t="inlineStr">
        <is>
          <t>Brentford</t>
        </is>
      </c>
      <c r="B7" s="14">
        <f>'Brentford'!$E$22</f>
        <v/>
      </c>
      <c r="C7" s="9">
        <f>'Brentford'!$S$2</f>
        <v/>
      </c>
      <c r="D7" s="9">
        <f>'Brentford'!$S$3</f>
        <v/>
      </c>
      <c r="E7" s="9">
        <f>'Brentford'!$S$4</f>
        <v/>
      </c>
      <c r="F7" s="9">
        <f>'Brentford'!$S$5</f>
        <v/>
      </c>
      <c r="G7" s="9">
        <f>'Brentford'!$S$6</f>
        <v/>
      </c>
      <c r="H7" s="14">
        <f>'Brentford'!$E$23</f>
        <v/>
      </c>
    </row>
    <row r="8">
      <c r="A8" s="6" t="inlineStr">
        <is>
          <t>Manchester City</t>
        </is>
      </c>
      <c r="B8" s="14">
        <f>'Manchester City'!$E$22</f>
        <v/>
      </c>
      <c r="C8" s="9">
        <f>'Manchester City'!$S$2</f>
        <v/>
      </c>
      <c r="D8" s="9">
        <f>'Manchester City'!$S$3</f>
        <v/>
      </c>
      <c r="E8" s="9">
        <f>'Manchester City'!$S$4</f>
        <v/>
      </c>
      <c r="F8" s="9">
        <f>'Manchester City'!$S$5</f>
        <v/>
      </c>
      <c r="G8" s="9">
        <f>'Manchester City'!$S$6</f>
        <v/>
      </c>
      <c r="H8" s="14">
        <f>'Manchester City'!$E$23</f>
        <v/>
      </c>
    </row>
    <row r="9">
      <c r="A9" s="6" t="inlineStr">
        <is>
          <t>Manchester United</t>
        </is>
      </c>
      <c r="B9" s="14">
        <f>'Manchester United'!$E$22</f>
        <v/>
      </c>
      <c r="C9" s="9">
        <f>'Manchester United'!$S$2</f>
        <v/>
      </c>
      <c r="D9" s="9">
        <f>'Manchester United'!$S$3</f>
        <v/>
      </c>
      <c r="E9" s="9">
        <f>'Manchester United'!$S$4</f>
        <v/>
      </c>
      <c r="F9" s="9">
        <f>'Manchester United'!$S$5</f>
        <v/>
      </c>
      <c r="G9" s="9">
        <f>'Manchester United'!$S$6</f>
        <v/>
      </c>
      <c r="H9" s="14">
        <f>'Manchester United'!$E$23</f>
        <v/>
      </c>
    </row>
    <row r="10">
      <c r="A10" s="6" t="inlineStr">
        <is>
          <t>Chelsea</t>
        </is>
      </c>
      <c r="B10" s="14">
        <f>'Chelsea'!$E$22</f>
        <v/>
      </c>
      <c r="C10" s="9">
        <f>'Chelsea'!$S$2</f>
        <v/>
      </c>
      <c r="D10" s="9">
        <f>'Chelsea'!$S$3</f>
        <v/>
      </c>
      <c r="E10" s="9">
        <f>'Chelsea'!$S$4</f>
        <v/>
      </c>
      <c r="F10" s="9">
        <f>'Chelsea'!$S$5</f>
        <v/>
      </c>
      <c r="G10" s="9">
        <f>'Chelsea'!$S$6</f>
        <v/>
      </c>
      <c r="H10" s="14">
        <f>'Chelsea'!$E$23</f>
        <v/>
      </c>
    </row>
    <row r="11">
      <c r="A11" s="6" t="inlineStr">
        <is>
          <t>Leeds United</t>
        </is>
      </c>
      <c r="B11" s="14">
        <f>'Leeds United'!$E$22</f>
        <v/>
      </c>
      <c r="C11" s="9">
        <f>'Leeds United'!$S$2</f>
        <v/>
      </c>
      <c r="D11" s="9">
        <f>'Leeds United'!$S$3</f>
        <v/>
      </c>
      <c r="E11" s="9">
        <f>'Leeds United'!$S$4</f>
        <v/>
      </c>
      <c r="F11" s="9">
        <f>'Leeds United'!$S$5</f>
        <v/>
      </c>
      <c r="G11" s="9">
        <f>'Leeds United'!$S$6</f>
        <v/>
      </c>
      <c r="H11" s="14">
        <f>'Leeds United'!$E$23</f>
        <v/>
      </c>
    </row>
    <row r="12">
      <c r="A12" s="6" t="inlineStr">
        <is>
          <t>Everton</t>
        </is>
      </c>
      <c r="B12" s="14">
        <f>'Everton'!$E$22</f>
        <v/>
      </c>
      <c r="C12" s="9">
        <f>'Everton'!$S$2</f>
        <v/>
      </c>
      <c r="D12" s="9">
        <f>'Everton'!$S$3</f>
        <v/>
      </c>
      <c r="E12" s="9">
        <f>'Everton'!$S$4</f>
        <v/>
      </c>
      <c r="F12" s="9">
        <f>'Everton'!$S$5</f>
        <v/>
      </c>
      <c r="G12" s="9">
        <f>'Everton'!$S$6</f>
        <v/>
      </c>
      <c r="H12" s="14">
        <f>'Everton'!$E$23</f>
        <v/>
      </c>
    </row>
    <row r="13">
      <c r="A13" s="6" t="inlineStr">
        <is>
          <t>Aston Villa</t>
        </is>
      </c>
      <c r="B13" s="14">
        <f>'Aston Villa'!$E$22</f>
        <v/>
      </c>
      <c r="C13" s="9">
        <f>'Aston Villa'!$S$2</f>
        <v/>
      </c>
      <c r="D13" s="9">
        <f>'Aston Villa'!$S$3</f>
        <v/>
      </c>
      <c r="E13" s="9">
        <f>'Aston Villa'!$S$4</f>
        <v/>
      </c>
      <c r="F13" s="9">
        <f>'Aston Villa'!$S$5</f>
        <v/>
      </c>
      <c r="G13" s="9">
        <f>'Aston Villa'!$S$6</f>
        <v/>
      </c>
      <c r="H13" s="14">
        <f>'Aston Villa'!$E$23</f>
        <v/>
      </c>
    </row>
    <row r="14">
      <c r="A14" s="6" t="inlineStr">
        <is>
          <t>Newcastle United</t>
        </is>
      </c>
      <c r="B14" s="14">
        <f>'Newcastle United'!$E$22</f>
        <v/>
      </c>
      <c r="C14" s="9">
        <f>'Newcastle United'!$S$2</f>
        <v/>
      </c>
      <c r="D14" s="9">
        <f>'Newcastle United'!$S$3</f>
        <v/>
      </c>
      <c r="E14" s="9">
        <f>'Newcastle United'!$S$4</f>
        <v/>
      </c>
      <c r="F14" s="9">
        <f>'Newcastle United'!$S$5</f>
        <v/>
      </c>
      <c r="G14" s="9">
        <f>'Newcastle United'!$S$6</f>
        <v/>
      </c>
      <c r="H14" s="14">
        <f>'Newcastle United'!$E$23</f>
        <v/>
      </c>
    </row>
    <row r="15">
      <c r="A15" s="6" t="inlineStr">
        <is>
          <t>Tottenham Hotspur</t>
        </is>
      </c>
      <c r="B15" s="14">
        <f>'Tottenham Hotspur'!$E$22</f>
        <v/>
      </c>
      <c r="C15" s="9">
        <f>'Tottenham Hotspur'!$S$2</f>
        <v/>
      </c>
      <c r="D15" s="9">
        <f>'Tottenham Hotspur'!$S$3</f>
        <v/>
      </c>
      <c r="E15" s="9">
        <f>'Tottenham Hotspur'!$S$4</f>
        <v/>
      </c>
      <c r="F15" s="9">
        <f>'Tottenham Hotspur'!$S$5</f>
        <v/>
      </c>
      <c r="G15" s="9">
        <f>'Tottenham Hotspur'!$S$6</f>
        <v/>
      </c>
      <c r="H15" s="14">
        <f>'Tottenham Hotspur'!$E$23</f>
        <v/>
      </c>
    </row>
    <row r="16">
      <c r="A16" s="6" t="inlineStr">
        <is>
          <t>Arsenal</t>
        </is>
      </c>
      <c r="B16" s="14">
        <f>'Arsenal'!$E$22</f>
        <v/>
      </c>
      <c r="C16" s="9">
        <f>'Arsenal'!$S$2</f>
        <v/>
      </c>
      <c r="D16" s="9">
        <f>'Arsenal'!$S$3</f>
        <v/>
      </c>
      <c r="E16" s="9">
        <f>'Arsenal'!$S$4</f>
        <v/>
      </c>
      <c r="F16" s="9">
        <f>'Arsenal'!$S$5</f>
        <v/>
      </c>
      <c r="G16" s="9">
        <f>'Arsenal'!$S$6</f>
        <v/>
      </c>
      <c r="H16" s="14">
        <f>'Arsenal'!$E$23</f>
        <v/>
      </c>
    </row>
    <row r="17">
      <c r="A17" s="6" t="inlineStr">
        <is>
          <t>Bournemouth</t>
        </is>
      </c>
      <c r="B17" s="14">
        <f>'Bournemouth'!$E$22</f>
        <v/>
      </c>
      <c r="C17" s="9">
        <f>'Bournemouth'!$S$2</f>
        <v/>
      </c>
      <c r="D17" s="9">
        <f>'Bournemouth'!$S$3</f>
        <v/>
      </c>
      <c r="E17" s="9">
        <f>'Bournemouth'!$S$4</f>
        <v/>
      </c>
      <c r="F17" s="9">
        <f>'Bournemouth'!$S$5</f>
        <v/>
      </c>
      <c r="G17" s="9">
        <f>'Bournemouth'!$S$6</f>
        <v/>
      </c>
      <c r="H17" s="14">
        <f>'Bournemouth'!$E$23</f>
        <v/>
      </c>
    </row>
    <row r="18">
      <c r="A18" s="6" t="inlineStr">
        <is>
          <t>Coventry</t>
        </is>
      </c>
      <c r="B18" s="14">
        <f>'Coventry'!$E$22</f>
        <v/>
      </c>
      <c r="C18" s="9">
        <f>'Coventry'!$S$2</f>
        <v/>
      </c>
      <c r="D18" s="9">
        <f>'Coventry'!$S$3</f>
        <v/>
      </c>
      <c r="E18" s="9">
        <f>'Coventry'!$S$4</f>
        <v/>
      </c>
      <c r="F18" s="9">
        <f>'Coventry'!$S$5</f>
        <v/>
      </c>
      <c r="G18" s="9">
        <f>'Coventry'!$S$6</f>
        <v/>
      </c>
      <c r="H18" s="14">
        <f>'Coventry'!$E$23</f>
        <v/>
      </c>
    </row>
    <row r="19">
      <c r="A19" s="6" t="inlineStr">
        <is>
          <t>Nottingham Forest</t>
        </is>
      </c>
      <c r="B19" s="14">
        <f>'Nottingham Forest'!$E$22</f>
        <v/>
      </c>
      <c r="C19" s="9">
        <f>'Nottingham Forest'!$S$2</f>
        <v/>
      </c>
      <c r="D19" s="9">
        <f>'Nottingham Forest'!$S$3</f>
        <v/>
      </c>
      <c r="E19" s="9">
        <f>'Nottingham Forest'!$S$4</f>
        <v/>
      </c>
      <c r="F19" s="9">
        <f>'Nottingham Forest'!$S$5</f>
        <v/>
      </c>
      <c r="G19" s="9">
        <f>'Nottingham Forest'!$S$6</f>
        <v/>
      </c>
      <c r="H19" s="14">
        <f>'Nottingham Forest'!$E$23</f>
        <v/>
      </c>
    </row>
    <row r="20">
      <c r="A20" s="6" t="inlineStr">
        <is>
          <t>Liverpool</t>
        </is>
      </c>
      <c r="B20" s="14">
        <f>'Liverpool'!$E$22</f>
        <v/>
      </c>
      <c r="C20" s="9">
        <f>'Liverpool'!$S$2</f>
        <v/>
      </c>
      <c r="D20" s="9">
        <f>'Liverpool'!$S$3</f>
        <v/>
      </c>
      <c r="E20" s="9">
        <f>'Liverpool'!$S$4</f>
        <v/>
      </c>
      <c r="F20" s="9">
        <f>'Liverpool'!$S$5</f>
        <v/>
      </c>
      <c r="G20" s="9">
        <f>'Liverpool'!$S$6</f>
        <v/>
      </c>
      <c r="H20" s="14">
        <f>'Liverpool'!$E$23</f>
        <v/>
      </c>
    </row>
    <row r="21">
      <c r="A21" s="6" t="inlineStr">
        <is>
          <t>Hull</t>
        </is>
      </c>
      <c r="B21" s="14">
        <f>'Hull'!$E$22</f>
        <v/>
      </c>
      <c r="C21" s="9">
        <f>'Hull'!$S$2</f>
        <v/>
      </c>
      <c r="D21" s="9">
        <f>'Hull'!$S$3</f>
        <v/>
      </c>
      <c r="E21" s="9">
        <f>'Hull'!$S$4</f>
        <v/>
      </c>
      <c r="F21" s="9">
        <f>'Hull'!$S$5</f>
        <v/>
      </c>
      <c r="G21" s="9">
        <f>'Hull'!$S$6</f>
        <v/>
      </c>
      <c r="H21" s="14">
        <f>'Hull'!$E$23</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row>
    <row r="2">
      <c r="A2" s="6" t="inlineStr">
        <is>
          <t>Sunderland</t>
        </is>
      </c>
      <c r="B2" s="14">
        <f>'Sunderland'!$E$30</f>
        <v/>
      </c>
      <c r="C2" s="9">
        <f>'Sunderland'!$V$2</f>
        <v/>
      </c>
      <c r="D2" s="9">
        <f>'Sunderland'!$V$3</f>
        <v/>
      </c>
      <c r="E2" s="9">
        <f>'Sunderland'!$V$4</f>
        <v/>
      </c>
      <c r="F2" s="9">
        <f>'Sunderland'!$V$5</f>
        <v/>
      </c>
      <c r="G2" s="9">
        <f>'Sunderland'!$V$6</f>
        <v/>
      </c>
    </row>
    <row r="3">
      <c r="A3" s="6" t="inlineStr">
        <is>
          <t>Ipswich</t>
        </is>
      </c>
      <c r="B3" s="14">
        <f>'Ipswich'!$E$30</f>
        <v/>
      </c>
      <c r="C3" s="9">
        <f>'Ipswich'!$V$2</f>
        <v/>
      </c>
      <c r="D3" s="9">
        <f>'Ipswich'!$V$3</f>
        <v/>
      </c>
      <c r="E3" s="9">
        <f>'Ipswich'!$V$4</f>
        <v/>
      </c>
      <c r="F3" s="9">
        <f>'Ipswich'!$V$5</f>
        <v/>
      </c>
      <c r="G3" s="9">
        <f>'Ipswich'!$V$6</f>
        <v/>
      </c>
    </row>
    <row r="4">
      <c r="A4" s="6" t="inlineStr">
        <is>
          <t>Hull</t>
        </is>
      </c>
      <c r="B4" s="14">
        <f>'Hull'!$E$30</f>
        <v/>
      </c>
      <c r="C4" s="9">
        <f>'Hull'!$V$2</f>
        <v/>
      </c>
      <c r="D4" s="9">
        <f>'Hull'!$V$3</f>
        <v/>
      </c>
      <c r="E4" s="9">
        <f>'Hull'!$V$4</f>
        <v/>
      </c>
      <c r="F4" s="9">
        <f>'Hull'!$V$5</f>
        <v/>
      </c>
      <c r="G4" s="9">
        <f>'Hull'!$V$6</f>
        <v/>
      </c>
    </row>
    <row r="5">
      <c r="A5" s="6" t="inlineStr">
        <is>
          <t>Nottingham Forest</t>
        </is>
      </c>
      <c r="B5" s="14">
        <f>'Nottingham Forest'!$E$30</f>
        <v/>
      </c>
      <c r="C5" s="9">
        <f>'Nottingham Forest'!$V$2</f>
        <v/>
      </c>
      <c r="D5" s="9">
        <f>'Nottingham Forest'!$V$3</f>
        <v/>
      </c>
      <c r="E5" s="9">
        <f>'Nottingham Forest'!$V$4</f>
        <v/>
      </c>
      <c r="F5" s="9">
        <f>'Nottingham Forest'!$V$5</f>
        <v/>
      </c>
      <c r="G5" s="9">
        <f>'Nottingham Forest'!$V$6</f>
        <v/>
      </c>
    </row>
    <row r="6">
      <c r="A6" s="6" t="inlineStr">
        <is>
          <t>Brighton &amp; Hove Albion</t>
        </is>
      </c>
      <c r="B6" s="14">
        <f>'Brighton &amp; Hove Albion'!$E$30</f>
        <v/>
      </c>
      <c r="C6" s="9">
        <f>'Brighton &amp; Hove Albion'!$V$2</f>
        <v/>
      </c>
      <c r="D6" s="9">
        <f>'Brighton &amp; Hove Albion'!$V$3</f>
        <v/>
      </c>
      <c r="E6" s="9">
        <f>'Brighton &amp; Hove Albion'!$V$4</f>
        <v/>
      </c>
      <c r="F6" s="9">
        <f>'Brighton &amp; Hove Albion'!$V$5</f>
        <v/>
      </c>
      <c r="G6" s="9">
        <f>'Brighton &amp; Hove Albion'!$V$6</f>
        <v/>
      </c>
    </row>
    <row r="7">
      <c r="A7" s="6" t="inlineStr">
        <is>
          <t>Bournemouth</t>
        </is>
      </c>
      <c r="B7" s="14">
        <f>'Bournemouth'!$E$30</f>
        <v/>
      </c>
      <c r="C7" s="9">
        <f>'Bournemouth'!$V$2</f>
        <v/>
      </c>
      <c r="D7" s="9">
        <f>'Bournemouth'!$V$3</f>
        <v/>
      </c>
      <c r="E7" s="9">
        <f>'Bournemouth'!$V$4</f>
        <v/>
      </c>
      <c r="F7" s="9">
        <f>'Bournemouth'!$V$5</f>
        <v/>
      </c>
      <c r="G7" s="9">
        <f>'Bournemouth'!$V$6</f>
        <v/>
      </c>
    </row>
    <row r="8">
      <c r="A8" s="6" t="inlineStr">
        <is>
          <t>Brentford</t>
        </is>
      </c>
      <c r="B8" s="14">
        <f>'Brentford'!$E$30</f>
        <v/>
      </c>
      <c r="C8" s="9">
        <f>'Brentford'!$V$2</f>
        <v/>
      </c>
      <c r="D8" s="9">
        <f>'Brentford'!$V$3</f>
        <v/>
      </c>
      <c r="E8" s="9">
        <f>'Brentford'!$V$4</f>
        <v/>
      </c>
      <c r="F8" s="9">
        <f>'Brentford'!$V$5</f>
        <v/>
      </c>
      <c r="G8" s="9">
        <f>'Brentford'!$V$6</f>
        <v/>
      </c>
    </row>
    <row r="9">
      <c r="A9" s="6" t="inlineStr">
        <is>
          <t>Leeds United</t>
        </is>
      </c>
      <c r="B9" s="14">
        <f>'Leeds United'!$E$30</f>
        <v/>
      </c>
      <c r="C9" s="9">
        <f>'Leeds United'!$V$2</f>
        <v/>
      </c>
      <c r="D9" s="9">
        <f>'Leeds United'!$V$3</f>
        <v/>
      </c>
      <c r="E9" s="9">
        <f>'Leeds United'!$V$4</f>
        <v/>
      </c>
      <c r="F9" s="9">
        <f>'Leeds United'!$V$5</f>
        <v/>
      </c>
      <c r="G9" s="9">
        <f>'Leeds United'!$V$6</f>
        <v/>
      </c>
    </row>
    <row r="10">
      <c r="A10" s="6" t="inlineStr">
        <is>
          <t>Everton</t>
        </is>
      </c>
      <c r="B10" s="14">
        <f>'Everton'!$E$30</f>
        <v/>
      </c>
      <c r="C10" s="9">
        <f>'Everton'!$V$2</f>
        <v/>
      </c>
      <c r="D10" s="9">
        <f>'Everton'!$V$3</f>
        <v/>
      </c>
      <c r="E10" s="9">
        <f>'Everton'!$V$4</f>
        <v/>
      </c>
      <c r="F10" s="9">
        <f>'Everton'!$V$5</f>
        <v/>
      </c>
      <c r="G10" s="9">
        <f>'Everton'!$V$6</f>
        <v/>
      </c>
    </row>
    <row r="11">
      <c r="A11" s="6" t="inlineStr">
        <is>
          <t>Coventry</t>
        </is>
      </c>
      <c r="B11" s="14">
        <f>'Coventry'!$E$30</f>
        <v/>
      </c>
      <c r="C11" s="9">
        <f>'Coventry'!$V$2</f>
        <v/>
      </c>
      <c r="D11" s="9">
        <f>'Coventry'!$V$3</f>
        <v/>
      </c>
      <c r="E11" s="9">
        <f>'Coventry'!$V$4</f>
        <v/>
      </c>
      <c r="F11" s="9">
        <f>'Coventry'!$V$5</f>
        <v/>
      </c>
      <c r="G11" s="9">
        <f>'Coventry'!$V$6</f>
        <v/>
      </c>
    </row>
    <row r="12">
      <c r="A12" s="6" t="inlineStr">
        <is>
          <t>Fulham</t>
        </is>
      </c>
      <c r="B12" s="14">
        <f>'Fulham'!$E$30</f>
        <v/>
      </c>
      <c r="C12" s="9">
        <f>'Fulham'!$V$2</f>
        <v/>
      </c>
      <c r="D12" s="9">
        <f>'Fulham'!$V$3</f>
        <v/>
      </c>
      <c r="E12" s="9">
        <f>'Fulham'!$V$4</f>
        <v/>
      </c>
      <c r="F12" s="9">
        <f>'Fulham'!$V$5</f>
        <v/>
      </c>
      <c r="G12" s="9">
        <f>'Fulham'!$V$6</f>
        <v/>
      </c>
    </row>
    <row r="13">
      <c r="A13" s="6" t="inlineStr">
        <is>
          <t>Arsenal</t>
        </is>
      </c>
      <c r="B13" s="14">
        <f>'Arsenal'!$E$30</f>
        <v/>
      </c>
      <c r="C13" s="9">
        <f>'Arsenal'!$V$2</f>
        <v/>
      </c>
      <c r="D13" s="9">
        <f>'Arsenal'!$V$3</f>
        <v/>
      </c>
      <c r="E13" s="9">
        <f>'Arsenal'!$V$4</f>
        <v/>
      </c>
      <c r="F13" s="9">
        <f>'Arsenal'!$V$5</f>
        <v/>
      </c>
      <c r="G13" s="9">
        <f>'Arsenal'!$V$6</f>
        <v/>
      </c>
    </row>
    <row r="14">
      <c r="A14" s="6" t="inlineStr">
        <is>
          <t>Crystal Palace</t>
        </is>
      </c>
      <c r="B14" s="14">
        <f>'Crystal Palace'!$E$30</f>
        <v/>
      </c>
      <c r="C14" s="9">
        <f>'Crystal Palace'!$V$2</f>
        <v/>
      </c>
      <c r="D14" s="9">
        <f>'Crystal Palace'!$V$3</f>
        <v/>
      </c>
      <c r="E14" s="9">
        <f>'Crystal Palace'!$V$4</f>
        <v/>
      </c>
      <c r="F14" s="9">
        <f>'Crystal Palace'!$V$5</f>
        <v/>
      </c>
      <c r="G14" s="9">
        <f>'Crystal Palace'!$V$6</f>
        <v/>
      </c>
    </row>
    <row r="15">
      <c r="A15" s="6" t="inlineStr">
        <is>
          <t>Manchester United</t>
        </is>
      </c>
      <c r="B15" s="14">
        <f>'Manchester United'!$E$30</f>
        <v/>
      </c>
      <c r="C15" s="9">
        <f>'Manchester United'!$V$2</f>
        <v/>
      </c>
      <c r="D15" s="9">
        <f>'Manchester United'!$V$3</f>
        <v/>
      </c>
      <c r="E15" s="9">
        <f>'Manchester United'!$V$4</f>
        <v/>
      </c>
      <c r="F15" s="9">
        <f>'Manchester United'!$V$5</f>
        <v/>
      </c>
      <c r="G15" s="9">
        <f>'Manchester United'!$V$6</f>
        <v/>
      </c>
    </row>
    <row r="16">
      <c r="A16" s="6" t="inlineStr">
        <is>
          <t>Liverpool</t>
        </is>
      </c>
      <c r="B16" s="14">
        <f>'Liverpool'!$E$30</f>
        <v/>
      </c>
      <c r="C16" s="9">
        <f>'Liverpool'!$V$2</f>
        <v/>
      </c>
      <c r="D16" s="9">
        <f>'Liverpool'!$V$3</f>
        <v/>
      </c>
      <c r="E16" s="9">
        <f>'Liverpool'!$V$4</f>
        <v/>
      </c>
      <c r="F16" s="9">
        <f>'Liverpool'!$V$5</f>
        <v/>
      </c>
      <c r="G16" s="9">
        <f>'Liverpool'!$V$6</f>
        <v/>
      </c>
    </row>
    <row r="17">
      <c r="A17" s="6" t="inlineStr">
        <is>
          <t>Manchester City</t>
        </is>
      </c>
      <c r="B17" s="14">
        <f>'Manchester City'!$E$30</f>
        <v/>
      </c>
      <c r="C17" s="9">
        <f>'Manchester City'!$V$2</f>
        <v/>
      </c>
      <c r="D17" s="9">
        <f>'Manchester City'!$V$3</f>
        <v/>
      </c>
      <c r="E17" s="9">
        <f>'Manchester City'!$V$4</f>
        <v/>
      </c>
      <c r="F17" s="9">
        <f>'Manchester City'!$V$5</f>
        <v/>
      </c>
      <c r="G17" s="9">
        <f>'Manchester City'!$V$6</f>
        <v/>
      </c>
    </row>
    <row r="18">
      <c r="A18" s="6" t="inlineStr">
        <is>
          <t>Aston Villa</t>
        </is>
      </c>
      <c r="B18" s="14">
        <f>'Aston Villa'!$E$30</f>
        <v/>
      </c>
      <c r="C18" s="9">
        <f>'Aston Villa'!$V$2</f>
        <v/>
      </c>
      <c r="D18" s="9">
        <f>'Aston Villa'!$V$3</f>
        <v/>
      </c>
      <c r="E18" s="9">
        <f>'Aston Villa'!$V$4</f>
        <v/>
      </c>
      <c r="F18" s="9">
        <f>'Aston Villa'!$V$5</f>
        <v/>
      </c>
      <c r="G18" s="9">
        <f>'Aston Villa'!$V$6</f>
        <v/>
      </c>
    </row>
    <row r="19">
      <c r="A19" s="6" t="inlineStr">
        <is>
          <t>Tottenham Hotspur</t>
        </is>
      </c>
      <c r="B19" s="14">
        <f>'Tottenham Hotspur'!$E$30</f>
        <v/>
      </c>
      <c r="C19" s="9">
        <f>'Tottenham Hotspur'!$V$2</f>
        <v/>
      </c>
      <c r="D19" s="9">
        <f>'Tottenham Hotspur'!$V$3</f>
        <v/>
      </c>
      <c r="E19" s="9">
        <f>'Tottenham Hotspur'!$V$4</f>
        <v/>
      </c>
      <c r="F19" s="9">
        <f>'Tottenham Hotspur'!$V$5</f>
        <v/>
      </c>
      <c r="G19" s="9">
        <f>'Tottenham Hotspur'!$V$6</f>
        <v/>
      </c>
    </row>
    <row r="20">
      <c r="A20" s="6" t="inlineStr">
        <is>
          <t>Chelsea</t>
        </is>
      </c>
      <c r="B20" s="14">
        <f>'Chelsea'!$E$30</f>
        <v/>
      </c>
      <c r="C20" s="9">
        <f>'Chelsea'!$V$2</f>
        <v/>
      </c>
      <c r="D20" s="9">
        <f>'Chelsea'!$V$3</f>
        <v/>
      </c>
      <c r="E20" s="9">
        <f>'Chelsea'!$V$4</f>
        <v/>
      </c>
      <c r="F20" s="9">
        <f>'Chelsea'!$V$5</f>
        <v/>
      </c>
      <c r="G20" s="9">
        <f>'Chelsea'!$V$6</f>
        <v/>
      </c>
    </row>
    <row r="21">
      <c r="A21" s="6" t="inlineStr">
        <is>
          <t>Newcastle United</t>
        </is>
      </c>
      <c r="B21" s="14">
        <f>'Newcastle United'!$E$30</f>
        <v/>
      </c>
      <c r="C21" s="9">
        <f>'Newcastle United'!$V$2</f>
        <v/>
      </c>
      <c r="D21" s="9">
        <f>'Newcastle United'!$V$3</f>
        <v/>
      </c>
      <c r="E21" s="9">
        <f>'Newcastle United'!$V$4</f>
        <v/>
      </c>
      <c r="F21" s="9">
        <f>'Newcastle United'!$V$5</f>
        <v/>
      </c>
      <c r="G21" s="9">
        <f>'Newcastle United'!$V$6</f>
        <v/>
      </c>
    </row>
  </sheetData>
  <conditionalFormatting sqref="B2:G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-0.47</v>
      </c>
      <c r="O2" s="9" t="n">
        <v>-0.44</v>
      </c>
      <c r="P2" s="9" t="n">
        <v>-0.47</v>
      </c>
      <c r="Q2" s="9" t="n">
        <v>-0.44</v>
      </c>
      <c r="R2" s="9">
        <f>(H2-I2)-(F2-G2)</f>
        <v/>
      </c>
      <c r="S2" s="9">
        <f>(H2+I2)-(F2+G2)</f>
        <v/>
      </c>
      <c r="T2" s="9" t="n">
        <v>2.55</v>
      </c>
      <c r="U2" s="9" t="n">
        <v>2.53</v>
      </c>
      <c r="V2" s="9" t="n">
        <v>0.02</v>
      </c>
      <c r="W2" s="9" t="n">
        <v>2.55</v>
      </c>
      <c r="X2" s="9" t="n">
        <v>2.53</v>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-1.58</v>
      </c>
      <c r="O3" s="10" t="n">
        <v>-0.21</v>
      </c>
      <c r="P3" s="10" t="n">
        <v>-1.02</v>
      </c>
      <c r="Q3" s="10" t="n">
        <v>-0.33</v>
      </c>
      <c r="R3" s="10">
        <f>(H3-I3)-(F3-G3)</f>
        <v/>
      </c>
      <c r="S3" s="10">
        <f>(H3+I3)-(F3+G3)</f>
        <v/>
      </c>
      <c r="T3" s="10" t="n">
        <v>1.95</v>
      </c>
      <c r="U3" s="10" t="n">
        <v>2.08</v>
      </c>
      <c r="V3" s="10" t="n">
        <v>-0.13</v>
      </c>
      <c r="W3" s="10" t="n">
        <v>4.5</v>
      </c>
      <c r="X3" s="10" t="n">
        <v>4.62</v>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-0.29</v>
      </c>
      <c r="O4" s="9" t="n">
        <v>-0.32</v>
      </c>
      <c r="P4" s="9" t="n">
        <v>-0.78</v>
      </c>
      <c r="Q4" s="9" t="n">
        <v>-0.33</v>
      </c>
      <c r="R4" s="9">
        <f>(H4-I4)-(F4-G4)</f>
        <v/>
      </c>
      <c r="S4" s="9">
        <f>(H4+I4)-(F4+G4)</f>
        <v/>
      </c>
      <c r="T4" s="9" t="n">
        <v>2.48</v>
      </c>
      <c r="U4" s="9" t="n">
        <v>1.96</v>
      </c>
      <c r="V4" s="9" t="n">
        <v>0.52</v>
      </c>
      <c r="W4" s="9" t="n">
        <v>6.98</v>
      </c>
      <c r="X4" s="9" t="n">
        <v>6.58</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v>
      </c>
      <c r="O5" s="10" t="n">
        <v>0.2</v>
      </c>
      <c r="P5" s="10" t="n">
        <v>-0.58</v>
      </c>
      <c r="Q5" s="10" t="n">
        <v>-0.19</v>
      </c>
      <c r="R5" s="10">
        <f>(H5-I5)-(F5-G5)</f>
        <v/>
      </c>
      <c r="S5" s="10">
        <f>(H5+I5)-(F5+G5)</f>
        <v/>
      </c>
      <c r="T5" s="10" t="n">
        <v>1.44</v>
      </c>
      <c r="U5" s="10" t="n">
        <v>2.17</v>
      </c>
      <c r="V5" s="10" t="n">
        <v>-0.73</v>
      </c>
      <c r="W5" s="10" t="n">
        <v>8.42</v>
      </c>
      <c r="X5" s="10" t="n">
        <v>8.75</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-0.65</v>
      </c>
      <c r="O6" s="9" t="n">
        <v>-0.7</v>
      </c>
      <c r="P6" s="9" t="n">
        <v>-0.6</v>
      </c>
      <c r="Q6" s="9" t="n">
        <v>-0.29</v>
      </c>
      <c r="R6" s="9">
        <f>(H6-I6)-(F6-G6)</f>
        <v/>
      </c>
      <c r="S6" s="9">
        <f>(H6+I6)-(F6+G6)</f>
        <v/>
      </c>
      <c r="T6" s="9" t="n">
        <v>1.59</v>
      </c>
      <c r="U6" s="9" t="n">
        <v>1.96</v>
      </c>
      <c r="V6" s="9" t="n">
        <v>-0.36</v>
      </c>
      <c r="W6" s="9" t="n">
        <v>10.01</v>
      </c>
      <c r="X6" s="9" t="n">
        <v>10.7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1</v>
      </c>
      <c r="E34" s="19" t="n">
        <v>0.25</v>
      </c>
      <c r="F34" s="19" t="n">
        <v>0.25</v>
      </c>
      <c r="G34" s="19" t="n">
        <v>-0.73</v>
      </c>
      <c r="H34" s="19" t="n">
        <v>-0.73</v>
      </c>
    </row>
    <row r="35">
      <c r="A35" s="15" t="inlineStr">
        <is>
          <t>Away</t>
        </is>
      </c>
      <c r="B35" s="15" t="n">
        <v>3</v>
      </c>
      <c r="C35" s="15" t="n">
        <v>3</v>
      </c>
      <c r="D35" s="15" t="n">
        <v>3</v>
      </c>
      <c r="E35" s="19" t="n">
        <v>-0.66</v>
      </c>
      <c r="F35" s="19" t="n">
        <v>-0.55</v>
      </c>
      <c r="G35" s="19" t="n">
        <v>-0.08</v>
      </c>
      <c r="H35" s="19" t="n">
        <v>0.07000000000000001</v>
      </c>
    </row>
    <row r="36">
      <c r="A36" s="20" t="inlineStr">
        <is>
          <t>Total</t>
        </is>
      </c>
      <c r="B36" s="20" t="n">
        <v>5</v>
      </c>
      <c r="C36" s="20" t="n">
        <v>8</v>
      </c>
      <c r="D36" s="20" t="n">
        <v>4</v>
      </c>
      <c r="E36" s="21" t="n">
        <v>-0.3</v>
      </c>
      <c r="F36" s="21" t="n">
        <v>-0.36</v>
      </c>
      <c r="G36" s="21" t="n">
        <v>-0.34</v>
      </c>
      <c r="H36" s="21" t="n">
        <v>-0.39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-1.66</v>
      </c>
      <c r="O2" s="9" t="n">
        <v>1.6</v>
      </c>
      <c r="P2" s="9" t="n">
        <v>-1.66</v>
      </c>
      <c r="Q2" s="9" t="n">
        <v>1.6</v>
      </c>
      <c r="R2" s="9">
        <f>(H2-I2)-(F2-G2)</f>
        <v/>
      </c>
      <c r="S2" s="9">
        <f>(H2+I2)-(F2+G2)</f>
        <v/>
      </c>
      <c r="T2" s="9" t="n">
        <v>0.07000000000000001</v>
      </c>
      <c r="U2" s="9" t="n">
        <v>1.19</v>
      </c>
      <c r="V2" s="9" t="n">
        <v>-1.12</v>
      </c>
      <c r="W2" s="9" t="n">
        <v>0.07000000000000001</v>
      </c>
      <c r="X2" s="9" t="n">
        <v>1.19</v>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-0.66</v>
      </c>
      <c r="O3" s="10" t="n">
        <v>-0.73</v>
      </c>
      <c r="P3" s="10" t="n">
        <v>-1.16</v>
      </c>
      <c r="Q3" s="10" t="n">
        <v>0.43</v>
      </c>
      <c r="R3" s="10">
        <f>(H3-I3)-(F3-G3)</f>
        <v/>
      </c>
      <c r="S3" s="10">
        <f>(H3+I3)-(F3+G3)</f>
        <v/>
      </c>
      <c r="T3" s="10" t="n">
        <v>0.7</v>
      </c>
      <c r="U3" s="10" t="n">
        <v>0.7</v>
      </c>
      <c r="V3" s="10" t="n">
        <v>-0</v>
      </c>
      <c r="W3" s="10" t="n">
        <v>0.77</v>
      </c>
      <c r="X3" s="10" t="n">
        <v>1.9</v>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1.03</v>
      </c>
      <c r="O4" s="9" t="n">
        <v>-0.74</v>
      </c>
      <c r="P4" s="9" t="n">
        <v>-0.43</v>
      </c>
      <c r="Q4" s="9" t="n">
        <v>0.04</v>
      </c>
      <c r="R4" s="9">
        <f>(H4-I4)-(F4-G4)</f>
        <v/>
      </c>
      <c r="S4" s="9">
        <f>(H4+I4)-(F4+G4)</f>
        <v/>
      </c>
      <c r="T4" s="9" t="n">
        <v>2.3</v>
      </c>
      <c r="U4" s="9" t="n">
        <v>1.81</v>
      </c>
      <c r="V4" s="9" t="n">
        <v>0.49</v>
      </c>
      <c r="W4" s="9" t="n">
        <v>3.07</v>
      </c>
      <c r="X4" s="9" t="n">
        <v>3.7</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-0.28</v>
      </c>
      <c r="O5" s="10" t="n">
        <v>1.28</v>
      </c>
      <c r="P5" s="10" t="n">
        <v>-0.39</v>
      </c>
      <c r="Q5" s="10" t="n">
        <v>0.35</v>
      </c>
      <c r="R5" s="10">
        <f>(H5-I5)-(F5-G5)</f>
        <v/>
      </c>
      <c r="S5" s="10">
        <f>(H5+I5)-(F5+G5)</f>
        <v/>
      </c>
      <c r="T5" s="10" t="n">
        <v>0.54</v>
      </c>
      <c r="U5" s="10" t="n">
        <v>1.58</v>
      </c>
      <c r="V5" s="10" t="n">
        <v>-1.04</v>
      </c>
      <c r="W5" s="10" t="n">
        <v>3.6</v>
      </c>
      <c r="X5" s="10" t="n">
        <v>5.28</v>
      </c>
    </row>
    <row r="6">
      <c r="A6" s="6" t="inlineStr">
        <is>
          <t>2026-09-19</t>
        </is>
      </c>
      <c r="B6" s="6" t="inlineStr">
        <is>
          <t>Tottenham Hotspur</t>
        </is>
      </c>
      <c r="C6" s="6" t="inlineStr">
        <is>
          <t>Away</t>
        </is>
      </c>
      <c r="D6" s="6" t="n">
        <v>3</v>
      </c>
      <c r="E6" s="6" t="n">
        <v>2</v>
      </c>
      <c r="F6" s="9" t="n">
        <v>1.15</v>
      </c>
      <c r="G6" s="9" t="n">
        <v>1.63</v>
      </c>
      <c r="H6" s="9" t="n">
        <v>1.26</v>
      </c>
      <c r="I6" s="9" t="n">
        <v>1.56</v>
      </c>
      <c r="J6" s="9" t="n">
        <v>0.11</v>
      </c>
      <c r="K6" s="9" t="n">
        <v>-0.07000000000000001</v>
      </c>
      <c r="L6" s="9" t="n">
        <v>-0.38</v>
      </c>
      <c r="M6" s="9" t="n">
        <v>0.36</v>
      </c>
      <c r="N6" s="9" t="n">
        <v>-0.19</v>
      </c>
      <c r="O6" s="9" t="n">
        <v>0.53</v>
      </c>
      <c r="P6" s="9" t="n">
        <v>-0.35</v>
      </c>
      <c r="Q6" s="9" t="n">
        <v>0.39</v>
      </c>
      <c r="R6" s="9">
        <f>(H6-I6)-(F6-G6)</f>
        <v/>
      </c>
      <c r="S6" s="9">
        <f>(H6+I6)-(F6+G6)</f>
        <v/>
      </c>
      <c r="T6" s="9" t="n">
        <v>1.17</v>
      </c>
      <c r="U6" s="9" t="n">
        <v>1.05</v>
      </c>
      <c r="V6" s="9" t="n">
        <v>0.12</v>
      </c>
      <c r="W6" s="9" t="n">
        <v>4.77</v>
      </c>
      <c r="X6" s="9" t="n">
        <v>6.34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1</v>
      </c>
      <c r="D34" s="15" t="n">
        <v>3</v>
      </c>
      <c r="E34" s="19" t="n">
        <v>-0.7</v>
      </c>
      <c r="F34" s="19" t="n">
        <v>-0.7</v>
      </c>
      <c r="G34" s="19" t="n">
        <v>-0.5</v>
      </c>
      <c r="H34" s="19" t="n">
        <v>-0.5</v>
      </c>
    </row>
    <row r="35">
      <c r="A35" s="15" t="inlineStr">
        <is>
          <t>Away</t>
        </is>
      </c>
      <c r="B35" s="15" t="n">
        <v>3</v>
      </c>
      <c r="C35" s="15" t="n">
        <v>3</v>
      </c>
      <c r="D35" s="15" t="n">
        <v>6</v>
      </c>
      <c r="E35" s="19" t="n">
        <v>-0.77</v>
      </c>
      <c r="F35" s="19" t="n">
        <v>0.18</v>
      </c>
      <c r="G35" s="19" t="n">
        <v>0.31</v>
      </c>
      <c r="H35" s="19" t="n">
        <v>0.04</v>
      </c>
    </row>
    <row r="36">
      <c r="A36" s="20" t="inlineStr">
        <is>
          <t>Total</t>
        </is>
      </c>
      <c r="B36" s="20" t="n">
        <v>5</v>
      </c>
      <c r="C36" s="20" t="n">
        <v>4</v>
      </c>
      <c r="D36" s="20" t="n">
        <v>9</v>
      </c>
      <c r="E36" s="21" t="n">
        <v>-0.74</v>
      </c>
      <c r="F36" s="21" t="n">
        <v>0.18</v>
      </c>
      <c r="G36" s="21" t="n">
        <v>-0.02</v>
      </c>
      <c r="H36" s="21" t="n">
        <v>0.04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-1.1</v>
      </c>
      <c r="O2" s="9" t="n">
        <v>0.1</v>
      </c>
      <c r="P2" s="9" t="n">
        <v>-1.1</v>
      </c>
      <c r="Q2" s="9" t="n">
        <v>0.1</v>
      </c>
      <c r="R2" s="9">
        <f>(H2-I2)-(F2-G2)</f>
        <v/>
      </c>
      <c r="S2" s="9">
        <f>(H2+I2)-(F2+G2)</f>
        <v/>
      </c>
      <c r="T2" s="9" t="n">
        <v>0.45</v>
      </c>
      <c r="U2" s="9" t="n">
        <v>0.68</v>
      </c>
      <c r="V2" s="9" t="n">
        <v>-0.24</v>
      </c>
      <c r="W2" s="9" t="n">
        <v>0.45</v>
      </c>
      <c r="X2" s="9" t="n">
        <v>0.68</v>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0.76</v>
      </c>
      <c r="O3" s="10" t="n">
        <v>0.77</v>
      </c>
      <c r="P3" s="10" t="n">
        <v>-0.17</v>
      </c>
      <c r="Q3" s="10" t="n">
        <v>0.44</v>
      </c>
      <c r="R3" s="10">
        <f>(H3-I3)-(F3-G3)</f>
        <v/>
      </c>
      <c r="S3" s="10">
        <f>(H3+I3)-(F3+G3)</f>
        <v/>
      </c>
      <c r="T3" s="10" t="n">
        <v>1.58</v>
      </c>
      <c r="U3" s="10" t="n">
        <v>1.68</v>
      </c>
      <c r="V3" s="10" t="n">
        <v>-0.09</v>
      </c>
      <c r="W3" s="10" t="n">
        <v>2.03</v>
      </c>
      <c r="X3" s="10" t="n">
        <v>2.36</v>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-0.4</v>
      </c>
      <c r="O4" s="9" t="n">
        <v>-0.68</v>
      </c>
      <c r="P4" s="9" t="n">
        <v>-0.25</v>
      </c>
      <c r="Q4" s="9" t="n">
        <v>0.06</v>
      </c>
      <c r="R4" s="9">
        <f>(H4-I4)-(F4-G4)</f>
        <v/>
      </c>
      <c r="S4" s="9">
        <f>(H4+I4)-(F4+G4)</f>
        <v/>
      </c>
      <c r="T4" s="9" t="n">
        <v>1.86</v>
      </c>
      <c r="U4" s="9" t="n">
        <v>1.14</v>
      </c>
      <c r="V4" s="9" t="n">
        <v>0.72</v>
      </c>
      <c r="W4" s="9" t="n">
        <v>3.89</v>
      </c>
      <c r="X4" s="9" t="n">
        <v>3.5</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0.42</v>
      </c>
      <c r="O5" s="10" t="n">
        <v>-1.72</v>
      </c>
      <c r="P5" s="10" t="n">
        <v>-0.08</v>
      </c>
      <c r="Q5" s="10" t="n">
        <v>-0.38</v>
      </c>
      <c r="R5" s="10">
        <f>(H5-I5)-(F5-G5)</f>
        <v/>
      </c>
      <c r="S5" s="10">
        <f>(H5+I5)-(F5+G5)</f>
        <v/>
      </c>
      <c r="T5" s="10" t="n">
        <v>2.26</v>
      </c>
      <c r="U5" s="10" t="n">
        <v>1.42</v>
      </c>
      <c r="V5" s="10" t="n">
        <v>0.84</v>
      </c>
      <c r="W5" s="10" t="n">
        <v>6.15</v>
      </c>
      <c r="X5" s="10" t="n">
        <v>4.92</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-0.86</v>
      </c>
      <c r="O6" s="9" t="n">
        <v>0.34</v>
      </c>
      <c r="P6" s="9" t="n">
        <v>-0.24</v>
      </c>
      <c r="Q6" s="9" t="n">
        <v>-0.24</v>
      </c>
      <c r="R6" s="9">
        <f>(H6-I6)-(F6-G6)</f>
        <v/>
      </c>
      <c r="S6" s="9">
        <f>(H6+I6)-(F6+G6)</f>
        <v/>
      </c>
      <c r="T6" s="9" t="n">
        <v>0.78</v>
      </c>
      <c r="U6" s="9" t="n">
        <v>1.15</v>
      </c>
      <c r="V6" s="9" t="n">
        <v>-0.38</v>
      </c>
      <c r="W6" s="9" t="n">
        <v>6.92</v>
      </c>
      <c r="X6" s="9" t="n">
        <v>6.07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3</v>
      </c>
      <c r="D34" s="15" t="n">
        <v>4</v>
      </c>
      <c r="E34" s="19" t="n">
        <v>0.19</v>
      </c>
      <c r="F34" s="19" t="n">
        <v>-0.12</v>
      </c>
      <c r="G34" s="19" t="n">
        <v>-0.06</v>
      </c>
      <c r="H34" s="19" t="n">
        <v>-0.72</v>
      </c>
    </row>
    <row r="35">
      <c r="A35" s="15" t="inlineStr">
        <is>
          <t>Away</t>
        </is>
      </c>
      <c r="B35" s="15" t="n">
        <v>2</v>
      </c>
      <c r="C35" s="15" t="n">
        <v>3</v>
      </c>
      <c r="D35" s="15" t="n">
        <v>4</v>
      </c>
      <c r="E35" s="19" t="n">
        <v>0.34</v>
      </c>
      <c r="F35" s="19" t="n">
        <v>0.34</v>
      </c>
      <c r="G35" s="19" t="n">
        <v>-0.77</v>
      </c>
      <c r="H35" s="19" t="n">
        <v>-0.77</v>
      </c>
    </row>
    <row r="36">
      <c r="A36" s="20" t="inlineStr">
        <is>
          <t>Total</t>
        </is>
      </c>
      <c r="B36" s="20" t="n">
        <v>5</v>
      </c>
      <c r="C36" s="20" t="n">
        <v>6</v>
      </c>
      <c r="D36" s="20" t="n">
        <v>8</v>
      </c>
      <c r="E36" s="21" t="n">
        <v>0.25</v>
      </c>
      <c r="F36" s="21" t="n">
        <v>-0.12</v>
      </c>
      <c r="G36" s="21" t="n">
        <v>-0.34</v>
      </c>
      <c r="H36" s="21" t="n">
        <v>-0.72</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2.6</v>
      </c>
      <c r="O2" s="9" t="n">
        <v>-0.44</v>
      </c>
      <c r="P2" s="9" t="n">
        <v>2.6</v>
      </c>
      <c r="Q2" s="9" t="n">
        <v>-0.44</v>
      </c>
      <c r="R2" s="9">
        <f>(H2-I2)-(F2-G2)</f>
        <v/>
      </c>
      <c r="S2" s="9">
        <f>(H2+I2)-(F2+G2)</f>
        <v/>
      </c>
      <c r="T2" s="9" t="n">
        <v>2.81</v>
      </c>
      <c r="U2" s="9" t="n">
        <v>1.45</v>
      </c>
      <c r="V2" s="9" t="n">
        <v>1.36</v>
      </c>
      <c r="W2" s="9" t="n">
        <v>2.81</v>
      </c>
      <c r="X2" s="9" t="n">
        <v>1.45</v>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0.5</v>
      </c>
      <c r="O3" s="10" t="n">
        <v>-0.06</v>
      </c>
      <c r="P3" s="10" t="n">
        <v>1.55</v>
      </c>
      <c r="Q3" s="10" t="n">
        <v>-0.25</v>
      </c>
      <c r="R3" s="10">
        <f>(H3-I3)-(F3-G3)</f>
        <v/>
      </c>
      <c r="S3" s="10">
        <f>(H3+I3)-(F3+G3)</f>
        <v/>
      </c>
      <c r="T3" s="10" t="n">
        <v>1.52</v>
      </c>
      <c r="U3" s="10" t="n">
        <v>1.35</v>
      </c>
      <c r="V3" s="10" t="n">
        <v>0.17</v>
      </c>
      <c r="W3" s="10" t="n">
        <v>4.33</v>
      </c>
      <c r="X3" s="10" t="n">
        <v>2.8</v>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-0.82</v>
      </c>
      <c r="O4" s="9" t="n">
        <v>-0.17</v>
      </c>
      <c r="P4" s="9" t="n">
        <v>0.76</v>
      </c>
      <c r="Q4" s="9" t="n">
        <v>-0.22</v>
      </c>
      <c r="R4" s="9">
        <f>(H4-I4)-(F4-G4)</f>
        <v/>
      </c>
      <c r="S4" s="9">
        <f>(H4+I4)-(F4+G4)</f>
        <v/>
      </c>
      <c r="T4" s="9" t="n">
        <v>1.05</v>
      </c>
      <c r="U4" s="9" t="n">
        <v>2.01</v>
      </c>
      <c r="V4" s="9" t="n">
        <v>-0.96</v>
      </c>
      <c r="W4" s="9" t="n">
        <v>5.38</v>
      </c>
      <c r="X4" s="9" t="n">
        <v>4.81</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-0.82</v>
      </c>
      <c r="O5" s="10" t="n">
        <v>0.35</v>
      </c>
      <c r="P5" s="10" t="n">
        <v>0.36</v>
      </c>
      <c r="Q5" s="10" t="n">
        <v>-0.08</v>
      </c>
      <c r="R5" s="10">
        <f>(H5-I5)-(F5-G5)</f>
        <v/>
      </c>
      <c r="S5" s="10">
        <f>(H5+I5)-(F5+G5)</f>
        <v/>
      </c>
      <c r="T5" s="10" t="n">
        <v>0.52</v>
      </c>
      <c r="U5" s="10" t="n">
        <v>1.33</v>
      </c>
      <c r="V5" s="10" t="n">
        <v>-0.8100000000000001</v>
      </c>
      <c r="W5" s="10" t="n">
        <v>5.9</v>
      </c>
      <c r="X5" s="10" t="n">
        <v>6.15</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0.74</v>
      </c>
      <c r="O6" s="9" t="n">
        <v>-0.63</v>
      </c>
      <c r="P6" s="9" t="n">
        <v>0.44</v>
      </c>
      <c r="Q6" s="9" t="n">
        <v>-0.19</v>
      </c>
      <c r="R6" s="9">
        <f>(H6-I6)-(F6-G6)</f>
        <v/>
      </c>
      <c r="S6" s="9">
        <f>(H6+I6)-(F6+G6)</f>
        <v/>
      </c>
      <c r="T6" s="9" t="n">
        <v>2.43</v>
      </c>
      <c r="U6" s="9" t="n">
        <v>1.36</v>
      </c>
      <c r="V6" s="9" t="n">
        <v>1.07</v>
      </c>
      <c r="W6" s="9" t="n">
        <v>8.33</v>
      </c>
      <c r="X6" s="9" t="n">
        <v>7.51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7</v>
      </c>
      <c r="D34" s="15" t="n">
        <v>1</v>
      </c>
      <c r="E34" s="19" t="n">
        <v>1.2</v>
      </c>
      <c r="F34" s="19" t="n">
        <v>1.85</v>
      </c>
      <c r="G34" s="19" t="n">
        <v>0.62</v>
      </c>
      <c r="H34" s="19" t="n">
        <v>0.19</v>
      </c>
    </row>
    <row r="35">
      <c r="A35" s="15" t="inlineStr">
        <is>
          <t>Away</t>
        </is>
      </c>
      <c r="B35" s="15" t="n">
        <v>2</v>
      </c>
      <c r="C35" s="15" t="n">
        <v>3</v>
      </c>
      <c r="D35" s="15" t="n">
        <v>3</v>
      </c>
      <c r="E35" s="19" t="n">
        <v>-0.47</v>
      </c>
      <c r="F35" s="19" t="n">
        <v>-0.47</v>
      </c>
      <c r="G35" s="19" t="n">
        <v>-0.13</v>
      </c>
      <c r="H35" s="19" t="n">
        <v>-0.13</v>
      </c>
    </row>
    <row r="36">
      <c r="A36" s="20" t="inlineStr">
        <is>
          <t>Total</t>
        </is>
      </c>
      <c r="B36" s="20" t="n">
        <v>5</v>
      </c>
      <c r="C36" s="20" t="n">
        <v>10</v>
      </c>
      <c r="D36" s="20" t="n">
        <v>4</v>
      </c>
      <c r="E36" s="21" t="n">
        <v>0.53</v>
      </c>
      <c r="F36" s="21" t="n">
        <v>0.24</v>
      </c>
      <c r="G36" s="21" t="n">
        <v>0.32</v>
      </c>
      <c r="H36" s="21" t="n">
        <v>0.19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2.24</v>
      </c>
      <c r="O2" s="9" t="n">
        <v>-0.84</v>
      </c>
      <c r="P2" s="9" t="n">
        <v>2.24</v>
      </c>
      <c r="Q2" s="9" t="n">
        <v>-0.84</v>
      </c>
      <c r="R2" s="9">
        <f>(H2-I2)-(F2-G2)</f>
        <v/>
      </c>
      <c r="S2" s="9">
        <f>(H2+I2)-(F2+G2)</f>
        <v/>
      </c>
      <c r="T2" s="9" t="n">
        <v>2.88</v>
      </c>
      <c r="U2" s="9" t="n">
        <v>1.56</v>
      </c>
      <c r="V2" s="9" t="n">
        <v>1.32</v>
      </c>
      <c r="W2" s="9" t="n">
        <v>2.88</v>
      </c>
      <c r="X2" s="9" t="n">
        <v>1.56</v>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-0.24</v>
      </c>
      <c r="O3" s="10" t="n">
        <v>1.78</v>
      </c>
      <c r="P3" s="10" t="n">
        <v>1</v>
      </c>
      <c r="Q3" s="10" t="n">
        <v>0.47</v>
      </c>
      <c r="R3" s="10">
        <f>(H3-I3)-(F3-G3)</f>
        <v/>
      </c>
      <c r="S3" s="10">
        <f>(H3+I3)-(F3+G3)</f>
        <v/>
      </c>
      <c r="T3" s="10" t="n">
        <v>0.63</v>
      </c>
      <c r="U3" s="10" t="n">
        <v>0.95</v>
      </c>
      <c r="V3" s="10" t="n">
        <v>-0.32</v>
      </c>
      <c r="W3" s="10" t="n">
        <v>3.51</v>
      </c>
      <c r="X3" s="10" t="n">
        <v>2.52</v>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0.79</v>
      </c>
      <c r="O4" s="9" t="n">
        <v>1.57</v>
      </c>
      <c r="P4" s="9" t="n">
        <v>0.93</v>
      </c>
      <c r="Q4" s="9" t="n">
        <v>0.84</v>
      </c>
      <c r="R4" s="9">
        <f>(H4-I4)-(F4-G4)</f>
        <v/>
      </c>
      <c r="S4" s="9">
        <f>(H4+I4)-(F4+G4)</f>
        <v/>
      </c>
      <c r="T4" s="9" t="n">
        <v>1.25</v>
      </c>
      <c r="U4" s="9" t="n">
        <v>1.74</v>
      </c>
      <c r="V4" s="9" t="n">
        <v>-0.5</v>
      </c>
      <c r="W4" s="9" t="n">
        <v>4.76</v>
      </c>
      <c r="X4" s="9" t="n">
        <v>4.26</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1.74</v>
      </c>
      <c r="O5" s="10" t="n">
        <v>0.28</v>
      </c>
      <c r="P5" s="10" t="n">
        <v>1.13</v>
      </c>
      <c r="Q5" s="10" t="n">
        <v>0.7</v>
      </c>
      <c r="R5" s="10">
        <f>(H5-I5)-(F5-G5)</f>
        <v/>
      </c>
      <c r="S5" s="10">
        <f>(H5+I5)-(F5+G5)</f>
        <v/>
      </c>
      <c r="T5" s="10" t="n">
        <v>2.21</v>
      </c>
      <c r="U5" s="10" t="n">
        <v>1.76</v>
      </c>
      <c r="V5" s="10" t="n">
        <v>0.44</v>
      </c>
      <c r="W5" s="10" t="n">
        <v>6.96</v>
      </c>
      <c r="X5" s="10" t="n">
        <v>6.03</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0.41</v>
      </c>
      <c r="O6" s="9" t="n">
        <v>0.1</v>
      </c>
      <c r="P6" s="9" t="n">
        <v>0.99</v>
      </c>
      <c r="Q6" s="9" t="n">
        <v>0.58</v>
      </c>
      <c r="R6" s="9">
        <f>(H6-I6)-(F6-G6)</f>
        <v/>
      </c>
      <c r="S6" s="9">
        <f>(H6+I6)-(F6+G6)</f>
        <v/>
      </c>
      <c r="T6" s="9" t="n">
        <v>1.17</v>
      </c>
      <c r="U6" s="9" t="n">
        <v>0.82</v>
      </c>
      <c r="V6" s="9" t="n">
        <v>0.35</v>
      </c>
      <c r="W6" s="9" t="n">
        <v>8.130000000000001</v>
      </c>
      <c r="X6" s="9" t="n">
        <v>6.84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8</v>
      </c>
      <c r="D34" s="15" t="n">
        <v>1</v>
      </c>
      <c r="E34" s="19" t="n">
        <v>0.97</v>
      </c>
      <c r="F34" s="19" t="n">
        <v>0.55</v>
      </c>
      <c r="G34" s="19" t="n">
        <v>1.05</v>
      </c>
      <c r="H34" s="19" t="n">
        <v>1.1</v>
      </c>
    </row>
    <row r="35">
      <c r="A35" s="15" t="inlineStr">
        <is>
          <t>Away</t>
        </is>
      </c>
      <c r="B35" s="15" t="n">
        <v>2</v>
      </c>
      <c r="C35" s="15" t="n">
        <v>8</v>
      </c>
      <c r="D35" s="15" t="n">
        <v>4</v>
      </c>
      <c r="E35" s="19" t="n">
        <v>0.02</v>
      </c>
      <c r="F35" s="19" t="n">
        <v>0.02</v>
      </c>
      <c r="G35" s="19" t="n">
        <v>1.3</v>
      </c>
      <c r="H35" s="19" t="n">
        <v>1.3</v>
      </c>
    </row>
    <row r="36">
      <c r="A36" s="20" t="inlineStr">
        <is>
          <t>Total</t>
        </is>
      </c>
      <c r="B36" s="20" t="n">
        <v>5</v>
      </c>
      <c r="C36" s="20" t="n">
        <v>16</v>
      </c>
      <c r="D36" s="20" t="n">
        <v>5</v>
      </c>
      <c r="E36" s="21" t="n">
        <v>0.59</v>
      </c>
      <c r="F36" s="21" t="n">
        <v>0.55</v>
      </c>
      <c r="G36" s="21" t="n">
        <v>1.15</v>
      </c>
      <c r="H36" s="21" t="n">
        <v>1.27</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0.4</v>
      </c>
      <c r="O2" s="9" t="n">
        <v>-0.28</v>
      </c>
      <c r="P2" s="9" t="n">
        <v>0.4</v>
      </c>
      <c r="Q2" s="9" t="n">
        <v>-0.28</v>
      </c>
      <c r="R2" s="9">
        <f>(H2-I2)-(F2-G2)</f>
        <v/>
      </c>
      <c r="S2" s="9">
        <f>(H2+I2)-(F2+G2)</f>
        <v/>
      </c>
      <c r="T2" s="9" t="n">
        <v>1.94</v>
      </c>
      <c r="U2" s="9" t="n">
        <v>1.74</v>
      </c>
      <c r="V2" s="9" t="n">
        <v>0.2</v>
      </c>
      <c r="W2" s="9" t="n">
        <v>1.94</v>
      </c>
      <c r="X2" s="9" t="n">
        <v>1.74</v>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1.02</v>
      </c>
      <c r="O3" s="10" t="n">
        <v>-0.79</v>
      </c>
      <c r="P3" s="10" t="n">
        <v>0.71</v>
      </c>
      <c r="Q3" s="10" t="n">
        <v>-0.54</v>
      </c>
      <c r="R3" s="10">
        <f>(H3-I3)-(F3-G3)</f>
        <v/>
      </c>
      <c r="S3" s="10">
        <f>(H3+I3)-(F3+G3)</f>
        <v/>
      </c>
      <c r="T3" s="10" t="n">
        <v>2.21</v>
      </c>
      <c r="U3" s="10" t="n">
        <v>1.82</v>
      </c>
      <c r="V3" s="10" t="n">
        <v>0.4</v>
      </c>
      <c r="W3" s="10" t="n">
        <v>4.15</v>
      </c>
      <c r="X3" s="10" t="n">
        <v>3.55</v>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-0.71</v>
      </c>
      <c r="O4" s="9" t="n">
        <v>0.64</v>
      </c>
      <c r="P4" s="9" t="n">
        <v>0.24</v>
      </c>
      <c r="Q4" s="9" t="n">
        <v>-0.14</v>
      </c>
      <c r="R4" s="9">
        <f>(H4-I4)-(F4-G4)</f>
        <v/>
      </c>
      <c r="S4" s="9">
        <f>(H4+I4)-(F4+G4)</f>
        <v/>
      </c>
      <c r="T4" s="9" t="n">
        <v>0.35</v>
      </c>
      <c r="U4" s="9" t="n">
        <v>0.8100000000000001</v>
      </c>
      <c r="V4" s="9" t="n">
        <v>-0.46</v>
      </c>
      <c r="W4" s="9" t="n">
        <v>4.5</v>
      </c>
      <c r="X4" s="9" t="n">
        <v>4.36</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v>
      </c>
      <c r="O5" s="10" t="n">
        <v>0.6</v>
      </c>
      <c r="P5" s="10" t="n">
        <v>-0.2</v>
      </c>
      <c r="Q5" s="10" t="n">
        <v>0.04</v>
      </c>
      <c r="R5" s="10">
        <f>(H5-I5)-(F5-G5)</f>
        <v/>
      </c>
      <c r="S5" s="10">
        <f>(H5+I5)-(F5+G5)</f>
        <v/>
      </c>
      <c r="T5" s="10" t="n">
        <v>1.02</v>
      </c>
      <c r="U5" s="10" t="n">
        <v>2.47</v>
      </c>
      <c r="V5" s="10" t="n">
        <v>-1.45</v>
      </c>
      <c r="W5" s="10" t="n">
        <v>5.52</v>
      </c>
      <c r="X5" s="10" t="n">
        <v>6.83</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-0.91</v>
      </c>
      <c r="O6" s="9" t="n">
        <v>0.75</v>
      </c>
      <c r="P6" s="9" t="n">
        <v>-0.34</v>
      </c>
      <c r="Q6" s="9" t="n">
        <v>0.18</v>
      </c>
      <c r="R6" s="9">
        <f>(H6-I6)-(F6-G6)</f>
        <v/>
      </c>
      <c r="S6" s="9">
        <f>(H6+I6)-(F6+G6)</f>
        <v/>
      </c>
      <c r="T6" s="9" t="n">
        <v>0.42</v>
      </c>
      <c r="U6" s="9" t="n">
        <v>1.41</v>
      </c>
      <c r="V6" s="9" t="n">
        <v>-0.98</v>
      </c>
      <c r="W6" s="9" t="n">
        <v>5.94</v>
      </c>
      <c r="X6" s="9" t="n">
        <v>8.24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6</v>
      </c>
      <c r="D34" s="15" t="n">
        <v>5</v>
      </c>
      <c r="E34" s="19" t="n">
        <v>-0.76</v>
      </c>
      <c r="F34" s="19" t="n">
        <v>-0.76</v>
      </c>
      <c r="G34" s="19" t="n">
        <v>0.08</v>
      </c>
      <c r="H34" s="19" t="n">
        <v>0.08</v>
      </c>
    </row>
    <row r="35">
      <c r="A35" s="15" t="inlineStr">
        <is>
          <t>Away</t>
        </is>
      </c>
      <c r="B35" s="15" t="n">
        <v>3</v>
      </c>
      <c r="C35" s="15" t="n">
        <v>4</v>
      </c>
      <c r="D35" s="15" t="n">
        <v>7</v>
      </c>
      <c r="E35" s="19" t="n">
        <v>-0.75</v>
      </c>
      <c r="F35" s="19" t="n">
        <v>-0.78</v>
      </c>
      <c r="G35" s="19" t="n">
        <v>0.12</v>
      </c>
      <c r="H35" s="19" t="n">
        <v>0.19</v>
      </c>
    </row>
    <row r="36">
      <c r="A36" s="20" t="inlineStr">
        <is>
          <t>Total</t>
        </is>
      </c>
      <c r="B36" s="20" t="n">
        <v>5</v>
      </c>
      <c r="C36" s="20" t="n">
        <v>10</v>
      </c>
      <c r="D36" s="20" t="n">
        <v>12</v>
      </c>
      <c r="E36" s="21" t="n">
        <v>-0.76</v>
      </c>
      <c r="F36" s="21" t="n">
        <v>-0.78</v>
      </c>
      <c r="G36" s="21" t="n">
        <v>0.1</v>
      </c>
      <c r="H36" s="21" t="n">
        <v>0.19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-0.46</v>
      </c>
      <c r="O2" s="9" t="n">
        <v>-0.45</v>
      </c>
      <c r="P2" s="9" t="n">
        <v>-0.46</v>
      </c>
      <c r="Q2" s="9" t="n">
        <v>-0.45</v>
      </c>
      <c r="R2" s="9">
        <f>(H2-I2)-(F2-G2)</f>
        <v/>
      </c>
      <c r="S2" s="9">
        <f>(H2+I2)-(F2+G2)</f>
        <v/>
      </c>
      <c r="T2" s="9" t="n">
        <v>0.28</v>
      </c>
      <c r="U2" s="9" t="n">
        <v>0.33</v>
      </c>
      <c r="V2" s="9" t="n">
        <v>-0.06</v>
      </c>
      <c r="W2" s="9" t="n">
        <v>0.28</v>
      </c>
      <c r="X2" s="9" t="n">
        <v>0.33</v>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0.26</v>
      </c>
      <c r="O3" s="10" t="n">
        <v>-0.5600000000000001</v>
      </c>
      <c r="P3" s="10" t="n">
        <v>-0.1</v>
      </c>
      <c r="Q3" s="10" t="n">
        <v>-0.5</v>
      </c>
      <c r="R3" s="10">
        <f>(H3-I3)-(F3-G3)</f>
        <v/>
      </c>
      <c r="S3" s="10">
        <f>(H3+I3)-(F3+G3)</f>
        <v/>
      </c>
      <c r="T3" s="10" t="n">
        <v>1.79</v>
      </c>
      <c r="U3" s="10" t="n">
        <v>1.79</v>
      </c>
      <c r="V3" s="10" t="n">
        <v>0.01</v>
      </c>
      <c r="W3" s="10" t="n">
        <v>2.07</v>
      </c>
      <c r="X3" s="10" t="n">
        <v>2.12</v>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0.21</v>
      </c>
      <c r="O4" s="9" t="n">
        <v>-0.78</v>
      </c>
      <c r="P4" s="9" t="n">
        <v>0</v>
      </c>
      <c r="Q4" s="9" t="n">
        <v>-0.59</v>
      </c>
      <c r="R4" s="9">
        <f>(H4-I4)-(F4-G4)</f>
        <v/>
      </c>
      <c r="S4" s="9">
        <f>(H4+I4)-(F4+G4)</f>
        <v/>
      </c>
      <c r="T4" s="9" t="n">
        <v>0.9399999999999999</v>
      </c>
      <c r="U4" s="9" t="n">
        <v>0.33</v>
      </c>
      <c r="V4" s="9" t="n">
        <v>0.61</v>
      </c>
      <c r="W4" s="9" t="n">
        <v>3.01</v>
      </c>
      <c r="X4" s="9" t="n">
        <v>2.45</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-0.12</v>
      </c>
      <c r="O5" s="10" t="n">
        <v>0.27</v>
      </c>
      <c r="P5" s="10" t="n">
        <v>-0.03</v>
      </c>
      <c r="Q5" s="10" t="n">
        <v>-0.38</v>
      </c>
      <c r="R5" s="10">
        <f>(H5-I5)-(F5-G5)</f>
        <v/>
      </c>
      <c r="S5" s="10">
        <f>(H5+I5)-(F5+G5)</f>
        <v/>
      </c>
      <c r="T5" s="10" t="n">
        <v>0.63</v>
      </c>
      <c r="U5" s="10" t="n">
        <v>1</v>
      </c>
      <c r="V5" s="10" t="n">
        <v>-0.36</v>
      </c>
      <c r="W5" s="10" t="n">
        <v>3.65</v>
      </c>
      <c r="X5" s="10" t="n">
        <v>3.45</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0.24</v>
      </c>
      <c r="O6" s="9" t="n">
        <v>-1.12</v>
      </c>
      <c r="P6" s="9" t="n">
        <v>0.03</v>
      </c>
      <c r="Q6" s="9" t="n">
        <v>-0.53</v>
      </c>
      <c r="R6" s="9">
        <f>(H6-I6)-(F6-G6)</f>
        <v/>
      </c>
      <c r="S6" s="9">
        <f>(H6+I6)-(F6+G6)</f>
        <v/>
      </c>
      <c r="T6" s="9" t="n">
        <v>0.99</v>
      </c>
      <c r="U6" s="9" t="n">
        <v>0.73</v>
      </c>
      <c r="V6" s="9" t="n">
        <v>0.25</v>
      </c>
      <c r="W6" s="9" t="n">
        <v>4.63</v>
      </c>
      <c r="X6" s="9" t="n">
        <v>4.18</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0</v>
      </c>
      <c r="D34" s="15" t="n">
        <v>6</v>
      </c>
      <c r="E34" s="19" t="n">
        <v>-0.47</v>
      </c>
      <c r="F34" s="19" t="n">
        <v>-0.47</v>
      </c>
      <c r="G34" s="19" t="n">
        <v>0.29</v>
      </c>
      <c r="H34" s="19" t="n">
        <v>0.29</v>
      </c>
    </row>
    <row r="35">
      <c r="A35" s="15" t="inlineStr">
        <is>
          <t>Away</t>
        </is>
      </c>
      <c r="B35" s="15" t="n">
        <v>3</v>
      </c>
      <c r="C35" s="15" t="n">
        <v>1</v>
      </c>
      <c r="D35" s="15" t="n">
        <v>4</v>
      </c>
      <c r="E35" s="19" t="n">
        <v>0.75</v>
      </c>
      <c r="F35" s="19" t="n">
        <v>0.58</v>
      </c>
      <c r="G35" s="19" t="n">
        <v>-0.76</v>
      </c>
      <c r="H35" s="19" t="n">
        <v>-1.05</v>
      </c>
    </row>
    <row r="36">
      <c r="A36" s="20" t="inlineStr">
        <is>
          <t>Total</t>
        </is>
      </c>
      <c r="B36" s="20" t="n">
        <v>5</v>
      </c>
      <c r="C36" s="20" t="n">
        <v>1</v>
      </c>
      <c r="D36" s="20" t="n">
        <v>10</v>
      </c>
      <c r="E36" s="21" t="n">
        <v>0.26</v>
      </c>
      <c r="F36" s="21" t="n">
        <v>0.28</v>
      </c>
      <c r="G36" s="21" t="n">
        <v>-0.34</v>
      </c>
      <c r="H36" s="21" t="n">
        <v>-0.6899999999999999</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1.02</v>
      </c>
      <c r="O2" s="9" t="n">
        <v>-0.59</v>
      </c>
      <c r="P2" s="9" t="n">
        <v>1.02</v>
      </c>
      <c r="Q2" s="9" t="n">
        <v>-0.59</v>
      </c>
      <c r="R2" s="9">
        <f>(H2-I2)-(F2-G2)</f>
        <v/>
      </c>
      <c r="S2" s="9">
        <f>(H2+I2)-(F2+G2)</f>
        <v/>
      </c>
      <c r="T2" s="9" t="n">
        <v>1.92</v>
      </c>
      <c r="U2" s="9" t="n">
        <v>1.14</v>
      </c>
      <c r="V2" s="9" t="n">
        <v>0.79</v>
      </c>
      <c r="W2" s="9" t="n">
        <v>1.92</v>
      </c>
      <c r="X2" s="9" t="n">
        <v>1.14</v>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-1</v>
      </c>
      <c r="O3" s="10" t="n">
        <v>0.58</v>
      </c>
      <c r="P3" s="10" t="n">
        <v>0.01</v>
      </c>
      <c r="Q3" s="10" t="n">
        <v>-0</v>
      </c>
      <c r="R3" s="10">
        <f>(H3-I3)-(F3-G3)</f>
        <v/>
      </c>
      <c r="S3" s="10">
        <f>(H3+I3)-(F3+G3)</f>
        <v/>
      </c>
      <c r="T3" s="10" t="n">
        <v>0.46</v>
      </c>
      <c r="U3" s="10" t="n">
        <v>0.82</v>
      </c>
      <c r="V3" s="10" t="n">
        <v>-0.36</v>
      </c>
      <c r="W3" s="10" t="n">
        <v>2.39</v>
      </c>
      <c r="X3" s="10" t="n">
        <v>1.96</v>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0.8</v>
      </c>
      <c r="O4" s="9" t="n">
        <v>1.72</v>
      </c>
      <c r="P4" s="9" t="n">
        <v>0.27</v>
      </c>
      <c r="Q4" s="9" t="n">
        <v>0.57</v>
      </c>
      <c r="R4" s="9">
        <f>(H4-I4)-(F4-G4)</f>
        <v/>
      </c>
      <c r="S4" s="9">
        <f>(H4+I4)-(F4+G4)</f>
        <v/>
      </c>
      <c r="T4" s="9" t="n">
        <v>0.84</v>
      </c>
      <c r="U4" s="9" t="n">
        <v>1.19</v>
      </c>
      <c r="V4" s="9" t="n">
        <v>-0.35</v>
      </c>
      <c r="W4" s="9" t="n">
        <v>3.23</v>
      </c>
      <c r="X4" s="9" t="n">
        <v>3.15</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-1.26</v>
      </c>
      <c r="O5" s="10" t="n">
        <v>0.17</v>
      </c>
      <c r="P5" s="10" t="n">
        <v>-0.11</v>
      </c>
      <c r="Q5" s="10" t="n">
        <v>0.47</v>
      </c>
      <c r="R5" s="10">
        <f>(H5-I5)-(F5-G5)</f>
        <v/>
      </c>
      <c r="S5" s="10">
        <f>(H5+I5)-(F5+G5)</f>
        <v/>
      </c>
      <c r="T5" s="10" t="n">
        <v>0.64</v>
      </c>
      <c r="U5" s="10" t="n">
        <v>1.79</v>
      </c>
      <c r="V5" s="10" t="n">
        <v>-1.15</v>
      </c>
      <c r="W5" s="10" t="n">
        <v>3.86</v>
      </c>
      <c r="X5" s="10" t="n">
        <v>4.94</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0.12</v>
      </c>
      <c r="O6" s="9" t="n">
        <v>-0.84</v>
      </c>
      <c r="P6" s="9" t="n">
        <v>-0.06</v>
      </c>
      <c r="Q6" s="9" t="n">
        <v>0.21</v>
      </c>
      <c r="R6" s="9">
        <f>(H6-I6)-(F6-G6)</f>
        <v/>
      </c>
      <c r="S6" s="9">
        <f>(H6+I6)-(F6+G6)</f>
        <v/>
      </c>
      <c r="T6" s="9" t="n">
        <v>1.18</v>
      </c>
      <c r="U6" s="9" t="n">
        <v>0.85</v>
      </c>
      <c r="V6" s="9" t="n">
        <v>0.33</v>
      </c>
      <c r="W6" s="9" t="n">
        <v>5.04</v>
      </c>
      <c r="X6" s="9" t="n">
        <v>5.79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3</v>
      </c>
      <c r="D34" s="15" t="n">
        <v>7</v>
      </c>
      <c r="E34" s="19" t="n">
        <v>-1.18</v>
      </c>
      <c r="F34" s="19" t="n">
        <v>-1.18</v>
      </c>
      <c r="G34" s="19" t="n">
        <v>-0.29</v>
      </c>
      <c r="H34" s="19" t="n">
        <v>-0.29</v>
      </c>
    </row>
    <row r="35">
      <c r="A35" s="15" t="inlineStr">
        <is>
          <t>Away</t>
        </is>
      </c>
      <c r="B35" s="15" t="n">
        <v>3</v>
      </c>
      <c r="C35" s="15" t="n">
        <v>3</v>
      </c>
      <c r="D35" s="15" t="n">
        <v>4</v>
      </c>
      <c r="E35" s="19" t="n">
        <v>0.28</v>
      </c>
      <c r="F35" s="19" t="n">
        <v>0.5600000000000001</v>
      </c>
      <c r="G35" s="19" t="n">
        <v>0.8100000000000001</v>
      </c>
      <c r="H35" s="19" t="n">
        <v>0.44</v>
      </c>
    </row>
    <row r="36">
      <c r="A36" s="20" t="inlineStr">
        <is>
          <t>Total</t>
        </is>
      </c>
      <c r="B36" s="20" t="n">
        <v>5</v>
      </c>
      <c r="C36" s="20" t="n">
        <v>6</v>
      </c>
      <c r="D36" s="20" t="n">
        <v>11</v>
      </c>
      <c r="E36" s="21" t="n">
        <v>-0.3</v>
      </c>
      <c r="F36" s="21" t="n">
        <v>-0.68</v>
      </c>
      <c r="G36" s="21" t="n">
        <v>0.37</v>
      </c>
      <c r="H36" s="21" t="n">
        <v>-0.05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-0.88</v>
      </c>
      <c r="O2" s="9" t="n">
        <v>0.97</v>
      </c>
      <c r="P2" s="9" t="n">
        <v>-0.88</v>
      </c>
      <c r="Q2" s="9" t="n">
        <v>0.97</v>
      </c>
      <c r="R2" s="9">
        <f>(H2-I2)-(F2-G2)</f>
        <v/>
      </c>
      <c r="S2" s="9">
        <f>(H2+I2)-(F2+G2)</f>
        <v/>
      </c>
      <c r="T2" s="9" t="n">
        <v>0.86</v>
      </c>
      <c r="U2" s="9" t="n">
        <v>1.6</v>
      </c>
      <c r="V2" s="9" t="n">
        <v>-0.75</v>
      </c>
      <c r="W2" s="9" t="n">
        <v>0.86</v>
      </c>
      <c r="X2" s="9" t="n">
        <v>1.6</v>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1.27</v>
      </c>
      <c r="O3" s="10" t="n">
        <v>0.8100000000000001</v>
      </c>
      <c r="P3" s="10" t="n">
        <v>0.19</v>
      </c>
      <c r="Q3" s="10" t="n">
        <v>0.89</v>
      </c>
      <c r="R3" s="10">
        <f>(H3-I3)-(F3-G3)</f>
        <v/>
      </c>
      <c r="S3" s="10">
        <f>(H3+I3)-(F3+G3)</f>
        <v/>
      </c>
      <c r="T3" s="10" t="n">
        <v>1.21</v>
      </c>
      <c r="U3" s="10" t="n">
        <v>1.07</v>
      </c>
      <c r="V3" s="10" t="n">
        <v>0.14</v>
      </c>
      <c r="W3" s="10" t="n">
        <v>2.07</v>
      </c>
      <c r="X3" s="10" t="n">
        <v>2.68</v>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-0.52</v>
      </c>
      <c r="O4" s="9" t="n">
        <v>-1.34</v>
      </c>
      <c r="P4" s="9" t="n">
        <v>-0.04</v>
      </c>
      <c r="Q4" s="9" t="n">
        <v>0.15</v>
      </c>
      <c r="R4" s="9">
        <f>(H4-I4)-(F4-G4)</f>
        <v/>
      </c>
      <c r="S4" s="9">
        <f>(H4+I4)-(F4+G4)</f>
        <v/>
      </c>
      <c r="T4" s="9" t="n">
        <v>1.6</v>
      </c>
      <c r="U4" s="9" t="n">
        <v>1.14</v>
      </c>
      <c r="V4" s="9" t="n">
        <v>0.46</v>
      </c>
      <c r="W4" s="9" t="n">
        <v>3.67</v>
      </c>
      <c r="X4" s="9" t="n">
        <v>3.81</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-0.32</v>
      </c>
      <c r="O5" s="10" t="n">
        <v>-0.48</v>
      </c>
      <c r="P5" s="10" t="n">
        <v>-0.11</v>
      </c>
      <c r="Q5" s="10" t="n">
        <v>-0.01</v>
      </c>
      <c r="R5" s="10">
        <f>(H5-I5)-(F5-G5)</f>
        <v/>
      </c>
      <c r="S5" s="10">
        <f>(H5+I5)-(F5+G5)</f>
        <v/>
      </c>
      <c r="T5" s="10" t="n">
        <v>1.68</v>
      </c>
      <c r="U5" s="10" t="n">
        <v>1.05</v>
      </c>
      <c r="V5" s="10" t="n">
        <v>0.63</v>
      </c>
      <c r="W5" s="10" t="n">
        <v>5.35</v>
      </c>
      <c r="X5" s="10" t="n">
        <v>4.87</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0.63</v>
      </c>
      <c r="O6" s="9" t="n">
        <v>-0.08</v>
      </c>
      <c r="P6" s="9" t="n">
        <v>0.04</v>
      </c>
      <c r="Q6" s="9" t="n">
        <v>-0.02</v>
      </c>
      <c r="R6" s="9">
        <f>(H6-I6)-(F6-G6)</f>
        <v/>
      </c>
      <c r="S6" s="9">
        <f>(H6+I6)-(F6+G6)</f>
        <v/>
      </c>
      <c r="T6" s="9" t="n">
        <v>1.87</v>
      </c>
      <c r="U6" s="9" t="n">
        <v>1.88</v>
      </c>
      <c r="V6" s="9" t="n">
        <v>-0.01</v>
      </c>
      <c r="W6" s="9" t="n">
        <v>7.22</v>
      </c>
      <c r="X6" s="9" t="n">
        <v>6.75</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2</v>
      </c>
      <c r="E34" s="19" t="n">
        <v>-0.15</v>
      </c>
      <c r="F34" s="19" t="n">
        <v>0.04</v>
      </c>
      <c r="G34" s="19" t="n">
        <v>0</v>
      </c>
      <c r="H34" s="19" t="n">
        <v>0.44</v>
      </c>
    </row>
    <row r="35">
      <c r="A35" s="15" t="inlineStr">
        <is>
          <t>Away</t>
        </is>
      </c>
      <c r="B35" s="15" t="n">
        <v>2</v>
      </c>
      <c r="C35" s="15" t="n">
        <v>1</v>
      </c>
      <c r="D35" s="15" t="n">
        <v>1</v>
      </c>
      <c r="E35" s="19" t="n">
        <v>0.5</v>
      </c>
      <c r="F35" s="19" t="n">
        <v>0.5</v>
      </c>
      <c r="G35" s="19" t="n">
        <v>0.23</v>
      </c>
      <c r="H35" s="19" t="n">
        <v>0.23</v>
      </c>
    </row>
    <row r="36">
      <c r="A36" s="20" t="inlineStr">
        <is>
          <t>Total</t>
        </is>
      </c>
      <c r="B36" s="20" t="n">
        <v>5</v>
      </c>
      <c r="C36" s="20" t="n">
        <v>6</v>
      </c>
      <c r="D36" s="20" t="n">
        <v>3</v>
      </c>
      <c r="E36" s="21" t="n">
        <v>0.11</v>
      </c>
      <c r="F36" s="21" t="n">
        <v>0.12</v>
      </c>
      <c r="G36" s="21" t="n">
        <v>0.09</v>
      </c>
      <c r="H36" s="21" t="n">
        <v>0.44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-0.43</v>
      </c>
      <c r="O2" s="9" t="n">
        <v>0.98</v>
      </c>
      <c r="P2" s="9" t="n">
        <v>-0.43</v>
      </c>
      <c r="Q2" s="9" t="n">
        <v>0.98</v>
      </c>
      <c r="R2" s="9">
        <f>(H2-I2)-(F2-G2)</f>
        <v/>
      </c>
      <c r="S2" s="9">
        <f>(H2+I2)-(F2+G2)</f>
        <v/>
      </c>
      <c r="T2" s="9" t="n">
        <v>0.86</v>
      </c>
      <c r="U2" s="9" t="n">
        <v>1.03</v>
      </c>
      <c r="V2" s="9" t="n">
        <v>-0.17</v>
      </c>
      <c r="W2" s="9" t="n">
        <v>0.86</v>
      </c>
      <c r="X2" s="9" t="n">
        <v>1.03</v>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-0.31</v>
      </c>
      <c r="O3" s="10" t="n">
        <v>-0.36</v>
      </c>
      <c r="P3" s="10" t="n">
        <v>-0.37</v>
      </c>
      <c r="Q3" s="10" t="n">
        <v>0.31</v>
      </c>
      <c r="R3" s="10">
        <f>(H3-I3)-(F3-G3)</f>
        <v/>
      </c>
      <c r="S3" s="10">
        <f>(H3+I3)-(F3+G3)</f>
        <v/>
      </c>
      <c r="T3" s="10" t="n">
        <v>0.72</v>
      </c>
      <c r="U3" s="10" t="n">
        <v>1.23</v>
      </c>
      <c r="V3" s="10" t="n">
        <v>-0.52</v>
      </c>
      <c r="W3" s="10" t="n">
        <v>1.58</v>
      </c>
      <c r="X3" s="10" t="n">
        <v>2.26</v>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1.69</v>
      </c>
      <c r="O4" s="9" t="n">
        <v>0.93</v>
      </c>
      <c r="P4" s="9" t="n">
        <v>0.32</v>
      </c>
      <c r="Q4" s="9" t="n">
        <v>0.52</v>
      </c>
      <c r="R4" s="9">
        <f>(H4-I4)-(F4-G4)</f>
        <v/>
      </c>
      <c r="S4" s="9">
        <f>(H4+I4)-(F4+G4)</f>
        <v/>
      </c>
      <c r="T4" s="9" t="n">
        <v>2</v>
      </c>
      <c r="U4" s="9" t="n">
        <v>1.55</v>
      </c>
      <c r="V4" s="9" t="n">
        <v>0.45</v>
      </c>
      <c r="W4" s="9" t="n">
        <v>3.58</v>
      </c>
      <c r="X4" s="9" t="n">
        <v>3.81</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-0.43</v>
      </c>
      <c r="O5" s="10" t="n">
        <v>-0.75</v>
      </c>
      <c r="P5" s="10" t="n">
        <v>0.13</v>
      </c>
      <c r="Q5" s="10" t="n">
        <v>0.2</v>
      </c>
      <c r="R5" s="10">
        <f>(H5-I5)-(F5-G5)</f>
        <v/>
      </c>
      <c r="S5" s="10">
        <f>(H5+I5)-(F5+G5)</f>
        <v/>
      </c>
      <c r="T5" s="10" t="n">
        <v>0.9</v>
      </c>
      <c r="U5" s="10" t="n">
        <v>0.63</v>
      </c>
      <c r="V5" s="10" t="n">
        <v>0.28</v>
      </c>
      <c r="W5" s="10" t="n">
        <v>4.48</v>
      </c>
      <c r="X5" s="10" t="n">
        <v>4.44</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0.18</v>
      </c>
      <c r="O6" s="9" t="n">
        <v>-0.39</v>
      </c>
      <c r="P6" s="9" t="n">
        <v>0.14</v>
      </c>
      <c r="Q6" s="9" t="n">
        <v>0.08</v>
      </c>
      <c r="R6" s="9">
        <f>(H6-I6)-(F6-G6)</f>
        <v/>
      </c>
      <c r="S6" s="9">
        <f>(H6+I6)-(F6+G6)</f>
        <v/>
      </c>
      <c r="T6" s="9" t="n">
        <v>1.4</v>
      </c>
      <c r="U6" s="9" t="n">
        <v>1.08</v>
      </c>
      <c r="V6" s="9" t="n">
        <v>0.32</v>
      </c>
      <c r="W6" s="9" t="n">
        <v>5.88</v>
      </c>
      <c r="X6" s="9" t="n">
        <v>5.52</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7</v>
      </c>
      <c r="E34" s="19" t="n">
        <v>0.35</v>
      </c>
      <c r="F34" s="19" t="n">
        <v>0.5</v>
      </c>
      <c r="G34" s="19" t="n">
        <v>1.04</v>
      </c>
      <c r="H34" s="19" t="n">
        <v>0.55</v>
      </c>
    </row>
    <row r="35">
      <c r="A35" s="15" t="inlineStr">
        <is>
          <t>Away</t>
        </is>
      </c>
      <c r="B35" s="15" t="n">
        <v>2</v>
      </c>
      <c r="C35" s="15" t="n">
        <v>0</v>
      </c>
      <c r="D35" s="15" t="n">
        <v>1</v>
      </c>
      <c r="E35" s="19" t="n">
        <v>-0.08</v>
      </c>
      <c r="F35" s="19" t="n">
        <v>-0.08</v>
      </c>
      <c r="G35" s="19" t="n">
        <v>-0.43</v>
      </c>
      <c r="H35" s="19" t="n">
        <v>-0.43</v>
      </c>
    </row>
    <row r="36">
      <c r="A36" s="20" t="inlineStr">
        <is>
          <t>Total</t>
        </is>
      </c>
      <c r="B36" s="20" t="n">
        <v>5</v>
      </c>
      <c r="C36" s="20" t="n">
        <v>5</v>
      </c>
      <c r="D36" s="20" t="n">
        <v>8</v>
      </c>
      <c r="E36" s="21" t="n">
        <v>0.18</v>
      </c>
      <c r="F36" s="21" t="n">
        <v>0.5</v>
      </c>
      <c r="G36" s="21" t="n">
        <v>0.45</v>
      </c>
      <c r="H36" s="21" t="n">
        <v>0.45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0.11</v>
      </c>
      <c r="O2" s="9" t="n">
        <v>-0.64</v>
      </c>
      <c r="P2" s="9" t="n">
        <v>0.11</v>
      </c>
      <c r="Q2" s="9" t="n">
        <v>-0.64</v>
      </c>
      <c r="R2" s="9">
        <f>(H2-I2)-(F2-G2)</f>
        <v/>
      </c>
      <c r="S2" s="9">
        <f>(H2+I2)-(F2+G2)</f>
        <v/>
      </c>
      <c r="T2" s="9" t="n">
        <v>0.85</v>
      </c>
      <c r="U2" s="9" t="n">
        <v>0.52</v>
      </c>
      <c r="V2" s="9" t="n">
        <v>0.32</v>
      </c>
      <c r="W2" s="9" t="n">
        <v>0.85</v>
      </c>
      <c r="X2" s="9" t="n">
        <v>0.52</v>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-0.04</v>
      </c>
      <c r="O3" s="10" t="n">
        <v>-0.4</v>
      </c>
      <c r="P3" s="10" t="n">
        <v>0.04</v>
      </c>
      <c r="Q3" s="10" t="n">
        <v>-0.52</v>
      </c>
      <c r="R3" s="10">
        <f>(H3-I3)-(F3-G3)</f>
        <v/>
      </c>
      <c r="S3" s="10">
        <f>(H3+I3)-(F3+G3)</f>
        <v/>
      </c>
      <c r="T3" s="10" t="n">
        <v>0.92</v>
      </c>
      <c r="U3" s="10" t="n">
        <v>0.97</v>
      </c>
      <c r="V3" s="10" t="n">
        <v>-0.05</v>
      </c>
      <c r="W3" s="10" t="n">
        <v>1.76</v>
      </c>
      <c r="X3" s="10" t="n">
        <v>1.49</v>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-1.04</v>
      </c>
      <c r="O4" s="9" t="n">
        <v>0.79</v>
      </c>
      <c r="P4" s="9" t="n">
        <v>-0.32</v>
      </c>
      <c r="Q4" s="9" t="n">
        <v>-0.09</v>
      </c>
      <c r="R4" s="9">
        <f>(H4-I4)-(F4-G4)</f>
        <v/>
      </c>
      <c r="S4" s="9">
        <f>(H4+I4)-(F4+G4)</f>
        <v/>
      </c>
      <c r="T4" s="9" t="n">
        <v>0.5</v>
      </c>
      <c r="U4" s="9" t="n">
        <v>0.95</v>
      </c>
      <c r="V4" s="9" t="n">
        <v>-0.45</v>
      </c>
      <c r="W4" s="9" t="n">
        <v>2.26</v>
      </c>
      <c r="X4" s="9" t="n">
        <v>2.44</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0.21</v>
      </c>
      <c r="O5" s="10" t="n">
        <v>-1.81</v>
      </c>
      <c r="P5" s="10" t="n">
        <v>-0.19</v>
      </c>
      <c r="Q5" s="10" t="n">
        <v>-0.52</v>
      </c>
      <c r="R5" s="10">
        <f>(H5-I5)-(F5-G5)</f>
        <v/>
      </c>
      <c r="S5" s="10">
        <f>(H5+I5)-(F5+G5)</f>
        <v/>
      </c>
      <c r="T5" s="10" t="n">
        <v>1.71</v>
      </c>
      <c r="U5" s="10" t="n">
        <v>0.39</v>
      </c>
      <c r="V5" s="10" t="n">
        <v>1.32</v>
      </c>
      <c r="W5" s="10" t="n">
        <v>3.97</v>
      </c>
      <c r="X5" s="10" t="n">
        <v>2.83</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0.27</v>
      </c>
      <c r="O6" s="9" t="n">
        <v>-0.11</v>
      </c>
      <c r="P6" s="9" t="n">
        <v>-0.1</v>
      </c>
      <c r="Q6" s="9" t="n">
        <v>-0.44</v>
      </c>
      <c r="R6" s="9">
        <f>(H6-I6)-(F6-G6)</f>
        <v/>
      </c>
      <c r="S6" s="9">
        <f>(H6+I6)-(F6+G6)</f>
        <v/>
      </c>
      <c r="T6" s="9" t="n">
        <v>1.48</v>
      </c>
      <c r="U6" s="9" t="n">
        <v>0.78</v>
      </c>
      <c r="V6" s="9" t="n">
        <v>0.7</v>
      </c>
      <c r="W6" s="9" t="n">
        <v>5.45</v>
      </c>
      <c r="X6" s="9" t="n">
        <v>3.61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0</v>
      </c>
      <c r="E34" s="19" t="n">
        <v>-0.04</v>
      </c>
      <c r="F34" s="19" t="n">
        <v>-0.04</v>
      </c>
      <c r="G34" s="19" t="n">
        <v>-0.18</v>
      </c>
      <c r="H34" s="19" t="n">
        <v>-0.18</v>
      </c>
    </row>
    <row r="35">
      <c r="A35" s="15" t="inlineStr">
        <is>
          <t>Away</t>
        </is>
      </c>
      <c r="B35" s="15" t="n">
        <v>3</v>
      </c>
      <c r="C35" s="15" t="n">
        <v>4</v>
      </c>
      <c r="D35" s="15" t="n">
        <v>4</v>
      </c>
      <c r="E35" s="19" t="n">
        <v>1.18</v>
      </c>
      <c r="F35" s="19" t="n">
        <v>1.12</v>
      </c>
      <c r="G35" s="19" t="n">
        <v>-0.63</v>
      </c>
      <c r="H35" s="19" t="n">
        <v>-0.6899999999999999</v>
      </c>
    </row>
    <row r="36">
      <c r="A36" s="20" t="inlineStr">
        <is>
          <t>Total</t>
        </is>
      </c>
      <c r="B36" s="20" t="n">
        <v>5</v>
      </c>
      <c r="C36" s="20" t="n">
        <v>6</v>
      </c>
      <c r="D36" s="20" t="n">
        <v>4</v>
      </c>
      <c r="E36" s="21" t="n">
        <v>0.6899999999999999</v>
      </c>
      <c r="F36" s="21" t="n">
        <v>0.64</v>
      </c>
      <c r="G36" s="21" t="n">
        <v>-0.45</v>
      </c>
      <c r="H36" s="21" t="n">
        <v>-0.22</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0.59</v>
      </c>
      <c r="O2" s="9" t="n">
        <v>-2.01</v>
      </c>
      <c r="P2" s="9" t="n">
        <v>0.59</v>
      </c>
      <c r="Q2" s="9" t="n">
        <v>-2.01</v>
      </c>
      <c r="R2" s="9">
        <f>(H2-I2)-(F2-G2)</f>
        <v/>
      </c>
      <c r="S2" s="9">
        <f>(H2+I2)-(F2+G2)</f>
        <v/>
      </c>
      <c r="T2" s="9" t="n">
        <v>2.17</v>
      </c>
      <c r="U2" s="9" t="n">
        <v>1.35</v>
      </c>
      <c r="V2" s="9" t="n">
        <v>0.8100000000000001</v>
      </c>
      <c r="W2" s="9" t="n">
        <v>2.17</v>
      </c>
      <c r="X2" s="9" t="n">
        <v>1.35</v>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1.29</v>
      </c>
      <c r="O3" s="10" t="n">
        <v>3.04</v>
      </c>
      <c r="P3" s="10" t="n">
        <v>0.9399999999999999</v>
      </c>
      <c r="Q3" s="10" t="n">
        <v>0.52</v>
      </c>
      <c r="R3" s="10">
        <f>(H3-I3)-(F3-G3)</f>
        <v/>
      </c>
      <c r="S3" s="10">
        <f>(H3+I3)-(F3+G3)</f>
        <v/>
      </c>
      <c r="T3" s="10" t="n">
        <v>0.4</v>
      </c>
      <c r="U3" s="10" t="n">
        <v>0.59</v>
      </c>
      <c r="V3" s="10" t="n">
        <v>-0.19</v>
      </c>
      <c r="W3" s="10" t="n">
        <v>2.57</v>
      </c>
      <c r="X3" s="10" t="n">
        <v>1.94</v>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-0.63</v>
      </c>
      <c r="O4" s="9" t="n">
        <v>-1.55</v>
      </c>
      <c r="P4" s="9" t="n">
        <v>0.42</v>
      </c>
      <c r="Q4" s="9" t="n">
        <v>-0.17</v>
      </c>
      <c r="R4" s="9">
        <f>(H4-I4)-(F4-G4)</f>
        <v/>
      </c>
      <c r="S4" s="9">
        <f>(H4+I4)-(F4+G4)</f>
        <v/>
      </c>
      <c r="T4" s="9" t="n">
        <v>1.36</v>
      </c>
      <c r="U4" s="9" t="n">
        <v>0.73</v>
      </c>
      <c r="V4" s="9" t="n">
        <v>0.63</v>
      </c>
      <c r="W4" s="9" t="n">
        <v>3.93</v>
      </c>
      <c r="X4" s="9" t="n">
        <v>2.68</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0.3</v>
      </c>
      <c r="O5" s="10" t="n">
        <v>-1.41</v>
      </c>
      <c r="P5" s="10" t="n">
        <v>0.39</v>
      </c>
      <c r="Q5" s="10" t="n">
        <v>-0.48</v>
      </c>
      <c r="R5" s="10">
        <f>(H5-I5)-(F5-G5)</f>
        <v/>
      </c>
      <c r="S5" s="10">
        <f>(H5+I5)-(F5+G5)</f>
        <v/>
      </c>
      <c r="T5" s="10" t="n">
        <v>2.13</v>
      </c>
      <c r="U5" s="10" t="n">
        <v>0.97</v>
      </c>
      <c r="V5" s="10" t="n">
        <v>1.16</v>
      </c>
      <c r="W5" s="10" t="n">
        <v>6.06</v>
      </c>
      <c r="X5" s="10" t="n">
        <v>3.65</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0.48</v>
      </c>
      <c r="O6" s="9" t="n">
        <v>0.39</v>
      </c>
      <c r="P6" s="9" t="n">
        <v>0.41</v>
      </c>
      <c r="Q6" s="9" t="n">
        <v>-0.31</v>
      </c>
      <c r="R6" s="9">
        <f>(H6-I6)-(F6-G6)</f>
        <v/>
      </c>
      <c r="S6" s="9">
        <f>(H6+I6)-(F6+G6)</f>
        <v/>
      </c>
      <c r="T6" s="9" t="n">
        <v>0.93</v>
      </c>
      <c r="U6" s="9" t="n">
        <v>0.89</v>
      </c>
      <c r="V6" s="9" t="n">
        <v>0.04</v>
      </c>
      <c r="W6" s="9" t="n">
        <v>6.99</v>
      </c>
      <c r="X6" s="9" t="n">
        <v>4.54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3</v>
      </c>
      <c r="E34" s="19" t="n">
        <v>1.19</v>
      </c>
      <c r="F34" s="19" t="n">
        <v>1.19</v>
      </c>
      <c r="G34" s="19" t="n">
        <v>-1.13</v>
      </c>
      <c r="H34" s="19" t="n">
        <v>-1.13</v>
      </c>
    </row>
    <row r="35">
      <c r="A35" s="15" t="inlineStr">
        <is>
          <t>Away</t>
        </is>
      </c>
      <c r="B35" s="15" t="n">
        <v>3</v>
      </c>
      <c r="C35" s="15" t="n">
        <v>5</v>
      </c>
      <c r="D35" s="15" t="n">
        <v>8</v>
      </c>
      <c r="E35" s="19" t="n">
        <v>0.09</v>
      </c>
      <c r="F35" s="19" t="n">
        <v>-0.04</v>
      </c>
      <c r="G35" s="19" t="n">
        <v>1.34</v>
      </c>
      <c r="H35" s="19" t="n">
        <v>0.79</v>
      </c>
    </row>
    <row r="36">
      <c r="A36" s="20" t="inlineStr">
        <is>
          <t>Total</t>
        </is>
      </c>
      <c r="B36" s="20" t="n">
        <v>5</v>
      </c>
      <c r="C36" s="20" t="n">
        <v>7</v>
      </c>
      <c r="D36" s="20" t="n">
        <v>11</v>
      </c>
      <c r="E36" s="21" t="n">
        <v>0.53</v>
      </c>
      <c r="F36" s="21" t="n">
        <v>1.16</v>
      </c>
      <c r="G36" s="21" t="n">
        <v>0.35</v>
      </c>
      <c r="H36" s="21" t="n">
        <v>-0.15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-0.38</v>
      </c>
      <c r="O2" s="9" t="n">
        <v>-1.07</v>
      </c>
      <c r="P2" s="9" t="n">
        <v>-0.38</v>
      </c>
      <c r="Q2" s="9" t="n">
        <v>-1.07</v>
      </c>
      <c r="R2" s="9">
        <f>(H2-I2)-(F2-G2)</f>
        <v/>
      </c>
      <c r="S2" s="9">
        <f>(H2+I2)-(F2+G2)</f>
        <v/>
      </c>
      <c r="T2" s="9" t="n">
        <v>1.1</v>
      </c>
      <c r="U2" s="9" t="n">
        <v>1.21</v>
      </c>
      <c r="V2" s="9" t="n">
        <v>-0.11</v>
      </c>
      <c r="W2" s="9" t="n">
        <v>1.1</v>
      </c>
      <c r="X2" s="9" t="n">
        <v>1.21</v>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0.26</v>
      </c>
      <c r="O3" s="10" t="n">
        <v>-0.1</v>
      </c>
      <c r="P3" s="10" t="n">
        <v>-0.06</v>
      </c>
      <c r="Q3" s="10" t="n">
        <v>-0.58</v>
      </c>
      <c r="R3" s="10">
        <f>(H3-I3)-(F3-G3)</f>
        <v/>
      </c>
      <c r="S3" s="10">
        <f>(H3+I3)-(F3+G3)</f>
        <v/>
      </c>
      <c r="T3" s="10" t="n">
        <v>1.25</v>
      </c>
      <c r="U3" s="10" t="n">
        <v>1.39</v>
      </c>
      <c r="V3" s="10" t="n">
        <v>-0.14</v>
      </c>
      <c r="W3" s="10" t="n">
        <v>2.35</v>
      </c>
      <c r="X3" s="10" t="n">
        <v>2.6</v>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1.41</v>
      </c>
      <c r="O4" s="9" t="n">
        <v>-0.37</v>
      </c>
      <c r="P4" s="9" t="n">
        <v>0.43</v>
      </c>
      <c r="Q4" s="9" t="n">
        <v>-0.51</v>
      </c>
      <c r="R4" s="9">
        <f>(H4-I4)-(F4-G4)</f>
        <v/>
      </c>
      <c r="S4" s="9">
        <f>(H4+I4)-(F4+G4)</f>
        <v/>
      </c>
      <c r="T4" s="9" t="n">
        <v>1.57</v>
      </c>
      <c r="U4" s="9" t="n">
        <v>1.01</v>
      </c>
      <c r="V4" s="9" t="n">
        <v>0.5600000000000001</v>
      </c>
      <c r="W4" s="9" t="n">
        <v>3.91</v>
      </c>
      <c r="X4" s="9" t="n">
        <v>3.61</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0.23</v>
      </c>
      <c r="O5" s="10" t="n">
        <v>0.05</v>
      </c>
      <c r="P5" s="10" t="n">
        <v>0.38</v>
      </c>
      <c r="Q5" s="10" t="n">
        <v>-0.37</v>
      </c>
      <c r="R5" s="10">
        <f>(H5-I5)-(F5-G5)</f>
        <v/>
      </c>
      <c r="S5" s="10">
        <f>(H5+I5)-(F5+G5)</f>
        <v/>
      </c>
      <c r="T5" s="10" t="n">
        <v>2.11</v>
      </c>
      <c r="U5" s="10" t="n">
        <v>1.48</v>
      </c>
      <c r="V5" s="10" t="n">
        <v>0.63</v>
      </c>
      <c r="W5" s="10" t="n">
        <v>6.02</v>
      </c>
      <c r="X5" s="10" t="n">
        <v>5.09</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-1.07</v>
      </c>
      <c r="O6" s="9" t="n">
        <v>0.01</v>
      </c>
      <c r="P6" s="9" t="n">
        <v>0.09</v>
      </c>
      <c r="Q6" s="9" t="n">
        <v>-0.3</v>
      </c>
      <c r="R6" s="9">
        <f>(H6-I6)-(F6-G6)</f>
        <v/>
      </c>
      <c r="S6" s="9">
        <f>(H6+I6)-(F6+G6)</f>
        <v/>
      </c>
      <c r="T6" s="9" t="n">
        <v>1.54</v>
      </c>
      <c r="U6" s="9" t="n">
        <v>1.92</v>
      </c>
      <c r="V6" s="9" t="n">
        <v>-0.37</v>
      </c>
      <c r="W6" s="9" t="n">
        <v>7.56</v>
      </c>
      <c r="X6" s="9" t="n">
        <v>7.01</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5</v>
      </c>
      <c r="D34" s="15" t="n">
        <v>2</v>
      </c>
      <c r="E34" s="19" t="n">
        <v>0.05</v>
      </c>
      <c r="F34" s="19" t="n">
        <v>-0.24</v>
      </c>
      <c r="G34" s="19" t="n">
        <v>0.01</v>
      </c>
      <c r="H34" s="19" t="n">
        <v>0.05</v>
      </c>
    </row>
    <row r="35">
      <c r="A35" s="15" t="inlineStr">
        <is>
          <t>Away</t>
        </is>
      </c>
      <c r="B35" s="15" t="n">
        <v>2</v>
      </c>
      <c r="C35" s="15" t="n">
        <v>2</v>
      </c>
      <c r="D35" s="15" t="n">
        <v>1</v>
      </c>
      <c r="E35" s="19" t="n">
        <v>0.43</v>
      </c>
      <c r="F35" s="19" t="n">
        <v>0.43</v>
      </c>
      <c r="G35" s="19" t="n">
        <v>0.23</v>
      </c>
      <c r="H35" s="19" t="n">
        <v>0.23</v>
      </c>
    </row>
    <row r="36">
      <c r="A36" s="20" t="inlineStr">
        <is>
          <t>Total</t>
        </is>
      </c>
      <c r="B36" s="20" t="n">
        <v>5</v>
      </c>
      <c r="C36" s="20" t="n">
        <v>7</v>
      </c>
      <c r="D36" s="20" t="n">
        <v>3</v>
      </c>
      <c r="E36" s="21" t="n">
        <v>0.21</v>
      </c>
      <c r="F36" s="21" t="n">
        <v>0.04</v>
      </c>
      <c r="G36" s="21" t="n">
        <v>0.1</v>
      </c>
      <c r="H36" s="21" t="n">
        <v>0.05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0.92</v>
      </c>
      <c r="O2" s="9" t="n">
        <v>0.97</v>
      </c>
      <c r="P2" s="9" t="n">
        <v>0.92</v>
      </c>
      <c r="Q2" s="9" t="n">
        <v>0.97</v>
      </c>
      <c r="R2" s="9">
        <f>(H2-I2)-(F2-G2)</f>
        <v/>
      </c>
      <c r="S2" s="9">
        <f>(H2+I2)-(F2+G2)</f>
        <v/>
      </c>
      <c r="T2" s="9" t="n">
        <v>2.14</v>
      </c>
      <c r="U2" s="9" t="n">
        <v>1.78</v>
      </c>
      <c r="V2" s="9" t="n">
        <v>0.36</v>
      </c>
      <c r="W2" s="9" t="n">
        <v>2.14</v>
      </c>
      <c r="X2" s="9" t="n">
        <v>1.78</v>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0.12</v>
      </c>
      <c r="O3" s="10" t="n">
        <v>1.59</v>
      </c>
      <c r="P3" s="10" t="n">
        <v>0.52</v>
      </c>
      <c r="Q3" s="10" t="n">
        <v>1.28</v>
      </c>
      <c r="R3" s="10">
        <f>(H3-I3)-(F3-G3)</f>
        <v/>
      </c>
      <c r="S3" s="10">
        <f>(H3+I3)-(F3+G3)</f>
        <v/>
      </c>
      <c r="T3" s="10" t="n">
        <v>1.09</v>
      </c>
      <c r="U3" s="10" t="n">
        <v>2.1</v>
      </c>
      <c r="V3" s="10" t="n">
        <v>-1.02</v>
      </c>
      <c r="W3" s="10" t="n">
        <v>3.23</v>
      </c>
      <c r="X3" s="10" t="n">
        <v>3.89</v>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-1.97</v>
      </c>
      <c r="O4" s="9" t="n">
        <v>-1.11</v>
      </c>
      <c r="P4" s="9" t="n">
        <v>-0.31</v>
      </c>
      <c r="Q4" s="9" t="n">
        <v>0.48</v>
      </c>
      <c r="R4" s="9">
        <f>(H4-I4)-(F4-G4)</f>
        <v/>
      </c>
      <c r="S4" s="9">
        <f>(H4+I4)-(F4+G4)</f>
        <v/>
      </c>
      <c r="T4" s="9" t="n">
        <v>1.26</v>
      </c>
      <c r="U4" s="9" t="n">
        <v>2.08</v>
      </c>
      <c r="V4" s="9" t="n">
        <v>-0.82</v>
      </c>
      <c r="W4" s="9" t="n">
        <v>4.49</v>
      </c>
      <c r="X4" s="9" t="n">
        <v>5.97</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-1.44</v>
      </c>
      <c r="O5" s="10" t="n">
        <v>-0.75</v>
      </c>
      <c r="P5" s="10" t="n">
        <v>-0.59</v>
      </c>
      <c r="Q5" s="10" t="n">
        <v>0.18</v>
      </c>
      <c r="R5" s="10">
        <f>(H5-I5)-(F5-G5)</f>
        <v/>
      </c>
      <c r="S5" s="10">
        <f>(H5+I5)-(F5+G5)</f>
        <v/>
      </c>
      <c r="T5" s="10" t="n">
        <v>1.8</v>
      </c>
      <c r="U5" s="10" t="n">
        <v>2.19</v>
      </c>
      <c r="V5" s="10" t="n">
        <v>-0.38</v>
      </c>
      <c r="W5" s="10" t="n">
        <v>6.29</v>
      </c>
      <c r="X5" s="10" t="n">
        <v>8.15</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0.19</v>
      </c>
      <c r="O6" s="9" t="n">
        <v>-0.74</v>
      </c>
      <c r="P6" s="9" t="n">
        <v>-0.43</v>
      </c>
      <c r="Q6" s="9" t="n">
        <v>-0.01</v>
      </c>
      <c r="R6" s="9">
        <f>(H6-I6)-(F6-G6)</f>
        <v/>
      </c>
      <c r="S6" s="9">
        <f>(H6+I6)-(F6+G6)</f>
        <v/>
      </c>
      <c r="T6" s="9" t="n">
        <v>1.98</v>
      </c>
      <c r="U6" s="9" t="n">
        <v>1.62</v>
      </c>
      <c r="V6" s="9" t="n">
        <v>0.36</v>
      </c>
      <c r="W6" s="9" t="n">
        <v>8.27</v>
      </c>
      <c r="X6" s="9" t="n">
        <v>9.77</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2</v>
      </c>
      <c r="D34" s="15" t="n">
        <v>2</v>
      </c>
      <c r="E34" s="19" t="n">
        <v>-1.21</v>
      </c>
      <c r="F34" s="19" t="n">
        <v>-1.21</v>
      </c>
      <c r="G34" s="19" t="n">
        <v>-0.14</v>
      </c>
      <c r="H34" s="19" t="n">
        <v>-0.14</v>
      </c>
    </row>
    <row r="35">
      <c r="A35" s="15" t="inlineStr">
        <is>
          <t>Away</t>
        </is>
      </c>
      <c r="B35" s="15" t="n">
        <v>3</v>
      </c>
      <c r="C35" s="15" t="n">
        <v>5</v>
      </c>
      <c r="D35" s="15" t="n">
        <v>2</v>
      </c>
      <c r="E35" s="19" t="n">
        <v>0.02</v>
      </c>
      <c r="F35" s="19" t="n">
        <v>0.49</v>
      </c>
      <c r="G35" s="19" t="n">
        <v>-0.51</v>
      </c>
      <c r="H35" s="19" t="n">
        <v>-0.78</v>
      </c>
    </row>
    <row r="36">
      <c r="A36" s="20" t="inlineStr">
        <is>
          <t>Total</t>
        </is>
      </c>
      <c r="B36" s="20" t="n">
        <v>5</v>
      </c>
      <c r="C36" s="20" t="n">
        <v>7</v>
      </c>
      <c r="D36" s="20" t="n">
        <v>4</v>
      </c>
      <c r="E36" s="21" t="n">
        <v>-0.47</v>
      </c>
      <c r="F36" s="21" t="n">
        <v>-0.73</v>
      </c>
      <c r="G36" s="21" t="n">
        <v>-0.36</v>
      </c>
      <c r="H36" s="21" t="n">
        <v>-0.78</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0.28</v>
      </c>
      <c r="O2" s="9" t="n">
        <v>-0.49</v>
      </c>
      <c r="P2" s="9" t="n">
        <v>0.28</v>
      </c>
      <c r="Q2" s="9" t="n">
        <v>-0.49</v>
      </c>
      <c r="R2" s="9">
        <f>(H2-I2)-(F2-G2)</f>
        <v/>
      </c>
      <c r="S2" s="9">
        <f>(H2+I2)-(F2+G2)</f>
        <v/>
      </c>
      <c r="T2" s="9" t="n">
        <v>2.38</v>
      </c>
      <c r="U2" s="9" t="n">
        <v>2.13</v>
      </c>
      <c r="V2" s="9" t="n">
        <v>0.25</v>
      </c>
      <c r="W2" s="9" t="n">
        <v>2.38</v>
      </c>
      <c r="X2" s="9" t="n">
        <v>2.13</v>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-0.03</v>
      </c>
      <c r="O3" s="10" t="n">
        <v>-0.49</v>
      </c>
      <c r="P3" s="10" t="n">
        <v>0.13</v>
      </c>
      <c r="Q3" s="10" t="n">
        <v>-0.49</v>
      </c>
      <c r="R3" s="10">
        <f>(H3-I3)-(F3-G3)</f>
        <v/>
      </c>
      <c r="S3" s="10">
        <f>(H3+I3)-(F3+G3)</f>
        <v/>
      </c>
      <c r="T3" s="10" t="n">
        <v>2.36</v>
      </c>
      <c r="U3" s="10" t="n">
        <v>1.96</v>
      </c>
      <c r="V3" s="10" t="n">
        <v>0.41</v>
      </c>
      <c r="W3" s="10" t="n">
        <v>4.75</v>
      </c>
      <c r="X3" s="10" t="n">
        <v>4.09</v>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-0.59</v>
      </c>
      <c r="O4" s="9" t="n">
        <v>0.8100000000000001</v>
      </c>
      <c r="P4" s="9" t="n">
        <v>-0.11</v>
      </c>
      <c r="Q4" s="9" t="n">
        <v>-0.06</v>
      </c>
      <c r="R4" s="9">
        <f>(H4-I4)-(F4-G4)</f>
        <v/>
      </c>
      <c r="S4" s="9">
        <f>(H4+I4)-(F4+G4)</f>
        <v/>
      </c>
      <c r="T4" s="9" t="n">
        <v>1.85</v>
      </c>
      <c r="U4" s="9" t="n">
        <v>2.55</v>
      </c>
      <c r="V4" s="9" t="n">
        <v>-0.7</v>
      </c>
      <c r="W4" s="9" t="n">
        <v>6.59</v>
      </c>
      <c r="X4" s="9" t="n">
        <v>6.63</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-1.06</v>
      </c>
      <c r="O5" s="10" t="n">
        <v>-0.67</v>
      </c>
      <c r="P5" s="10" t="n">
        <v>-0.35</v>
      </c>
      <c r="Q5" s="10" t="n">
        <v>-0.21</v>
      </c>
      <c r="R5" s="10">
        <f>(H5-I5)-(F5-G5)</f>
        <v/>
      </c>
      <c r="S5" s="10">
        <f>(H5+I5)-(F5+G5)</f>
        <v/>
      </c>
      <c r="T5" s="10" t="n">
        <v>1.43</v>
      </c>
      <c r="U5" s="10" t="n">
        <v>1.63</v>
      </c>
      <c r="V5" s="10" t="n">
        <v>-0.2</v>
      </c>
      <c r="W5" s="10" t="n">
        <v>8.02</v>
      </c>
      <c r="X5" s="10" t="n">
        <v>8.26</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0.54</v>
      </c>
      <c r="O6" s="9" t="n">
        <v>2.33</v>
      </c>
      <c r="P6" s="9" t="n">
        <v>-0.17</v>
      </c>
      <c r="Q6" s="9" t="n">
        <v>0.3</v>
      </c>
      <c r="R6" s="9">
        <f>(H6-I6)-(F6-G6)</f>
        <v/>
      </c>
      <c r="S6" s="9">
        <f>(H6+I6)-(F6+G6)</f>
        <v/>
      </c>
      <c r="T6" s="9" t="n">
        <v>1.08</v>
      </c>
      <c r="U6" s="9" t="n">
        <v>2.36</v>
      </c>
      <c r="V6" s="9" t="n">
        <v>-1.28</v>
      </c>
      <c r="W6" s="9" t="n">
        <v>9.1</v>
      </c>
      <c r="X6" s="9" t="n">
        <v>10.62</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8</v>
      </c>
      <c r="D34" s="15" t="n">
        <v>4</v>
      </c>
      <c r="E34" s="19" t="n">
        <v>-1.12</v>
      </c>
      <c r="F34" s="19" t="n">
        <v>-1.39</v>
      </c>
      <c r="G34" s="19" t="n">
        <v>0.87</v>
      </c>
      <c r="H34" s="19" t="n">
        <v>-0.16</v>
      </c>
    </row>
    <row r="35">
      <c r="A35" s="15" t="inlineStr">
        <is>
          <t>Away</t>
        </is>
      </c>
      <c r="B35" s="15" t="n">
        <v>2</v>
      </c>
      <c r="C35" s="15" t="n">
        <v>5</v>
      </c>
      <c r="D35" s="15" t="n">
        <v>1</v>
      </c>
      <c r="E35" s="19" t="n">
        <v>0.2</v>
      </c>
      <c r="F35" s="19" t="n">
        <v>0.2</v>
      </c>
      <c r="G35" s="19" t="n">
        <v>-0.59</v>
      </c>
      <c r="H35" s="19" t="n">
        <v>-0.59</v>
      </c>
    </row>
    <row r="36">
      <c r="A36" s="20" t="inlineStr">
        <is>
          <t>Total</t>
        </is>
      </c>
      <c r="B36" s="20" t="n">
        <v>5</v>
      </c>
      <c r="C36" s="20" t="n">
        <v>13</v>
      </c>
      <c r="D36" s="20" t="n">
        <v>5</v>
      </c>
      <c r="E36" s="21" t="n">
        <v>-0.59</v>
      </c>
      <c r="F36" s="21" t="n">
        <v>-0.28</v>
      </c>
      <c r="G36" s="21" t="n">
        <v>0.29</v>
      </c>
      <c r="H36" s="21" t="n">
        <v>-0.16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0.22</v>
      </c>
      <c r="O2" s="9" t="n">
        <v>0.16</v>
      </c>
      <c r="P2" s="9" t="n">
        <v>0.22</v>
      </c>
      <c r="Q2" s="9" t="n">
        <v>0.16</v>
      </c>
      <c r="R2" s="9">
        <f>(H2-I2)-(F2-G2)</f>
        <v/>
      </c>
      <c r="S2" s="9">
        <f>(H2+I2)-(F2+G2)</f>
        <v/>
      </c>
      <c r="T2" s="9" t="n">
        <v>1.93</v>
      </c>
      <c r="U2" s="9" t="n">
        <v>2.3</v>
      </c>
      <c r="V2" s="9" t="n">
        <v>-0.37</v>
      </c>
      <c r="W2" s="9" t="n">
        <v>1.93</v>
      </c>
      <c r="X2" s="9" t="n">
        <v>2.3</v>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3.3</v>
      </c>
      <c r="O3" s="10" t="n">
        <v>0.93</v>
      </c>
      <c r="P3" s="10" t="n">
        <v>1.76</v>
      </c>
      <c r="Q3" s="10" t="n">
        <v>0.55</v>
      </c>
      <c r="R3" s="10">
        <f>(H3-I3)-(F3-G3)</f>
        <v/>
      </c>
      <c r="S3" s="10">
        <f>(H3+I3)-(F3+G3)</f>
        <v/>
      </c>
      <c r="T3" s="10" t="n">
        <v>2.47</v>
      </c>
      <c r="U3" s="10" t="n">
        <v>2.22</v>
      </c>
      <c r="V3" s="10" t="n">
        <v>0.25</v>
      </c>
      <c r="W3" s="10" t="n">
        <v>4.4</v>
      </c>
      <c r="X3" s="10" t="n">
        <v>4.52</v>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-1.18</v>
      </c>
      <c r="O4" s="9" t="n">
        <v>-0.46</v>
      </c>
      <c r="P4" s="9" t="n">
        <v>0.78</v>
      </c>
      <c r="Q4" s="9" t="n">
        <v>0.21</v>
      </c>
      <c r="R4" s="9">
        <f>(H4-I4)-(F4-G4)</f>
        <v/>
      </c>
      <c r="S4" s="9">
        <f>(H4+I4)-(F4+G4)</f>
        <v/>
      </c>
      <c r="T4" s="9" t="n">
        <v>1.07</v>
      </c>
      <c r="U4" s="9" t="n">
        <v>1.62</v>
      </c>
      <c r="V4" s="9" t="n">
        <v>-0.5600000000000001</v>
      </c>
      <c r="W4" s="9" t="n">
        <v>5.47</v>
      </c>
      <c r="X4" s="9" t="n">
        <v>6.14</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-1.08</v>
      </c>
      <c r="O5" s="10" t="n">
        <v>-0.68</v>
      </c>
      <c r="P5" s="10" t="n">
        <v>0.32</v>
      </c>
      <c r="Q5" s="10" t="n">
        <v>-0.01</v>
      </c>
      <c r="R5" s="10">
        <f>(H5-I5)-(F5-G5)</f>
        <v/>
      </c>
      <c r="S5" s="10">
        <f>(H5+I5)-(F5+G5)</f>
        <v/>
      </c>
      <c r="T5" s="10" t="n">
        <v>1.27</v>
      </c>
      <c r="U5" s="10" t="n">
        <v>1.14</v>
      </c>
      <c r="V5" s="10" t="n">
        <v>0.13</v>
      </c>
      <c r="W5" s="10" t="n">
        <v>6.74</v>
      </c>
      <c r="X5" s="10" t="n">
        <v>7.29</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-0.42</v>
      </c>
      <c r="O6" s="9" t="n">
        <v>-0.02</v>
      </c>
      <c r="P6" s="9" t="n">
        <v>0.17</v>
      </c>
      <c r="Q6" s="9" t="n">
        <v>-0.01</v>
      </c>
      <c r="R6" s="9">
        <f>(H6-I6)-(F6-G6)</f>
        <v/>
      </c>
      <c r="S6" s="9">
        <f>(H6+I6)-(F6+G6)</f>
        <v/>
      </c>
      <c r="T6" s="9" t="n">
        <v>1.37</v>
      </c>
      <c r="U6" s="9" t="n">
        <v>1.69</v>
      </c>
      <c r="V6" s="9" t="n">
        <v>-0.32</v>
      </c>
      <c r="W6" s="9" t="n">
        <v>8.109999999999999</v>
      </c>
      <c r="X6" s="9" t="n">
        <v>8.98</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5</v>
      </c>
      <c r="D34" s="15" t="n">
        <v>3</v>
      </c>
      <c r="E34" s="19" t="n">
        <v>0.83</v>
      </c>
      <c r="F34" s="19" t="n">
        <v>0.83</v>
      </c>
      <c r="G34" s="19" t="n">
        <v>1.31</v>
      </c>
      <c r="H34" s="19" t="n">
        <v>1.31</v>
      </c>
    </row>
    <row r="35">
      <c r="A35" s="15" t="inlineStr">
        <is>
          <t>Away</t>
        </is>
      </c>
      <c r="B35" s="15" t="n">
        <v>3</v>
      </c>
      <c r="C35" s="15" t="n">
        <v>3</v>
      </c>
      <c r="D35" s="15" t="n">
        <v>5</v>
      </c>
      <c r="E35" s="19" t="n">
        <v>-0.61</v>
      </c>
      <c r="F35" s="19" t="n">
        <v>-0.64</v>
      </c>
      <c r="G35" s="19" t="n">
        <v>-0.42</v>
      </c>
      <c r="H35" s="19" t="n">
        <v>-0.15</v>
      </c>
    </row>
    <row r="36">
      <c r="A36" s="20" t="inlineStr">
        <is>
          <t>Total</t>
        </is>
      </c>
      <c r="B36" s="20" t="n">
        <v>5</v>
      </c>
      <c r="C36" s="20" t="n">
        <v>8</v>
      </c>
      <c r="D36" s="20" t="n">
        <v>8</v>
      </c>
      <c r="E36" s="21" t="n">
        <v>-0.04</v>
      </c>
      <c r="F36" s="21" t="n">
        <v>-0.5</v>
      </c>
      <c r="G36" s="21" t="n">
        <v>0.27</v>
      </c>
      <c r="H36" s="21" t="n">
        <v>-0.15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0.29</v>
      </c>
      <c r="O2" s="9" t="n">
        <v>1.85</v>
      </c>
      <c r="P2" s="9" t="n">
        <v>0.29</v>
      </c>
      <c r="Q2" s="9" t="n">
        <v>1.85</v>
      </c>
      <c r="R2" s="9">
        <f>(H2-I2)-(F2-G2)</f>
        <v/>
      </c>
      <c r="S2" s="9">
        <f>(H2+I2)-(F2+G2)</f>
        <v/>
      </c>
      <c r="T2" s="9" t="n">
        <v>0.7</v>
      </c>
      <c r="U2" s="9" t="n">
        <v>0.99</v>
      </c>
      <c r="V2" s="9" t="n">
        <v>-0.29</v>
      </c>
      <c r="W2" s="9" t="n">
        <v>0.7</v>
      </c>
      <c r="X2" s="9" t="n">
        <v>0.99</v>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-1.17</v>
      </c>
      <c r="O3" s="10" t="n">
        <v>0.01</v>
      </c>
      <c r="P3" s="10" t="n">
        <v>-0.44</v>
      </c>
      <c r="Q3" s="10" t="n">
        <v>0.93</v>
      </c>
      <c r="R3" s="10">
        <f>(H3-I3)-(F3-G3)</f>
        <v/>
      </c>
      <c r="S3" s="10">
        <f>(H3+I3)-(F3+G3)</f>
        <v/>
      </c>
      <c r="T3" s="10" t="n">
        <v>1.02</v>
      </c>
      <c r="U3" s="10" t="n">
        <v>1.24</v>
      </c>
      <c r="V3" s="10" t="n">
        <v>-0.22</v>
      </c>
      <c r="W3" s="10" t="n">
        <v>1.72</v>
      </c>
      <c r="X3" s="10" t="n">
        <v>2.23</v>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-0.93</v>
      </c>
      <c r="O4" s="9" t="n">
        <v>0.06</v>
      </c>
      <c r="P4" s="9" t="n">
        <v>-0.6</v>
      </c>
      <c r="Q4" s="9" t="n">
        <v>0.64</v>
      </c>
      <c r="R4" s="9">
        <f>(H4-I4)-(F4-G4)</f>
        <v/>
      </c>
      <c r="S4" s="9">
        <f>(H4+I4)-(F4+G4)</f>
        <v/>
      </c>
      <c r="T4" s="9" t="n">
        <v>0.86</v>
      </c>
      <c r="U4" s="9" t="n">
        <v>1.63</v>
      </c>
      <c r="V4" s="9" t="n">
        <v>-0.77</v>
      </c>
      <c r="W4" s="9" t="n">
        <v>2.58</v>
      </c>
      <c r="X4" s="9" t="n">
        <v>3.86</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v>
      </c>
      <c r="O5" s="10" t="n">
        <v>0.44</v>
      </c>
      <c r="P5" s="10" t="n">
        <v>-0.57</v>
      </c>
      <c r="Q5" s="10" t="n">
        <v>0.59</v>
      </c>
      <c r="R5" s="10">
        <f>(H5-I5)-(F5-G5)</f>
        <v/>
      </c>
      <c r="S5" s="10">
        <f>(H5+I5)-(F5+G5)</f>
        <v/>
      </c>
      <c r="T5" s="10" t="n">
        <v>0.68</v>
      </c>
      <c r="U5" s="10" t="n">
        <v>1.27</v>
      </c>
      <c r="V5" s="10" t="n">
        <v>-0.59</v>
      </c>
      <c r="W5" s="10" t="n">
        <v>3.27</v>
      </c>
      <c r="X5" s="10" t="n">
        <v>5.13</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-0.01</v>
      </c>
      <c r="O6" s="9" t="n">
        <v>0.53</v>
      </c>
      <c r="P6" s="9" t="n">
        <v>-0.46</v>
      </c>
      <c r="Q6" s="9" t="n">
        <v>0.58</v>
      </c>
      <c r="R6" s="9">
        <f>(H6-I6)-(F6-G6)</f>
        <v/>
      </c>
      <c r="S6" s="9">
        <f>(H6+I6)-(F6+G6)</f>
        <v/>
      </c>
      <c r="T6" s="9" t="n">
        <v>1.28</v>
      </c>
      <c r="U6" s="9" t="n">
        <v>2.01</v>
      </c>
      <c r="V6" s="9" t="n">
        <v>-0.73</v>
      </c>
      <c r="W6" s="9" t="n">
        <v>4.55</v>
      </c>
      <c r="X6" s="9" t="n">
        <v>7.14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6</v>
      </c>
      <c r="D34" s="15" t="n">
        <v>5</v>
      </c>
      <c r="E34" s="19" t="n">
        <v>-0.98</v>
      </c>
      <c r="F34" s="19" t="n">
        <v>-1.04</v>
      </c>
      <c r="G34" s="19" t="n">
        <v>0.09</v>
      </c>
      <c r="H34" s="19" t="n">
        <v>-0.04</v>
      </c>
    </row>
    <row r="35">
      <c r="A35" s="15" t="inlineStr">
        <is>
          <t>Away</t>
        </is>
      </c>
      <c r="B35" s="15" t="n">
        <v>2</v>
      </c>
      <c r="C35" s="15" t="n">
        <v>3</v>
      </c>
      <c r="D35" s="15" t="n">
        <v>4</v>
      </c>
      <c r="E35" s="19" t="n">
        <v>-0.57</v>
      </c>
      <c r="F35" s="19" t="n">
        <v>-0.57</v>
      </c>
      <c r="G35" s="19" t="n">
        <v>-0.55</v>
      </c>
      <c r="H35" s="19" t="n">
        <v>-0.55</v>
      </c>
    </row>
    <row r="36">
      <c r="A36" s="20" t="inlineStr">
        <is>
          <t>Total</t>
        </is>
      </c>
      <c r="B36" s="20" t="n">
        <v>5</v>
      </c>
      <c r="C36" s="20" t="n">
        <v>9</v>
      </c>
      <c r="D36" s="20" t="n">
        <v>9</v>
      </c>
      <c r="E36" s="21" t="n">
        <v>-0.8100000000000001</v>
      </c>
      <c r="F36" s="21" t="n">
        <v>-0.96</v>
      </c>
      <c r="G36" s="21" t="n">
        <v>-0.17</v>
      </c>
      <c r="H36" s="21" t="n">
        <v>-0.04</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v>
      </c>
      <c r="O2" s="9" t="n">
        <v>-1.11</v>
      </c>
      <c r="P2" s="9" t="n">
        <v>-0.9</v>
      </c>
      <c r="Q2" s="9" t="n">
        <v>-1.11</v>
      </c>
      <c r="R2" s="9">
        <f>(H2-I2)-(F2-G2)</f>
        <v/>
      </c>
      <c r="S2" s="9">
        <f>(H2+I2)-(F2+G2)</f>
        <v/>
      </c>
      <c r="T2" s="9" t="n">
        <v>1.47</v>
      </c>
      <c r="U2" s="9" t="n">
        <v>1.53</v>
      </c>
      <c r="V2" s="9" t="n">
        <v>-0.06</v>
      </c>
      <c r="W2" s="9" t="n">
        <v>1.47</v>
      </c>
      <c r="X2" s="9" t="n">
        <v>1.53</v>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1.62</v>
      </c>
      <c r="O3" s="10" t="n">
        <v>0.11</v>
      </c>
      <c r="P3" s="10" t="n">
        <v>0.36</v>
      </c>
      <c r="Q3" s="10" t="n">
        <v>-0.5</v>
      </c>
      <c r="R3" s="10">
        <f>(H3-I3)-(F3-G3)</f>
        <v/>
      </c>
      <c r="S3" s="10">
        <f>(H3+I3)-(F3+G3)</f>
        <v/>
      </c>
      <c r="T3" s="10" t="n">
        <v>1.71</v>
      </c>
      <c r="U3" s="10" t="n">
        <v>0.6899999999999999</v>
      </c>
      <c r="V3" s="10" t="n">
        <v>1.02</v>
      </c>
      <c r="W3" s="10" t="n">
        <v>3.18</v>
      </c>
      <c r="X3" s="10" t="n">
        <v>2.22</v>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-0.92</v>
      </c>
      <c r="O4" s="9" t="n">
        <v>0.38</v>
      </c>
      <c r="P4" s="9" t="n">
        <v>-0.07000000000000001</v>
      </c>
      <c r="Q4" s="9" t="n">
        <v>-0.21</v>
      </c>
      <c r="R4" s="9">
        <f>(H4-I4)-(F4-G4)</f>
        <v/>
      </c>
      <c r="S4" s="9">
        <f>(H4+I4)-(F4+G4)</f>
        <v/>
      </c>
      <c r="T4" s="9" t="n">
        <v>1.24</v>
      </c>
      <c r="U4" s="9" t="n">
        <v>1.47</v>
      </c>
      <c r="V4" s="9" t="n">
        <v>-0.24</v>
      </c>
      <c r="W4" s="9" t="n">
        <v>4.42</v>
      </c>
      <c r="X4" s="9" t="n">
        <v>3.69</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0.93</v>
      </c>
      <c r="O5" s="10" t="n">
        <v>-0.35</v>
      </c>
      <c r="P5" s="10" t="n">
        <v>0.18</v>
      </c>
      <c r="Q5" s="10" t="n">
        <v>-0.24</v>
      </c>
      <c r="R5" s="10">
        <f>(H5-I5)-(F5-G5)</f>
        <v/>
      </c>
      <c r="S5" s="10">
        <f>(H5+I5)-(F5+G5)</f>
        <v/>
      </c>
      <c r="T5" s="10" t="n">
        <v>2.29</v>
      </c>
      <c r="U5" s="10" t="n">
        <v>1.16</v>
      </c>
      <c r="V5" s="10" t="n">
        <v>1.12</v>
      </c>
      <c r="W5" s="10" t="n">
        <v>6.71</v>
      </c>
      <c r="X5" s="10" t="n">
        <v>4.86</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-0.64</v>
      </c>
      <c r="O6" s="9" t="n">
        <v>-0.25</v>
      </c>
      <c r="P6" s="9" t="n">
        <v>0.02</v>
      </c>
      <c r="Q6" s="9" t="n">
        <v>-0.24</v>
      </c>
      <c r="R6" s="9">
        <f>(H6-I6)-(F6-G6)</f>
        <v/>
      </c>
      <c r="S6" s="9">
        <f>(H6+I6)-(F6+G6)</f>
        <v/>
      </c>
      <c r="T6" s="9" t="n">
        <v>1.69</v>
      </c>
      <c r="U6" s="9" t="n">
        <v>2.05</v>
      </c>
      <c r="V6" s="9" t="n">
        <v>-0.36</v>
      </c>
      <c r="W6" s="9" t="n">
        <v>8.4</v>
      </c>
      <c r="X6" s="9" t="n">
        <v>6.9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0</v>
      </c>
      <c r="D34" s="15" t="n">
        <v>2</v>
      </c>
      <c r="E34" s="19" t="n">
        <v>-0.3</v>
      </c>
      <c r="F34" s="19" t="n">
        <v>-0.29</v>
      </c>
      <c r="G34" s="19" t="n">
        <v>-1.07</v>
      </c>
      <c r="H34" s="19" t="n">
        <v>-1.05</v>
      </c>
    </row>
    <row r="35">
      <c r="A35" s="15" t="inlineStr">
        <is>
          <t>Away</t>
        </is>
      </c>
      <c r="B35" s="15" t="n">
        <v>2</v>
      </c>
      <c r="C35" s="15" t="n">
        <v>4</v>
      </c>
      <c r="D35" s="15" t="n">
        <v>3</v>
      </c>
      <c r="E35" s="19" t="n">
        <v>1.72</v>
      </c>
      <c r="F35" s="19" t="n">
        <v>1.72</v>
      </c>
      <c r="G35" s="19" t="n">
        <v>0.73</v>
      </c>
      <c r="H35" s="19" t="n">
        <v>0.73</v>
      </c>
    </row>
    <row r="36">
      <c r="A36" s="20" t="inlineStr">
        <is>
          <t>Total</t>
        </is>
      </c>
      <c r="B36" s="20" t="n">
        <v>5</v>
      </c>
      <c r="C36" s="20" t="n">
        <v>4</v>
      </c>
      <c r="D36" s="20" t="n">
        <v>5</v>
      </c>
      <c r="E36" s="21" t="n">
        <v>0.51</v>
      </c>
      <c r="F36" s="21" t="n">
        <v>-0.04</v>
      </c>
      <c r="G36" s="21" t="n">
        <v>-0.35</v>
      </c>
      <c r="H36" s="21" t="n">
        <v>-0.66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-0.71</v>
      </c>
      <c r="O2" s="9" t="n">
        <v>0.08</v>
      </c>
      <c r="P2" s="9" t="n">
        <v>-0.71</v>
      </c>
      <c r="Q2" s="9" t="n">
        <v>0.08</v>
      </c>
      <c r="R2" s="9">
        <f>(H2-I2)-(F2-G2)</f>
        <v/>
      </c>
      <c r="S2" s="9">
        <f>(H2+I2)-(F2+G2)</f>
        <v/>
      </c>
      <c r="T2" s="9" t="n">
        <v>0.61</v>
      </c>
      <c r="U2" s="9" t="n">
        <v>1.38</v>
      </c>
      <c r="V2" s="9" t="n">
        <v>-0.77</v>
      </c>
      <c r="W2" s="9" t="n">
        <v>0.61</v>
      </c>
      <c r="X2" s="9" t="n">
        <v>1.38</v>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0.66</v>
      </c>
      <c r="O3" s="10" t="n">
        <v>-0.67</v>
      </c>
      <c r="P3" s="10" t="n">
        <v>-0.02</v>
      </c>
      <c r="Q3" s="10" t="n">
        <v>-0.29</v>
      </c>
      <c r="R3" s="10">
        <f>(H3-I3)-(F3-G3)</f>
        <v/>
      </c>
      <c r="S3" s="10">
        <f>(H3+I3)-(F3+G3)</f>
        <v/>
      </c>
      <c r="T3" s="10" t="n">
        <v>2.07</v>
      </c>
      <c r="U3" s="10" t="n">
        <v>1.5</v>
      </c>
      <c r="V3" s="10" t="n">
        <v>0.57</v>
      </c>
      <c r="W3" s="10" t="n">
        <v>2.69</v>
      </c>
      <c r="X3" s="10" t="n">
        <v>2.88</v>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1.14</v>
      </c>
      <c r="O4" s="9" t="n">
        <v>-1.32</v>
      </c>
      <c r="P4" s="9" t="n">
        <v>0.36</v>
      </c>
      <c r="Q4" s="9" t="n">
        <v>-0.63</v>
      </c>
      <c r="R4" s="9">
        <f>(H4-I4)-(F4-G4)</f>
        <v/>
      </c>
      <c r="S4" s="9">
        <f>(H4+I4)-(F4+G4)</f>
        <v/>
      </c>
      <c r="T4" s="9" t="n">
        <v>1.71</v>
      </c>
      <c r="U4" s="9" t="n">
        <v>0.77</v>
      </c>
      <c r="V4" s="9" t="n">
        <v>0.9399999999999999</v>
      </c>
      <c r="W4" s="9" t="n">
        <v>4.4</v>
      </c>
      <c r="X4" s="9" t="n">
        <v>3.65</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1.42</v>
      </c>
      <c r="O5" s="10" t="n">
        <v>0.44</v>
      </c>
      <c r="P5" s="10" t="n">
        <v>0.63</v>
      </c>
      <c r="Q5" s="10" t="n">
        <v>-0.37</v>
      </c>
      <c r="R5" s="10">
        <f>(H5-I5)-(F5-G5)</f>
        <v/>
      </c>
      <c r="S5" s="10">
        <f>(H5+I5)-(F5+G5)</f>
        <v/>
      </c>
      <c r="T5" s="10" t="n">
        <v>1.34</v>
      </c>
      <c r="U5" s="10" t="n">
        <v>0.61</v>
      </c>
      <c r="V5" s="10" t="n">
        <v>0.73</v>
      </c>
      <c r="W5" s="10" t="n">
        <v>5.74</v>
      </c>
      <c r="X5" s="10" t="n">
        <v>4.26</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2.97</v>
      </c>
      <c r="O6" s="9" t="n">
        <v>0.77</v>
      </c>
      <c r="P6" s="9" t="n">
        <v>1.1</v>
      </c>
      <c r="Q6" s="9" t="n">
        <v>-0.14</v>
      </c>
      <c r="R6" s="9">
        <f>(H6-I6)-(F6-G6)</f>
        <v/>
      </c>
      <c r="S6" s="9">
        <f>(H6+I6)-(F6+G6)</f>
        <v/>
      </c>
      <c r="T6" s="9" t="n">
        <v>1.76</v>
      </c>
      <c r="U6" s="9" t="n">
        <v>0.47</v>
      </c>
      <c r="V6" s="9" t="n">
        <v>1.29</v>
      </c>
      <c r="W6" s="9" t="n">
        <v>7.51</v>
      </c>
      <c r="X6" s="9" t="n">
        <v>4.74</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2</v>
      </c>
      <c r="C34" s="15" t="n">
        <v>1</v>
      </c>
      <c r="D34" s="15" t="n">
        <v>2</v>
      </c>
      <c r="E34" s="19" t="n">
        <v>0.98</v>
      </c>
      <c r="F34" s="19" t="n">
        <v>0.98</v>
      </c>
      <c r="G34" s="19" t="n">
        <v>0.8</v>
      </c>
      <c r="H34" s="19" t="n">
        <v>0.8</v>
      </c>
    </row>
    <row r="35">
      <c r="A35" s="15" t="inlineStr">
        <is>
          <t>Away</t>
        </is>
      </c>
      <c r="B35" s="15" t="n">
        <v>3</v>
      </c>
      <c r="C35" s="15" t="n">
        <v>5</v>
      </c>
      <c r="D35" s="15" t="n">
        <v>8</v>
      </c>
      <c r="E35" s="19" t="n">
        <v>0.88</v>
      </c>
      <c r="F35" s="19" t="n">
        <v>1.44</v>
      </c>
      <c r="G35" s="19" t="n">
        <v>1.1</v>
      </c>
      <c r="H35" s="19" t="n">
        <v>0.18</v>
      </c>
    </row>
    <row r="36">
      <c r="A36" s="20" t="inlineStr">
        <is>
          <t>Total</t>
        </is>
      </c>
      <c r="B36" s="20" t="n">
        <v>5</v>
      </c>
      <c r="C36" s="20" t="n">
        <v>6</v>
      </c>
      <c r="D36" s="20" t="n">
        <v>10</v>
      </c>
      <c r="E36" s="21" t="n">
        <v>0.92</v>
      </c>
      <c r="F36" s="21" t="n">
        <v>1.08</v>
      </c>
      <c r="G36" s="21" t="n">
        <v>0.98</v>
      </c>
      <c r="H36" s="21" t="n">
        <v>0.45</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6"/>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-0.92</v>
      </c>
      <c r="O2" s="9" t="n">
        <v>2.4</v>
      </c>
      <c r="P2" s="9" t="n">
        <v>-0.92</v>
      </c>
      <c r="Q2" s="9" t="n">
        <v>2.4</v>
      </c>
      <c r="R2" s="9">
        <f>(H2-I2)-(F2-G2)</f>
        <v/>
      </c>
      <c r="S2" s="9">
        <f>(H2+I2)-(F2+G2)</f>
        <v/>
      </c>
      <c r="T2" s="9" t="n">
        <v>0.12</v>
      </c>
      <c r="U2" s="9" t="n">
        <v>1.3</v>
      </c>
      <c r="V2" s="9" t="n">
        <v>-1.18</v>
      </c>
      <c r="W2" s="9" t="n">
        <v>0.12</v>
      </c>
      <c r="X2" s="9" t="n">
        <v>1.3</v>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-1.01</v>
      </c>
      <c r="O3" s="10" t="n">
        <v>-0.22</v>
      </c>
      <c r="P3" s="10" t="n">
        <v>-0.97</v>
      </c>
      <c r="Q3" s="10" t="n">
        <v>1.09</v>
      </c>
      <c r="R3" s="10">
        <f>(H3-I3)-(F3-G3)</f>
        <v/>
      </c>
      <c r="S3" s="10">
        <f>(H3+I3)-(F3+G3)</f>
        <v/>
      </c>
      <c r="T3" s="10" t="n">
        <v>1.67</v>
      </c>
      <c r="U3" s="10" t="n">
        <v>1.52</v>
      </c>
      <c r="V3" s="10" t="n">
        <v>0.14</v>
      </c>
      <c r="W3" s="10" t="n">
        <v>1.79</v>
      </c>
      <c r="X3" s="10" t="n">
        <v>2.82</v>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0.3</v>
      </c>
      <c r="O4" s="9" t="n">
        <v>-0.6899999999999999</v>
      </c>
      <c r="P4" s="9" t="n">
        <v>-0.54</v>
      </c>
      <c r="Q4" s="9" t="n">
        <v>0.49</v>
      </c>
      <c r="R4" s="9">
        <f>(H4-I4)-(F4-G4)</f>
        <v/>
      </c>
      <c r="S4" s="9">
        <f>(H4+I4)-(F4+G4)</f>
        <v/>
      </c>
      <c r="T4" s="9" t="n">
        <v>1.46</v>
      </c>
      <c r="U4" s="9" t="n">
        <v>1.27</v>
      </c>
      <c r="V4" s="9" t="n">
        <v>0.19</v>
      </c>
      <c r="W4" s="9" t="n">
        <v>3.24</v>
      </c>
      <c r="X4" s="9" t="n">
        <v>4.09</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-1.08</v>
      </c>
      <c r="O5" s="10" t="n">
        <v>-0.11</v>
      </c>
      <c r="P5" s="10" t="n">
        <v>-0.68</v>
      </c>
      <c r="Q5" s="10" t="n">
        <v>0.34</v>
      </c>
      <c r="R5" s="10">
        <f>(H5-I5)-(F5-G5)</f>
        <v/>
      </c>
      <c r="S5" s="10">
        <f>(H5+I5)-(F5+G5)</f>
        <v/>
      </c>
      <c r="T5" s="10" t="n">
        <v>1</v>
      </c>
      <c r="U5" s="10" t="n">
        <v>1.7</v>
      </c>
      <c r="V5" s="10" t="n">
        <v>-0.6899999999999999</v>
      </c>
      <c r="W5" s="10" t="n">
        <v>4.24</v>
      </c>
      <c r="X5" s="10" t="n">
        <v>5.78</v>
      </c>
    </row>
    <row r="6">
      <c r="A6" s="6" t="inlineStr">
        <is>
          <t>2026-09-19</t>
        </is>
      </c>
      <c r="B6" s="6" t="inlineStr">
        <is>
          <t>Aston Villa</t>
        </is>
      </c>
      <c r="C6" s="6" t="inlineStr">
        <is>
          <t>Home</t>
        </is>
      </c>
      <c r="D6" s="6" t="n">
        <v>2</v>
      </c>
      <c r="E6" s="6" t="n">
        <v>3</v>
      </c>
      <c r="F6" s="9" t="n">
        <v>1.63</v>
      </c>
      <c r="G6" s="9" t="n">
        <v>1.15</v>
      </c>
      <c r="H6" s="9" t="n">
        <v>1.56</v>
      </c>
      <c r="I6" s="9" t="n">
        <v>1.26</v>
      </c>
      <c r="J6" s="9" t="n">
        <v>-0.07000000000000001</v>
      </c>
      <c r="K6" s="9" t="n">
        <v>0.11</v>
      </c>
      <c r="L6" s="9" t="n">
        <v>-0.49</v>
      </c>
      <c r="M6" s="9" t="n">
        <v>0.26</v>
      </c>
      <c r="N6" s="9" t="n">
        <v>-0.54</v>
      </c>
      <c r="O6" s="9" t="n">
        <v>0.61</v>
      </c>
      <c r="P6" s="9" t="n">
        <v>-0.65</v>
      </c>
      <c r="Q6" s="9" t="n">
        <v>0.39</v>
      </c>
      <c r="R6" s="9">
        <f>(H6-I6)-(F6-G6)</f>
        <v/>
      </c>
      <c r="S6" s="9">
        <f>(H6+I6)-(F6+G6)</f>
        <v/>
      </c>
      <c r="T6" s="9" t="n">
        <v>1.58</v>
      </c>
      <c r="U6" s="9" t="n">
        <v>1.7</v>
      </c>
      <c r="V6" s="9" t="n">
        <v>-0.12</v>
      </c>
      <c r="W6" s="9" t="n">
        <v>5.82</v>
      </c>
      <c r="X6" s="9" t="n">
        <v>7.49</v>
      </c>
    </row>
    <row r="8">
      <c r="A8" s="12" t="inlineStr">
        <is>
          <t>Season summary</t>
        </is>
      </c>
    </row>
    <row r="9">
      <c r="A9" s="15" t="inlineStr">
        <is>
          <t>Matches played</t>
        </is>
      </c>
      <c r="E9" s="16">
        <f>COUNTA(A2:A6)</f>
        <v/>
      </c>
    </row>
    <row r="10">
      <c r="A10" s="15" t="inlineStr">
        <is>
          <t>Total goals for</t>
        </is>
      </c>
      <c r="E10" s="16">
        <f>SUM(D2:D6)</f>
        <v/>
      </c>
    </row>
    <row r="11">
      <c r="A11" s="15" t="inlineStr">
        <is>
          <t>Total goals against</t>
        </is>
      </c>
      <c r="E11" s="16">
        <f>SUM(E2:E6)</f>
        <v/>
      </c>
    </row>
    <row r="12">
      <c r="A12" s="15" t="inlineStr">
        <is>
          <t>Avg xG Delta (For)</t>
        </is>
      </c>
      <c r="E12" s="17">
        <f>AVERAGE(J2:J6)</f>
        <v/>
      </c>
    </row>
    <row r="13">
      <c r="A13" s="15" t="inlineStr">
        <is>
          <t>Median xG Delta (For)</t>
        </is>
      </c>
      <c r="E13" s="17">
        <f>MEDIAN(J2:J6)</f>
        <v/>
      </c>
    </row>
    <row r="14">
      <c r="A14" s="15" t="inlineStr">
        <is>
          <t>Avg xG Delta (Against)</t>
        </is>
      </c>
      <c r="E14" s="17">
        <f>AVERAGE(K2:K6)</f>
        <v/>
      </c>
    </row>
    <row r="15">
      <c r="A15" s="15" t="inlineStr">
        <is>
          <t>Median xG Delta (Against)</t>
        </is>
      </c>
      <c r="E15" s="17">
        <f>MEDIAN(K2:K6)</f>
        <v/>
      </c>
    </row>
    <row r="16">
      <c r="A16" s="15" t="inlineStr">
        <is>
          <t>Avg xG Delta (For, Adj)</t>
        </is>
      </c>
      <c r="E16" s="17">
        <f>AVERAGE(N2:N6)</f>
        <v/>
      </c>
    </row>
    <row r="17">
      <c r="A17" s="15" t="inlineStr">
        <is>
          <t>Median xG Delta (For, Adj)</t>
        </is>
      </c>
      <c r="E17" s="17">
        <f>MEDIAN(N2:N6)</f>
        <v/>
      </c>
    </row>
    <row r="18">
      <c r="A18" s="15" t="inlineStr">
        <is>
          <t>Avg xG Delta (Against, Adj)</t>
        </is>
      </c>
      <c r="E18" s="17">
        <f>AVERAGE(O2:O6)</f>
        <v/>
      </c>
    </row>
    <row r="19">
      <c r="A19" s="15" t="inlineStr">
        <is>
          <t>Median xG Delta (Against, Adj)</t>
        </is>
      </c>
      <c r="E19" s="17">
        <f>MEDIAN(O2:O6)</f>
        <v/>
      </c>
    </row>
    <row r="20">
      <c r="A20" s="15" t="inlineStr">
        <is>
          <t>Avg Supremacy Delta</t>
        </is>
      </c>
      <c r="E20" s="17">
        <f>AVERAGE(R2:R6)</f>
        <v/>
      </c>
    </row>
    <row r="21">
      <c r="A21" s="15" t="inlineStr">
        <is>
          <t>Median Supremacy Delta</t>
        </is>
      </c>
      <c r="E21" s="17">
        <f>MEDIAN(R2:R6)</f>
        <v/>
      </c>
    </row>
    <row r="22">
      <c r="A22" s="15" t="inlineStr">
        <is>
          <t>Avg Total xG Delta</t>
        </is>
      </c>
      <c r="E22" s="17">
        <f>AVERAGE(S2:S6)</f>
        <v/>
      </c>
    </row>
    <row r="23">
      <c r="A23" s="15" t="inlineStr">
        <is>
          <t>Median Total xG Delta</t>
        </is>
      </c>
      <c r="E23" s="17">
        <f>MEDIAN(S2:S6)</f>
        <v/>
      </c>
    </row>
    <row r="24">
      <c r="A24" s="15" t="inlineStr">
        <is>
          <t>Current form (last 6, For)</t>
        </is>
      </c>
      <c r="E24" s="17">
        <f>L6</f>
        <v/>
      </c>
    </row>
    <row r="25">
      <c r="A25" s="15" t="inlineStr">
        <is>
          <t>Current form (last 6, Against)</t>
        </is>
      </c>
      <c r="E25" s="17">
        <f>M6</f>
        <v/>
      </c>
    </row>
    <row r="26">
      <c r="A26" s="15" t="inlineStr">
        <is>
          <t>Current form (last 6, For, Adj)</t>
        </is>
      </c>
      <c r="E26" s="17">
        <f>P6</f>
        <v/>
      </c>
    </row>
    <row r="27">
      <c r="A27" s="15" t="inlineStr">
        <is>
          <t>Current form (last 6, Against, Adj)</t>
        </is>
      </c>
      <c r="E27" s="17">
        <f>Q6</f>
        <v/>
      </c>
    </row>
    <row r="28">
      <c r="A28" s="15" t="inlineStr">
        <is>
          <t>Total xPts (Actual)</t>
        </is>
      </c>
      <c r="E28" s="17">
        <f>SUM(T2:T6)</f>
        <v/>
      </c>
    </row>
    <row r="29">
      <c r="A29" s="15" t="inlineStr">
        <is>
          <t>Total xPts (Market)</t>
        </is>
      </c>
      <c r="E29" s="17">
        <f>SUM(U2:U6)</f>
        <v/>
      </c>
    </row>
    <row r="30">
      <c r="A30" s="15" t="inlineStr">
        <is>
          <t>Avg xPts Delta</t>
        </is>
      </c>
      <c r="E30" s="17">
        <f>AVERAGE(V2:V6)</f>
        <v/>
      </c>
    </row>
    <row r="32">
      <c r="A32" s="12" t="inlineStr">
        <is>
          <t>Home / Away split</t>
        </is>
      </c>
    </row>
    <row r="33">
      <c r="A33" s="18" t="inlineStr">
        <is>
          <t>Venue</t>
        </is>
      </c>
      <c r="B33" s="18" t="inlineStr">
        <is>
          <t>Matches</t>
        </is>
      </c>
      <c r="C33" s="18" t="inlineStr">
        <is>
          <t>GF</t>
        </is>
      </c>
      <c r="D33" s="18" t="inlineStr">
        <is>
          <t>GA</t>
        </is>
      </c>
      <c r="E33" s="18" t="inlineStr">
        <is>
          <t>Avg Supremacy</t>
        </is>
      </c>
      <c r="F33" s="18" t="inlineStr">
        <is>
          <t>Median Supremacy</t>
        </is>
      </c>
      <c r="G33" s="18" t="inlineStr">
        <is>
          <t>Avg Total xG Delta</t>
        </is>
      </c>
      <c r="H33" s="18" t="inlineStr">
        <is>
          <t>Median Total xG Delta</t>
        </is>
      </c>
    </row>
    <row r="34">
      <c r="A34" s="15" t="inlineStr">
        <is>
          <t>Home</t>
        </is>
      </c>
      <c r="B34" s="15" t="n">
        <v>3</v>
      </c>
      <c r="C34" s="15" t="n">
        <v>2</v>
      </c>
      <c r="D34" s="15" t="n">
        <v>5</v>
      </c>
      <c r="E34" s="19" t="n">
        <v>-0.29</v>
      </c>
      <c r="F34" s="19" t="n">
        <v>-0.18</v>
      </c>
      <c r="G34" s="19" t="n">
        <v>-0.66</v>
      </c>
      <c r="H34" s="19" t="n">
        <v>-0.86</v>
      </c>
    </row>
    <row r="35">
      <c r="A35" s="15" t="inlineStr">
        <is>
          <t>Away</t>
        </is>
      </c>
      <c r="B35" s="15" t="n">
        <v>2</v>
      </c>
      <c r="C35" s="15" t="n">
        <v>0</v>
      </c>
      <c r="D35" s="15" t="n">
        <v>3</v>
      </c>
      <c r="E35" s="19" t="n">
        <v>-1.45</v>
      </c>
      <c r="F35" s="19" t="n">
        <v>-1.45</v>
      </c>
      <c r="G35" s="19" t="n">
        <v>0.42</v>
      </c>
      <c r="H35" s="19" t="n">
        <v>0.42</v>
      </c>
    </row>
    <row r="36">
      <c r="A36" s="20" t="inlineStr">
        <is>
          <t>Total</t>
        </is>
      </c>
      <c r="B36" s="20" t="n">
        <v>5</v>
      </c>
      <c r="C36" s="20" t="n">
        <v>2</v>
      </c>
      <c r="D36" s="20" t="n">
        <v>8</v>
      </c>
      <c r="E36" s="21" t="n">
        <v>-0.75</v>
      </c>
      <c r="F36" s="21" t="n">
        <v>-0.18</v>
      </c>
      <c r="G36" s="21" t="n">
        <v>-0.23</v>
      </c>
      <c r="H36" s="21" t="n">
        <v>-0.66</v>
      </c>
    </row>
  </sheetData>
  <mergeCells count="22">
    <mergeCell ref="A17:D17"/>
    <mergeCell ref="A23:D23"/>
    <mergeCell ref="A22:D22"/>
    <mergeCell ref="A20:D20"/>
    <mergeCell ref="A29:D29"/>
    <mergeCell ref="A19:D19"/>
    <mergeCell ref="A10:D10"/>
    <mergeCell ref="A28:D28"/>
    <mergeCell ref="A13:D13"/>
    <mergeCell ref="A9:D9"/>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6">
    <cfRule type="colorScale" priority="1">
      <colorScale>
        <cfvo type="min"/>
        <cfvo type="num" val="0"/>
        <cfvo type="max"/>
        <color rgb="00F8696B"/>
        <color rgb="00FFFFFF"/>
        <color rgb="0063BE7B"/>
      </colorScale>
    </cfRule>
  </conditionalFormatting>
  <conditionalFormatting sqref="L2:L6">
    <cfRule type="colorScale" priority="2">
      <colorScale>
        <cfvo type="min"/>
        <cfvo type="num" val="0"/>
        <cfvo type="max"/>
        <color rgb="00F8696B"/>
        <color rgb="00FFFFFF"/>
        <color rgb="0063BE7B"/>
      </colorScale>
    </cfRule>
  </conditionalFormatting>
  <conditionalFormatting sqref="N2:N6">
    <cfRule type="colorScale" priority="3">
      <colorScale>
        <cfvo type="min"/>
        <cfvo type="num" val="0"/>
        <cfvo type="max"/>
        <color rgb="00F8696B"/>
        <color rgb="00FFFFFF"/>
        <color rgb="0063BE7B"/>
      </colorScale>
    </cfRule>
  </conditionalFormatting>
  <conditionalFormatting sqref="P2:P6">
    <cfRule type="colorScale" priority="4">
      <colorScale>
        <cfvo type="min"/>
        <cfvo type="num" val="0"/>
        <cfvo type="max"/>
        <color rgb="00F8696B"/>
        <color rgb="00FFFFFF"/>
        <color rgb="0063BE7B"/>
      </colorScale>
    </cfRule>
  </conditionalFormatting>
  <conditionalFormatting sqref="R2:R6">
    <cfRule type="colorScale" priority="5">
      <colorScale>
        <cfvo type="min"/>
        <cfvo type="num" val="0"/>
        <cfvo type="max"/>
        <color rgb="00F8696B"/>
        <color rgb="00FFFFFF"/>
        <color rgb="0063BE7B"/>
      </colorScale>
    </cfRule>
  </conditionalFormatting>
  <conditionalFormatting sqref="K2:K6">
    <cfRule type="colorScale" priority="6">
      <colorScale>
        <cfvo type="min"/>
        <cfvo type="num" val="0"/>
        <cfvo type="max"/>
        <color rgb="0063BE7B"/>
        <color rgb="00FFFFFF"/>
        <color rgb="00F8696B"/>
      </colorScale>
    </cfRule>
  </conditionalFormatting>
  <conditionalFormatting sqref="M2:M6">
    <cfRule type="colorScale" priority="7">
      <colorScale>
        <cfvo type="min"/>
        <cfvo type="num" val="0"/>
        <cfvo type="max"/>
        <color rgb="0063BE7B"/>
        <color rgb="00FFFFFF"/>
        <color rgb="00F8696B"/>
      </colorScale>
    </cfRule>
  </conditionalFormatting>
  <conditionalFormatting sqref="O2:O6">
    <cfRule type="colorScale" priority="8">
      <colorScale>
        <cfvo type="min"/>
        <cfvo type="num" val="0"/>
        <cfvo type="max"/>
        <color rgb="0063BE7B"/>
        <color rgb="00FFFFFF"/>
        <color rgb="00F8696B"/>
      </colorScale>
    </cfRule>
  </conditionalFormatting>
  <conditionalFormatting sqref="Q2:Q6">
    <cfRule type="colorScale" priority="9">
      <colorScale>
        <cfvo type="min"/>
        <cfvo type="num" val="0"/>
        <cfvo type="max"/>
        <color rgb="0063BE7B"/>
        <color rgb="00FFFFFF"/>
        <color rgb="00F8696B"/>
      </colorScale>
    </cfRule>
  </conditionalFormatting>
  <conditionalFormatting sqref="S2:S6">
    <cfRule type="colorScale" priority="10">
      <colorScale>
        <cfvo type="min"/>
        <cfvo type="num" val="0"/>
        <cfvo type="max"/>
        <color rgb="00F8696B"/>
        <color rgb="00FFFFFF"/>
        <color rgb="0063BE7B"/>
      </colorScale>
    </cfRule>
  </conditionalFormatting>
  <conditionalFormatting sqref="V2:V6">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2026-10-06T07:01:30Z</dcterms:created>
  <dcterms:modified xsi:type="dcterms:W3CDTF">2026-10-06T07:01:30Z</dcterms:modified>
</cp:coreProperties>
</file>