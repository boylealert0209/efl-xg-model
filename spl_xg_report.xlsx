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drawings/drawing5.xml" ContentType="application/vnd.openxmlformats-officedocument.drawing+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3.xml" ContentType="application/vnd.openxmlformats-officedocument.spreadsheetml.worksheet+xml"/>
  <Override PartName="/xl/drawings/drawing10.xml" ContentType="application/vnd.openxmlformats-officedocument.drawing+xml"/>
  <Override PartName="/xl/worksheets/sheet24.xml" ContentType="application/vnd.openxmlformats-officedocument.spreadsheetml.worksheet+xml"/>
  <Override PartName="/xl/drawings/drawing11.xml" ContentType="application/vnd.openxmlformats-officedocument.drawing+xml"/>
  <Override PartName="/xl/worksheets/sheet25.xml" ContentType="application/vnd.openxmlformats-officedocument.spreadsheetml.worksheet+xml"/>
  <Override PartName="/xl/drawings/drawing12.xml" ContentType="application/vnd.openxmlformats-officedocument.drawing+xml"/>
  <Override PartName="/xl/worksheets/sheet26.xml" ContentType="application/vnd.openxmlformats-officedocument.spreadsheetml.worksheet+xml"/>
  <Override PartName="/xl/drawings/drawing13.xml" ContentType="application/vnd.openxmlformats-officedocument.drawing+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Report" sheetId="1" state="visible" r:id="rId1"/>
    <sheet xmlns:r="http://schemas.openxmlformats.org/officeDocument/2006/relationships" name="League Table" sheetId="2" state="visible" r:id="rId2"/>
    <sheet xmlns:r="http://schemas.openxmlformats.org/officeDocument/2006/relationships" name="League Summary" sheetId="3" state="visible" r:id="rId3"/>
    <sheet xmlns:r="http://schemas.openxmlformats.org/officeDocument/2006/relationships" name="Overview" sheetId="4" state="visible" r:id="rId4"/>
    <sheet xmlns:r="http://schemas.openxmlformats.org/officeDocument/2006/relationships" name="xPts Table" sheetId="5" state="visible" r:id="rId5"/>
    <sheet xmlns:r="http://schemas.openxmlformats.org/officeDocument/2006/relationships" name="Dashboard" sheetId="6" state="visible" r:id="rId6"/>
    <sheet xmlns:r="http://schemas.openxmlformats.org/officeDocument/2006/relationships" name="Data Quality" sheetId="7" state="visible" r:id="rId7"/>
    <sheet xmlns:r="http://schemas.openxmlformats.org/officeDocument/2006/relationships" name="Match Log" sheetId="8" state="visible" r:id="rId8"/>
    <sheet xmlns:r="http://schemas.openxmlformats.org/officeDocument/2006/relationships" name="Home &amp; Away Splits" sheetId="9" state="visible" r:id="rId9"/>
    <sheet xmlns:r="http://schemas.openxmlformats.org/officeDocument/2006/relationships" name="Supremacy Delta" sheetId="10" state="visible" r:id="rId10"/>
    <sheet xmlns:r="http://schemas.openxmlformats.org/officeDocument/2006/relationships" name="Supremacy Delta (Home)" sheetId="11" state="visible" r:id="rId11"/>
    <sheet xmlns:r="http://schemas.openxmlformats.org/officeDocument/2006/relationships" name="Supremacy Delta (Away)" sheetId="12" state="visible" r:id="rId12"/>
    <sheet xmlns:r="http://schemas.openxmlformats.org/officeDocument/2006/relationships" name="Total xG Delta" sheetId="13" state="visible" r:id="rId13"/>
    <sheet xmlns:r="http://schemas.openxmlformats.org/officeDocument/2006/relationships" name="xPts Delta" sheetId="14" state="visible" r:id="rId14"/>
    <sheet xmlns:r="http://schemas.openxmlformats.org/officeDocument/2006/relationships" name="Aberdeen" sheetId="15" state="visible" r:id="rId15"/>
    <sheet xmlns:r="http://schemas.openxmlformats.org/officeDocument/2006/relationships" name="Celtic" sheetId="16" state="visible" r:id="rId16"/>
    <sheet xmlns:r="http://schemas.openxmlformats.org/officeDocument/2006/relationships" name="Dundee" sheetId="17" state="visible" r:id="rId17"/>
    <sheet xmlns:r="http://schemas.openxmlformats.org/officeDocument/2006/relationships" name="Dundee United" sheetId="18" state="visible" r:id="rId18"/>
    <sheet xmlns:r="http://schemas.openxmlformats.org/officeDocument/2006/relationships" name="Falkirk" sheetId="19" state="visible" r:id="rId19"/>
    <sheet xmlns:r="http://schemas.openxmlformats.org/officeDocument/2006/relationships" name="Heart of Midlothian" sheetId="20" state="visible" r:id="rId20"/>
    <sheet xmlns:r="http://schemas.openxmlformats.org/officeDocument/2006/relationships" name="Hibernian" sheetId="21" state="visible" r:id="rId21"/>
    <sheet xmlns:r="http://schemas.openxmlformats.org/officeDocument/2006/relationships" name="Kilmarnock" sheetId="22" state="visible" r:id="rId22"/>
    <sheet xmlns:r="http://schemas.openxmlformats.org/officeDocument/2006/relationships" name="Motherwell" sheetId="23" state="visible" r:id="rId23"/>
    <sheet xmlns:r="http://schemas.openxmlformats.org/officeDocument/2006/relationships" name="Rangers" sheetId="24" state="visible" r:id="rId24"/>
    <sheet xmlns:r="http://schemas.openxmlformats.org/officeDocument/2006/relationships" name="St Johnstone" sheetId="25" state="visible" r:id="rId25"/>
    <sheet xmlns:r="http://schemas.openxmlformats.org/officeDocument/2006/relationships" name="St Mirren" sheetId="26" state="visible" r:id="rId26"/>
    <sheet xmlns:r="http://schemas.openxmlformats.org/officeDocument/2006/relationships" name="Results Data" sheetId="27" state="hidden" r:id="rId27"/>
  </sheets>
  <definedNames>
    <definedName name="_xlnm._FilterDatabase" localSheetId="7" hidden="1">'Match Log'!$A$1:$Q$49</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F8696B"/>
        <bgColor rgb="00F8696B"/>
      </patternFill>
    </fill>
    <fill>
      <patternFill patternType="solid">
        <fgColor rgb="0063BE7B"/>
        <bgColor rgb="0063BE7B"/>
      </patternFill>
    </fill>
    <fill>
      <patternFill patternType="solid">
        <fgColor rgb="00D9D9D9"/>
        <bgColor rgb="00D9D9D9"/>
      </patternFill>
    </fill>
    <fill>
      <patternFill patternType="solid">
        <fgColor rgb="00FFC000"/>
        <bgColor rgb="00FFC000"/>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0" fontId="3" fillId="0" borderId="0" pivotButton="0" quotePrefix="0" xfId="0"/>
    <xf numFmtId="1" fontId="3" fillId="4" borderId="0" pivotButton="0" quotePrefix="0" xfId="0"/>
    <xf numFmtId="2" fontId="3" fillId="4" borderId="0" pivotButton="0" quotePrefix="0" xfId="0"/>
    <xf numFmtId="2" fontId="3" fillId="5" borderId="1" applyAlignment="1" pivotButton="0" quotePrefix="0" xfId="0">
      <alignment horizontal="center"/>
    </xf>
    <xf numFmtId="2" fontId="3" fillId="6" borderId="1" applyAlignment="1" pivotButton="0" quotePrefix="0" xfId="0">
      <alignment horizontal="center"/>
    </xf>
    <xf numFmtId="0" fontId="2" fillId="7" borderId="1" pivotButton="0" quotePrefix="0" xfId="0"/>
    <xf numFmtId="2" fontId="3" fillId="7" borderId="1" applyAlignment="1" pivotButton="0" quotePrefix="0" xfId="0">
      <alignment horizontal="center"/>
    </xf>
    <xf numFmtId="2" fontId="3" fillId="8"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0" fontId="3" fillId="6" borderId="0" pivotButton="0" quotePrefix="0" xfId="0"/>
    <xf numFmtId="0" fontId="2" fillId="4" borderId="0" pivotButton="0" quotePrefix="0" xfId="0"/>
    <xf numFmtId="2" fontId="2" fillId="4" borderId="0" pivotButton="0" quotePrefix="0" xfId="0"/>
    <xf numFmtId="0" fontId="3"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Avg xG Delta (For) by Team</a:t>
            </a:r>
          </a:p>
        </rich>
      </tx>
    </title>
    <plotArea>
      <barChart>
        <barDir val="col"/>
        <grouping val="clustered"/>
        <ser>
          <idx val="0"/>
          <order val="0"/>
          <tx>
            <strRef>
              <f>'Overview'!E1</f>
            </strRef>
          </tx>
          <spPr>
            <a:ln xmlns:a="http://schemas.openxmlformats.org/drawingml/2006/main">
              <a:prstDash val="solid"/>
            </a:ln>
          </spPr>
          <cat>
            <numRef>
              <f>'Overview'!$A$2:$A$13</f>
            </numRef>
          </cat>
          <val>
            <numRef>
              <f>'Overview'!$E$2:$E$13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xG Delta</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Avg Supremacy Delta by Team</a:t>
            </a:r>
          </a:p>
        </rich>
      </tx>
    </title>
    <plotArea>
      <barChart>
        <barDir val="col"/>
        <grouping val="clustered"/>
        <ser>
          <idx val="0"/>
          <order val="0"/>
          <tx>
            <strRef>
              <f>'Overview'!M1</f>
            </strRef>
          </tx>
          <spPr>
            <a:ln xmlns:a="http://schemas.openxmlformats.org/drawingml/2006/main">
              <a:prstDash val="solid"/>
            </a:ln>
          </spPr>
          <cat>
            <numRef>
              <f>'Overview'!$A$2:$A$13</f>
            </numRef>
          </cat>
          <val>
            <numRef>
              <f>'Overview'!$M$2:$M$13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Supremacy Delta</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xPts: Actual vs Market</a:t>
            </a:r>
          </a:p>
        </rich>
      </tx>
    </title>
    <plotArea>
      <barChart>
        <barDir val="col"/>
        <grouping val="clustered"/>
        <ser>
          <idx val="0"/>
          <order val="0"/>
          <tx>
            <strRef>
              <f>'xPts Table'!D1</f>
            </strRef>
          </tx>
          <spPr>
            <a:ln xmlns:a="http://schemas.openxmlformats.org/drawingml/2006/main">
              <a:prstDash val="solid"/>
            </a:ln>
          </spPr>
          <cat>
            <numRef>
              <f>'xPts Table'!$B$2:$B$13</f>
            </numRef>
          </cat>
          <val>
            <numRef>
              <f>'xPts Table'!$D$2:$D$13</f>
            </numRef>
          </val>
        </ser>
        <ser>
          <idx val="1"/>
          <order val="1"/>
          <tx>
            <strRef>
              <f>'xPts Table'!E1</f>
            </strRef>
          </tx>
          <spPr>
            <a:ln xmlns:a="http://schemas.openxmlformats.org/drawingml/2006/main">
              <a:prstDash val="solid"/>
            </a:ln>
          </spPr>
          <cat>
            <numRef>
              <f>'xPts Table'!$B$2:$B$13</f>
            </numRef>
          </cat>
          <val>
            <numRef>
              <f>'xPts Table'!$E$2:$E$13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Aberdeen: goals for (above) and against (below) vs expected</a:t>
            </a:r>
          </a:p>
        </rich>
      </tx>
    </title>
    <plotArea>
      <barChart>
        <barDir val="col"/>
        <grouping val="clustered"/>
        <ser>
          <idx val="0"/>
          <order val="0"/>
          <tx>
            <strRef>
              <f>'Aberdeen'!AA10</f>
            </strRef>
          </tx>
          <spPr>
            <a:solidFill xmlns:a="http://schemas.openxmlformats.org/drawingml/2006/main">
              <a:srgbClr val="5B9BD5"/>
            </a:solidFill>
            <a:ln xmlns:a="http://schemas.openxmlformats.org/drawingml/2006/main">
              <a:prstDash val="solid"/>
            </a:ln>
          </spPr>
          <cat>
            <numRef>
              <f>'Aberdeen'!$Z$11:$Z$18</f>
            </numRef>
          </cat>
          <val>
            <numRef>
              <f>'Aberdeen'!$AA$11:$AA$18</f>
            </numRef>
          </val>
        </ser>
        <ser>
          <idx val="1"/>
          <order val="1"/>
          <tx>
            <strRef>
              <f>'Aberdeen'!AB10</f>
            </strRef>
          </tx>
          <spPr>
            <a:solidFill xmlns:a="http://schemas.openxmlformats.org/drawingml/2006/main">
              <a:srgbClr val="ED7D31"/>
            </a:solidFill>
            <a:ln xmlns:a="http://schemas.openxmlformats.org/drawingml/2006/main">
              <a:prstDash val="solid"/>
            </a:ln>
          </spPr>
          <cat>
            <numRef>
              <f>'Aberdeen'!$Z$11:$Z$18</f>
            </numRef>
          </cat>
          <val>
            <numRef>
              <f>'Aberdeen'!$AB$11:$AB$18</f>
            </numRef>
          </val>
        </ser>
        <gapWidth val="60"/>
        <overlap val="100"/>
        <axId val="10"/>
        <axId val="100"/>
      </barChart>
      <lineChart>
        <grouping val="standard"/>
        <ser>
          <idx val="2"/>
          <order val="2"/>
          <tx>
            <strRef>
              <f>'Aberdeen'!AC10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'Aberdeen'!$Z$11:$Z$18</f>
            </numRef>
          </cat>
          <val>
            <numRef>
              <f>'Aberdeen'!$AC$11:$AC$18</f>
            </numRef>
          </val>
          <smooth val="0"/>
        </ser>
        <ser>
          <idx val="3"/>
          <order val="3"/>
          <tx>
            <strRef>
              <f>'Aberdeen'!AD10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'Aberdeen'!$Z$11:$Z$18</f>
            </numRef>
          </cat>
          <val>
            <numRef>
              <f>'Aberdeen'!$AD$11:$AD$18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Celtic: goals for (above) and against (below) vs expected</a:t>
            </a:r>
          </a:p>
        </rich>
      </tx>
    </title>
    <plotArea>
      <barChart>
        <barDir val="col"/>
        <grouping val="clustered"/>
        <ser>
          <idx val="0"/>
          <order val="0"/>
          <tx>
            <strRef>
              <f>'Celtic'!AA10</f>
            </strRef>
          </tx>
          <spPr>
            <a:solidFill xmlns:a="http://schemas.openxmlformats.org/drawingml/2006/main">
              <a:srgbClr val="5B9BD5"/>
            </a:solidFill>
            <a:ln xmlns:a="http://schemas.openxmlformats.org/drawingml/2006/main">
              <a:prstDash val="solid"/>
            </a:ln>
          </spPr>
          <cat>
            <numRef>
              <f>'Celtic'!$Z$11:$Z$18</f>
            </numRef>
          </cat>
          <val>
            <numRef>
              <f>'Celtic'!$AA$11:$AA$18</f>
            </numRef>
          </val>
        </ser>
        <ser>
          <idx val="1"/>
          <order val="1"/>
          <tx>
            <strRef>
              <f>'Celtic'!AB10</f>
            </strRef>
          </tx>
          <spPr>
            <a:solidFill xmlns:a="http://schemas.openxmlformats.org/drawingml/2006/main">
              <a:srgbClr val="ED7D31"/>
            </a:solidFill>
            <a:ln xmlns:a="http://schemas.openxmlformats.org/drawingml/2006/main">
              <a:prstDash val="solid"/>
            </a:ln>
          </spPr>
          <cat>
            <numRef>
              <f>'Celtic'!$Z$11:$Z$18</f>
            </numRef>
          </cat>
          <val>
            <numRef>
              <f>'Celtic'!$AB$11:$AB$18</f>
            </numRef>
          </val>
        </ser>
        <gapWidth val="60"/>
        <overlap val="100"/>
        <axId val="10"/>
        <axId val="100"/>
      </barChart>
      <lineChart>
        <grouping val="standard"/>
        <ser>
          <idx val="2"/>
          <order val="2"/>
          <tx>
            <strRef>
              <f>'Celtic'!AC10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'Celtic'!$Z$11:$Z$18</f>
            </numRef>
          </cat>
          <val>
            <numRef>
              <f>'Celtic'!$AC$11:$AC$18</f>
            </numRef>
          </val>
          <smooth val="0"/>
        </ser>
        <ser>
          <idx val="3"/>
          <order val="3"/>
          <tx>
            <strRef>
              <f>'Celtic'!AD10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'Celtic'!$Z$11:$Z$18</f>
            </numRef>
          </cat>
          <val>
            <numRef>
              <f>'Celtic'!$AD$11:$AD$18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Dundee: goals for (above) and against (below) vs expected</a:t>
            </a:r>
          </a:p>
        </rich>
      </tx>
    </title>
    <plotArea>
      <barChart>
        <barDir val="col"/>
        <grouping val="clustered"/>
        <ser>
          <idx val="0"/>
          <order val="0"/>
          <tx>
            <strRef>
              <f>'Dundee'!AA10</f>
            </strRef>
          </tx>
          <spPr>
            <a:solidFill xmlns:a="http://schemas.openxmlformats.org/drawingml/2006/main">
              <a:srgbClr val="5B9BD5"/>
            </a:solidFill>
            <a:ln xmlns:a="http://schemas.openxmlformats.org/drawingml/2006/main">
              <a:prstDash val="solid"/>
            </a:ln>
          </spPr>
          <cat>
            <numRef>
              <f>'Dundee'!$Z$11:$Z$18</f>
            </numRef>
          </cat>
          <val>
            <numRef>
              <f>'Dundee'!$AA$11:$AA$18</f>
            </numRef>
          </val>
        </ser>
        <ser>
          <idx val="1"/>
          <order val="1"/>
          <tx>
            <strRef>
              <f>'Dundee'!AB10</f>
            </strRef>
          </tx>
          <spPr>
            <a:solidFill xmlns:a="http://schemas.openxmlformats.org/drawingml/2006/main">
              <a:srgbClr val="ED7D31"/>
            </a:solidFill>
            <a:ln xmlns:a="http://schemas.openxmlformats.org/drawingml/2006/main">
              <a:prstDash val="solid"/>
            </a:ln>
          </spPr>
          <cat>
            <numRef>
              <f>'Dundee'!$Z$11:$Z$18</f>
            </numRef>
          </cat>
          <val>
            <numRef>
              <f>'Dundee'!$AB$11:$AB$18</f>
            </numRef>
          </val>
        </ser>
        <gapWidth val="60"/>
        <overlap val="100"/>
        <axId val="10"/>
        <axId val="100"/>
      </barChart>
      <lineChart>
        <grouping val="standard"/>
        <ser>
          <idx val="2"/>
          <order val="2"/>
          <tx>
            <strRef>
              <f>'Dundee'!AC10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'Dundee'!$Z$11:$Z$18</f>
            </numRef>
          </cat>
          <val>
            <numRef>
              <f>'Dundee'!$AC$11:$AC$18</f>
            </numRef>
          </val>
          <smooth val="0"/>
        </ser>
        <ser>
          <idx val="3"/>
          <order val="3"/>
          <tx>
            <strRef>
              <f>'Dundee'!AD10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'Dundee'!$Z$11:$Z$18</f>
            </numRef>
          </cat>
          <val>
            <numRef>
              <f>'Dundee'!$AD$11:$AD$18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Dundee United: goals for (above) and against (below) vs expected</a:t>
            </a:r>
          </a:p>
        </rich>
      </tx>
    </title>
    <plotArea>
      <barChart>
        <barDir val="col"/>
        <grouping val="clustered"/>
        <ser>
          <idx val="0"/>
          <order val="0"/>
          <tx>
            <strRef>
              <f>'Dundee United'!AA10</f>
            </strRef>
          </tx>
          <spPr>
            <a:solidFill xmlns:a="http://schemas.openxmlformats.org/drawingml/2006/main">
              <a:srgbClr val="5B9BD5"/>
            </a:solidFill>
            <a:ln xmlns:a="http://schemas.openxmlformats.org/drawingml/2006/main">
              <a:prstDash val="solid"/>
            </a:ln>
          </spPr>
          <cat>
            <numRef>
              <f>'Dundee United'!$Z$11:$Z$18</f>
            </numRef>
          </cat>
          <val>
            <numRef>
              <f>'Dundee United'!$AA$11:$AA$18</f>
            </numRef>
          </val>
        </ser>
        <ser>
          <idx val="1"/>
          <order val="1"/>
          <tx>
            <strRef>
              <f>'Dundee United'!AB10</f>
            </strRef>
          </tx>
          <spPr>
            <a:solidFill xmlns:a="http://schemas.openxmlformats.org/drawingml/2006/main">
              <a:srgbClr val="ED7D31"/>
            </a:solidFill>
            <a:ln xmlns:a="http://schemas.openxmlformats.org/drawingml/2006/main">
              <a:prstDash val="solid"/>
            </a:ln>
          </spPr>
          <cat>
            <numRef>
              <f>'Dundee United'!$Z$11:$Z$18</f>
            </numRef>
          </cat>
          <val>
            <numRef>
              <f>'Dundee United'!$AB$11:$AB$18</f>
            </numRef>
          </val>
        </ser>
        <gapWidth val="60"/>
        <overlap val="100"/>
        <axId val="10"/>
        <axId val="100"/>
      </barChart>
      <lineChart>
        <grouping val="standard"/>
        <ser>
          <idx val="2"/>
          <order val="2"/>
          <tx>
            <strRef>
              <f>'Dundee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'Dundee United'!$Z$11:$Z$18</f>
            </numRef>
          </cat>
          <val>
            <numRef>
              <f>'Dundee United'!$AC$11:$AC$18</f>
            </numRef>
          </val>
          <smooth val="0"/>
        </ser>
        <ser>
          <idx val="3"/>
          <order val="3"/>
          <tx>
            <strRef>
              <f>'Dundee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'Dundee United'!$Z$11:$Z$18</f>
            </numRef>
          </cat>
          <val>
            <numRef>
              <f>'Dundee United'!$AD$11:$AD$18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Falkirk: goals for (above) and against (below) vs expected</a:t>
            </a:r>
          </a:p>
        </rich>
      </tx>
    </title>
    <plotArea>
      <barChart>
        <barDir val="col"/>
        <grouping val="clustered"/>
        <ser>
          <idx val="0"/>
          <order val="0"/>
          <tx>
            <strRef>
              <f>'Falkirk'!AA10</f>
            </strRef>
          </tx>
          <spPr>
            <a:solidFill xmlns:a="http://schemas.openxmlformats.org/drawingml/2006/main">
              <a:srgbClr val="5B9BD5"/>
            </a:solidFill>
            <a:ln xmlns:a="http://schemas.openxmlformats.org/drawingml/2006/main">
              <a:prstDash val="solid"/>
            </a:ln>
          </spPr>
          <cat>
            <numRef>
              <f>'Falkirk'!$Z$11:$Z$18</f>
            </numRef>
          </cat>
          <val>
            <numRef>
              <f>'Falkirk'!$AA$11:$AA$18</f>
            </numRef>
          </val>
        </ser>
        <ser>
          <idx val="1"/>
          <order val="1"/>
          <tx>
            <strRef>
              <f>'Falkirk'!AB10</f>
            </strRef>
          </tx>
          <spPr>
            <a:solidFill xmlns:a="http://schemas.openxmlformats.org/drawingml/2006/main">
              <a:srgbClr val="ED7D31"/>
            </a:solidFill>
            <a:ln xmlns:a="http://schemas.openxmlformats.org/drawingml/2006/main">
              <a:prstDash val="solid"/>
            </a:ln>
          </spPr>
          <cat>
            <numRef>
              <f>'Falkirk'!$Z$11:$Z$18</f>
            </numRef>
          </cat>
          <val>
            <numRef>
              <f>'Falkirk'!$AB$11:$AB$18</f>
            </numRef>
          </val>
        </ser>
        <gapWidth val="60"/>
        <overlap val="100"/>
        <axId val="10"/>
        <axId val="100"/>
      </barChart>
      <lineChart>
        <grouping val="standard"/>
        <ser>
          <idx val="2"/>
          <order val="2"/>
          <tx>
            <strRef>
              <f>'Falkirk'!AC10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'Falkirk'!$Z$11:$Z$18</f>
            </numRef>
          </cat>
          <val>
            <numRef>
              <f>'Falkirk'!$AC$11:$AC$18</f>
            </numRef>
          </val>
          <smooth val="0"/>
        </ser>
        <ser>
          <idx val="3"/>
          <order val="3"/>
          <tx>
            <strRef>
              <f>'Falkirk'!AD10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'Falkirk'!$Z$11:$Z$18</f>
            </numRef>
          </cat>
          <val>
            <numRef>
              <f>'Falkirk'!$AD$11:$AD$18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Heart of Midlothian: goals for (above) and against (below) vs expected</a:t>
            </a:r>
          </a:p>
        </rich>
      </tx>
    </title>
    <plotArea>
      <barChart>
        <barDir val="col"/>
        <grouping val="clustered"/>
        <ser>
          <idx val="0"/>
          <order val="0"/>
          <tx>
            <strRef>
              <f>'Heart of Midlothian'!AA10</f>
            </strRef>
          </tx>
          <spPr>
            <a:solidFill xmlns:a="http://schemas.openxmlformats.org/drawingml/2006/main">
              <a:srgbClr val="5B9BD5"/>
            </a:solidFill>
            <a:ln xmlns:a="http://schemas.openxmlformats.org/drawingml/2006/main">
              <a:prstDash val="solid"/>
            </a:ln>
          </spPr>
          <cat>
            <numRef>
              <f>'Heart of Midlothian'!$Z$11:$Z$18</f>
            </numRef>
          </cat>
          <val>
            <numRef>
              <f>'Heart of Midlothian'!$AA$11:$AA$18</f>
            </numRef>
          </val>
        </ser>
        <ser>
          <idx val="1"/>
          <order val="1"/>
          <tx>
            <strRef>
              <f>'Heart of Midlothian'!AB10</f>
            </strRef>
          </tx>
          <spPr>
            <a:solidFill xmlns:a="http://schemas.openxmlformats.org/drawingml/2006/main">
              <a:srgbClr val="ED7D31"/>
            </a:solidFill>
            <a:ln xmlns:a="http://schemas.openxmlformats.org/drawingml/2006/main">
              <a:prstDash val="solid"/>
            </a:ln>
          </spPr>
          <cat>
            <numRef>
              <f>'Heart of Midlothian'!$Z$11:$Z$18</f>
            </numRef>
          </cat>
          <val>
            <numRef>
              <f>'Heart of Midlothian'!$AB$11:$AB$18</f>
            </numRef>
          </val>
        </ser>
        <gapWidth val="60"/>
        <overlap val="100"/>
        <axId val="10"/>
        <axId val="100"/>
      </barChart>
      <lineChart>
        <grouping val="standard"/>
        <ser>
          <idx val="2"/>
          <order val="2"/>
          <tx>
            <strRef>
              <f>'Heart of Midlothian'!AC10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'Heart of Midlothian'!$Z$11:$Z$18</f>
            </numRef>
          </cat>
          <val>
            <numRef>
              <f>'Heart of Midlothian'!$AC$11:$AC$18</f>
            </numRef>
          </val>
          <smooth val="0"/>
        </ser>
        <ser>
          <idx val="3"/>
          <order val="3"/>
          <tx>
            <strRef>
              <f>'Heart of Midlothian'!AD10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'Heart of Midlothian'!$Z$11:$Z$18</f>
            </numRef>
          </cat>
          <val>
            <numRef>
              <f>'Heart of Midlothian'!$AD$11:$AD$18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Hibernian: goals for (above) and against (below) vs expected</a:t>
            </a:r>
          </a:p>
        </rich>
      </tx>
    </title>
    <plotArea>
      <barChart>
        <barDir val="col"/>
        <grouping val="clustered"/>
        <ser>
          <idx val="0"/>
          <order val="0"/>
          <tx>
            <strRef>
              <f>'Hibernian'!AA10</f>
            </strRef>
          </tx>
          <spPr>
            <a:solidFill xmlns:a="http://schemas.openxmlformats.org/drawingml/2006/main">
              <a:srgbClr val="5B9BD5"/>
            </a:solidFill>
            <a:ln xmlns:a="http://schemas.openxmlformats.org/drawingml/2006/main">
              <a:prstDash val="solid"/>
            </a:ln>
          </spPr>
          <cat>
            <numRef>
              <f>'Hibernian'!$Z$11:$Z$18</f>
            </numRef>
          </cat>
          <val>
            <numRef>
              <f>'Hibernian'!$AA$11:$AA$18</f>
            </numRef>
          </val>
        </ser>
        <ser>
          <idx val="1"/>
          <order val="1"/>
          <tx>
            <strRef>
              <f>'Hibernian'!AB10</f>
            </strRef>
          </tx>
          <spPr>
            <a:solidFill xmlns:a="http://schemas.openxmlformats.org/drawingml/2006/main">
              <a:srgbClr val="ED7D31"/>
            </a:solidFill>
            <a:ln xmlns:a="http://schemas.openxmlformats.org/drawingml/2006/main">
              <a:prstDash val="solid"/>
            </a:ln>
          </spPr>
          <cat>
            <numRef>
              <f>'Hibernian'!$Z$11:$Z$18</f>
            </numRef>
          </cat>
          <val>
            <numRef>
              <f>'Hibernian'!$AB$11:$AB$18</f>
            </numRef>
          </val>
        </ser>
        <gapWidth val="60"/>
        <overlap val="100"/>
        <axId val="10"/>
        <axId val="100"/>
      </barChart>
      <lineChart>
        <grouping val="standard"/>
        <ser>
          <idx val="2"/>
          <order val="2"/>
          <tx>
            <strRef>
              <f>'Hibernian'!AC10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'Hibernian'!$Z$11:$Z$18</f>
            </numRef>
          </cat>
          <val>
            <numRef>
              <f>'Hibernian'!$AC$11:$AC$18</f>
            </numRef>
          </val>
          <smooth val="0"/>
        </ser>
        <ser>
          <idx val="3"/>
          <order val="3"/>
          <tx>
            <strRef>
              <f>'Hibernian'!AD10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'Hibernian'!$Z$11:$Z$18</f>
            </numRef>
          </cat>
          <val>
            <numRef>
              <f>'Hibernian'!$AD$11:$AD$18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Kilmarnock: goals for (above) and against (below) vs expected</a:t>
            </a:r>
          </a:p>
        </rich>
      </tx>
    </title>
    <plotArea>
      <barChart>
        <barDir val="col"/>
        <grouping val="clustered"/>
        <ser>
          <idx val="0"/>
          <order val="0"/>
          <tx>
            <strRef>
              <f>'Kilmarnock'!AA10</f>
            </strRef>
          </tx>
          <spPr>
            <a:solidFill xmlns:a="http://schemas.openxmlformats.org/drawingml/2006/main">
              <a:srgbClr val="5B9BD5"/>
            </a:solidFill>
            <a:ln xmlns:a="http://schemas.openxmlformats.org/drawingml/2006/main">
              <a:prstDash val="solid"/>
            </a:ln>
          </spPr>
          <cat>
            <numRef>
              <f>'Kilmarnock'!$Z$11:$Z$18</f>
            </numRef>
          </cat>
          <val>
            <numRef>
              <f>'Kilmarnock'!$AA$11:$AA$18</f>
            </numRef>
          </val>
        </ser>
        <ser>
          <idx val="1"/>
          <order val="1"/>
          <tx>
            <strRef>
              <f>'Kilmarnock'!AB10</f>
            </strRef>
          </tx>
          <spPr>
            <a:solidFill xmlns:a="http://schemas.openxmlformats.org/drawingml/2006/main">
              <a:srgbClr val="ED7D31"/>
            </a:solidFill>
            <a:ln xmlns:a="http://schemas.openxmlformats.org/drawingml/2006/main">
              <a:prstDash val="solid"/>
            </a:ln>
          </spPr>
          <cat>
            <numRef>
              <f>'Kilmarnock'!$Z$11:$Z$18</f>
            </numRef>
          </cat>
          <val>
            <numRef>
              <f>'Kilmarnock'!$AB$11:$AB$18</f>
            </numRef>
          </val>
        </ser>
        <gapWidth val="60"/>
        <overlap val="100"/>
        <axId val="10"/>
        <axId val="100"/>
      </barChart>
      <lineChart>
        <grouping val="standard"/>
        <ser>
          <idx val="2"/>
          <order val="2"/>
          <tx>
            <strRef>
              <f>'Kilmarnock'!AC10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'Kilmarnock'!$Z$11:$Z$18</f>
            </numRef>
          </cat>
          <val>
            <numRef>
              <f>'Kilmarnock'!$AC$11:$AC$18</f>
            </numRef>
          </val>
          <smooth val="0"/>
        </ser>
        <ser>
          <idx val="3"/>
          <order val="3"/>
          <tx>
            <strRef>
              <f>'Kilmarnock'!AD10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'Kilmarnock'!$Z$11:$Z$18</f>
            </numRef>
          </cat>
          <val>
            <numRef>
              <f>'Kilmarnock'!$AD$11:$AD$18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Motherwell: goals for (above) and against (below) vs expected</a:t>
            </a:r>
          </a:p>
        </rich>
      </tx>
    </title>
    <plotArea>
      <barChart>
        <barDir val="col"/>
        <grouping val="clustered"/>
        <ser>
          <idx val="0"/>
          <order val="0"/>
          <tx>
            <strRef>
              <f>'Motherwell'!AA10</f>
            </strRef>
          </tx>
          <spPr>
            <a:solidFill xmlns:a="http://schemas.openxmlformats.org/drawingml/2006/main">
              <a:srgbClr val="5B9BD5"/>
            </a:solidFill>
            <a:ln xmlns:a="http://schemas.openxmlformats.org/drawingml/2006/main">
              <a:prstDash val="solid"/>
            </a:ln>
          </spPr>
          <cat>
            <numRef>
              <f>'Motherwell'!$Z$11:$Z$18</f>
            </numRef>
          </cat>
          <val>
            <numRef>
              <f>'Motherwell'!$AA$11:$AA$18</f>
            </numRef>
          </val>
        </ser>
        <ser>
          <idx val="1"/>
          <order val="1"/>
          <tx>
            <strRef>
              <f>'Motherwell'!AB10</f>
            </strRef>
          </tx>
          <spPr>
            <a:solidFill xmlns:a="http://schemas.openxmlformats.org/drawingml/2006/main">
              <a:srgbClr val="ED7D31"/>
            </a:solidFill>
            <a:ln xmlns:a="http://schemas.openxmlformats.org/drawingml/2006/main">
              <a:prstDash val="solid"/>
            </a:ln>
          </spPr>
          <cat>
            <numRef>
              <f>'Motherwell'!$Z$11:$Z$18</f>
            </numRef>
          </cat>
          <val>
            <numRef>
              <f>'Motherwell'!$AB$11:$AB$18</f>
            </numRef>
          </val>
        </ser>
        <gapWidth val="60"/>
        <overlap val="100"/>
        <axId val="10"/>
        <axId val="100"/>
      </barChart>
      <lineChart>
        <grouping val="standard"/>
        <ser>
          <idx val="2"/>
          <order val="2"/>
          <tx>
            <strRef>
              <f>'Motherwell'!AC10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'Motherwell'!$Z$11:$Z$18</f>
            </numRef>
          </cat>
          <val>
            <numRef>
              <f>'Motherwell'!$AC$11:$AC$18</f>
            </numRef>
          </val>
          <smooth val="0"/>
        </ser>
        <ser>
          <idx val="3"/>
          <order val="3"/>
          <tx>
            <strRef>
              <f>'Motherwell'!AD10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'Motherwell'!$Z$11:$Z$18</f>
            </numRef>
          </cat>
          <val>
            <numRef>
              <f>'Motherwell'!$AD$11:$AD$18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Rangers: goals for (above) and against (below) vs expected</a:t>
            </a:r>
          </a:p>
        </rich>
      </tx>
    </title>
    <plotArea>
      <barChart>
        <barDir val="col"/>
        <grouping val="clustered"/>
        <ser>
          <idx val="0"/>
          <order val="0"/>
          <tx>
            <strRef>
              <f>'Rangers'!AA10</f>
            </strRef>
          </tx>
          <spPr>
            <a:solidFill xmlns:a="http://schemas.openxmlformats.org/drawingml/2006/main">
              <a:srgbClr val="5B9BD5"/>
            </a:solidFill>
            <a:ln xmlns:a="http://schemas.openxmlformats.org/drawingml/2006/main">
              <a:prstDash val="solid"/>
            </a:ln>
          </spPr>
          <cat>
            <numRef>
              <f>'Rangers'!$Z$11:$Z$18</f>
            </numRef>
          </cat>
          <val>
            <numRef>
              <f>'Rangers'!$AA$11:$AA$18</f>
            </numRef>
          </val>
        </ser>
        <ser>
          <idx val="1"/>
          <order val="1"/>
          <tx>
            <strRef>
              <f>'Rangers'!AB10</f>
            </strRef>
          </tx>
          <spPr>
            <a:solidFill xmlns:a="http://schemas.openxmlformats.org/drawingml/2006/main">
              <a:srgbClr val="ED7D31"/>
            </a:solidFill>
            <a:ln xmlns:a="http://schemas.openxmlformats.org/drawingml/2006/main">
              <a:prstDash val="solid"/>
            </a:ln>
          </spPr>
          <cat>
            <numRef>
              <f>'Rangers'!$Z$11:$Z$18</f>
            </numRef>
          </cat>
          <val>
            <numRef>
              <f>'Rangers'!$AB$11:$AB$18</f>
            </numRef>
          </val>
        </ser>
        <gapWidth val="60"/>
        <overlap val="100"/>
        <axId val="10"/>
        <axId val="100"/>
      </barChart>
      <lineChart>
        <grouping val="standard"/>
        <ser>
          <idx val="2"/>
          <order val="2"/>
          <tx>
            <strRef>
              <f>'Rangers'!AC10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'Rangers'!$Z$11:$Z$18</f>
            </numRef>
          </cat>
          <val>
            <numRef>
              <f>'Rangers'!$AC$11:$AC$18</f>
            </numRef>
          </val>
          <smooth val="0"/>
        </ser>
        <ser>
          <idx val="3"/>
          <order val="3"/>
          <tx>
            <strRef>
              <f>'Rangers'!AD10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'Rangers'!$Z$11:$Z$18</f>
            </numRef>
          </cat>
          <val>
            <numRef>
              <f>'Rangers'!$AD$11:$AD$18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St Johnstone: goals for (above) and against (below) vs expected</a:t>
            </a:r>
          </a:p>
        </rich>
      </tx>
    </title>
    <plotArea>
      <barChart>
        <barDir val="col"/>
        <grouping val="clustered"/>
        <ser>
          <idx val="0"/>
          <order val="0"/>
          <tx>
            <strRef>
              <f>'St Johnstone'!AA10</f>
            </strRef>
          </tx>
          <spPr>
            <a:solidFill xmlns:a="http://schemas.openxmlformats.org/drawingml/2006/main">
              <a:srgbClr val="5B9BD5"/>
            </a:solidFill>
            <a:ln xmlns:a="http://schemas.openxmlformats.org/drawingml/2006/main">
              <a:prstDash val="solid"/>
            </a:ln>
          </spPr>
          <cat>
            <numRef>
              <f>'St Johnstone'!$Z$11:$Z$18</f>
            </numRef>
          </cat>
          <val>
            <numRef>
              <f>'St Johnstone'!$AA$11:$AA$18</f>
            </numRef>
          </val>
        </ser>
        <ser>
          <idx val="1"/>
          <order val="1"/>
          <tx>
            <strRef>
              <f>'St Johnstone'!AB10</f>
            </strRef>
          </tx>
          <spPr>
            <a:solidFill xmlns:a="http://schemas.openxmlformats.org/drawingml/2006/main">
              <a:srgbClr val="ED7D31"/>
            </a:solidFill>
            <a:ln xmlns:a="http://schemas.openxmlformats.org/drawingml/2006/main">
              <a:prstDash val="solid"/>
            </a:ln>
          </spPr>
          <cat>
            <numRef>
              <f>'St Johnstone'!$Z$11:$Z$18</f>
            </numRef>
          </cat>
          <val>
            <numRef>
              <f>'St Johnstone'!$AB$11:$AB$18</f>
            </numRef>
          </val>
        </ser>
        <gapWidth val="60"/>
        <overlap val="100"/>
        <axId val="10"/>
        <axId val="100"/>
      </barChart>
      <lineChart>
        <grouping val="standard"/>
        <ser>
          <idx val="2"/>
          <order val="2"/>
          <tx>
            <strRef>
              <f>'St Johnstone'!AC10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'St Johnstone'!$Z$11:$Z$18</f>
            </numRef>
          </cat>
          <val>
            <numRef>
              <f>'St Johnstone'!$AC$11:$AC$18</f>
            </numRef>
          </val>
          <smooth val="0"/>
        </ser>
        <ser>
          <idx val="3"/>
          <order val="3"/>
          <tx>
            <strRef>
              <f>'St Johnstone'!AD10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'St Johnstone'!$Z$11:$Z$18</f>
            </numRef>
          </cat>
          <val>
            <numRef>
              <f>'St Johnstone'!$AD$11:$AD$18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St Mirren: goals for (above) and against (below) vs expected</a:t>
            </a:r>
          </a:p>
        </rich>
      </tx>
    </title>
    <plotArea>
      <barChart>
        <barDir val="col"/>
        <grouping val="clustered"/>
        <ser>
          <idx val="0"/>
          <order val="0"/>
          <tx>
            <strRef>
              <f>'St Mirren'!AA10</f>
            </strRef>
          </tx>
          <spPr>
            <a:solidFill xmlns:a="http://schemas.openxmlformats.org/drawingml/2006/main">
              <a:srgbClr val="5B9BD5"/>
            </a:solidFill>
            <a:ln xmlns:a="http://schemas.openxmlformats.org/drawingml/2006/main">
              <a:prstDash val="solid"/>
            </a:ln>
          </spPr>
          <cat>
            <numRef>
              <f>'St Mirren'!$Z$11:$Z$18</f>
            </numRef>
          </cat>
          <val>
            <numRef>
              <f>'St Mirren'!$AA$11:$AA$18</f>
            </numRef>
          </val>
        </ser>
        <ser>
          <idx val="1"/>
          <order val="1"/>
          <tx>
            <strRef>
              <f>'St Mirren'!AB10</f>
            </strRef>
          </tx>
          <spPr>
            <a:solidFill xmlns:a="http://schemas.openxmlformats.org/drawingml/2006/main">
              <a:srgbClr val="ED7D31"/>
            </a:solidFill>
            <a:ln xmlns:a="http://schemas.openxmlformats.org/drawingml/2006/main">
              <a:prstDash val="solid"/>
            </a:ln>
          </spPr>
          <cat>
            <numRef>
              <f>'St Mirren'!$Z$11:$Z$18</f>
            </numRef>
          </cat>
          <val>
            <numRef>
              <f>'St Mirren'!$AB$11:$AB$18</f>
            </numRef>
          </val>
        </ser>
        <gapWidth val="60"/>
        <overlap val="100"/>
        <axId val="10"/>
        <axId val="100"/>
      </barChart>
      <lineChart>
        <grouping val="standard"/>
        <ser>
          <idx val="2"/>
          <order val="2"/>
          <tx>
            <strRef>
              <f>'St Mirren'!AC10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'St Mirren'!$Z$11:$Z$18</f>
            </numRef>
          </cat>
          <val>
            <numRef>
              <f>'St Mirren'!$AC$11:$AC$18</f>
            </numRef>
          </val>
          <smooth val="0"/>
        </ser>
        <ser>
          <idx val="3"/>
          <order val="3"/>
          <tx>
            <strRef>
              <f>'St Mirren'!AD10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'St Mirren'!$Z$11:$Z$18</f>
            </numRef>
          </cat>
          <val>
            <numRef>
              <f>'St Mirren'!$AD$11:$AD$18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_rels/drawing5.xml.rels><Relationships xmlns="http://schemas.openxmlformats.org/package/2006/relationships"><Relationship Type="http://schemas.openxmlformats.org/officeDocument/2006/relationships/chart" Target="/xl/charts/chart7.xml" Id="rId1"/></Relationships>
</file>

<file path=xl/drawings/_rels/drawing6.xml.rels><Relationships xmlns="http://schemas.openxmlformats.org/package/2006/relationships"><Relationship Type="http://schemas.openxmlformats.org/officeDocument/2006/relationships/chart" Target="/xl/charts/chart8.xml" Id="rId1"/></Relationships>
</file>

<file path=xl/drawings/_rels/drawing7.xml.rels><Relationships xmlns="http://schemas.openxmlformats.org/package/2006/relationships"><Relationship Type="http://schemas.openxmlformats.org/officeDocument/2006/relationships/chart" Target="/xl/charts/chart9.xml" Id="rId1"/></Relationships>
</file>

<file path=xl/drawings/_rels/drawing8.xml.rels><Relationships xmlns="http://schemas.openxmlformats.org/package/2006/relationships"><Relationship Type="http://schemas.openxmlformats.org/officeDocument/2006/relationships/chart" Target="/xl/charts/chart10.xml" Id="rId1"/></Relationships>
</file>

<file path=xl/drawings/_rels/drawing9.xml.rels><Relationships xmlns="http://schemas.openxmlformats.org/package/2006/relationships"><Relationship Type="http://schemas.openxmlformats.org/officeDocument/2006/relationships/chart" Target="/xl/charts/chart11.xml" Id="rId1"/></Relationships>
</file>

<file path=xl/drawings/_rels/drawing10.xml.rels><Relationships xmlns="http://schemas.openxmlformats.org/package/2006/relationships"><Relationship Type="http://schemas.openxmlformats.org/officeDocument/2006/relationships/chart" Target="/xl/charts/chart12.xml" Id="rId1"/></Relationships>
</file>

<file path=xl/drawings/_rels/drawing11.xml.rels><Relationships xmlns="http://schemas.openxmlformats.org/package/2006/relationships"><Relationship Type="http://schemas.openxmlformats.org/officeDocument/2006/relationships/chart" Target="/xl/charts/chart13.xml" Id="rId1"/></Relationships>
</file>

<file path=xl/drawings/_rels/drawing12.xml.rels><Relationships xmlns="http://schemas.openxmlformats.org/package/2006/relationships"><Relationship Type="http://schemas.openxmlformats.org/officeDocument/2006/relationships/chart" Target="/xl/charts/chart14.xml" Id="rId1"/></Relationships>
</file>

<file path=xl/drawings/_rels/drawing13.xml.rels><Relationships xmlns="http://schemas.openxmlformats.org/package/2006/relationships"><Relationship Type="http://schemas.openxmlformats.org/officeDocument/2006/relationships/chart" Target="/xl/charts/chart15.xml" Id="rId1"/></Relationships>
</file>

<file path=xl/drawings/drawing1.xml><?xml version="1.0" encoding="utf-8"?>
<wsDr xmlns="http://schemas.openxmlformats.org/drawingml/2006/spreadsheetDrawing">
  <oneCellAnchor>
    <from>
      <col>0</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45</row>
      <rowOff>0</rowOff>
    </from>
    <ext cx="79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17.xml.rels><Relationships xmlns="http://schemas.openxmlformats.org/package/2006/relationships"><Relationship Type="http://schemas.openxmlformats.org/officeDocument/2006/relationships/drawing" Target="/xl/drawings/drawing4.xml" Id="rId1"/></Relationships>
</file>

<file path=xl/worksheets/_rels/sheet18.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_rels/sheet22.xml.rels><Relationships xmlns="http://schemas.openxmlformats.org/package/2006/relationships"><Relationship Type="http://schemas.openxmlformats.org/officeDocument/2006/relationships/drawing" Target="/xl/drawings/drawing9.xml" Id="rId1"/></Relationships>
</file>

<file path=xl/worksheets/_rels/sheet23.xml.rels><Relationships xmlns="http://schemas.openxmlformats.org/package/2006/relationships"><Relationship Type="http://schemas.openxmlformats.org/officeDocument/2006/relationships/drawing" Target="/xl/drawings/drawing10.xml" Id="rId1"/></Relationships>
</file>

<file path=xl/worksheets/_rels/sheet24.xml.rels><Relationships xmlns="http://schemas.openxmlformats.org/package/2006/relationships"><Relationship Type="http://schemas.openxmlformats.org/officeDocument/2006/relationships/drawing" Target="/xl/drawings/drawing11.xml" Id="rId1"/></Relationships>
</file>

<file path=xl/worksheets/_rels/sheet25.xml.rels><Relationships xmlns="http://schemas.openxmlformats.org/package/2006/relationships"><Relationship Type="http://schemas.openxmlformats.org/officeDocument/2006/relationships/drawing" Target="/xl/drawings/drawing12.xml" Id="rId1"/></Relationships>
</file>

<file path=xl/worksheets/_rels/sheet26.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Celtic</t>
        </is>
      </c>
      <c r="C2" s="6">
        <f>COUNTIF('Results Data'!$B$2:$B$49,$B2)+COUNTIF('Results Data'!$C$2:$C$49,$B2)</f>
        <v/>
      </c>
      <c r="D2" s="6">
        <f>SUMPRODUCT(('Results Data'!$B$2:$B$49=$B2)*('Results Data'!$D$2:$D$49&gt;'Results Data'!$E$2:$E$49))+SUMPRODUCT(('Results Data'!$C$2:$C$49=$B2)*('Results Data'!$E$2:$E$49&gt;'Results Data'!$D$2:$D$49))</f>
        <v/>
      </c>
      <c r="E2" s="6">
        <f>SUMPRODUCT(('Results Data'!$B$2:$B$49=$B2)*('Results Data'!$D$2:$D$49='Results Data'!$E$2:$E$49))+SUMPRODUCT(('Results Data'!$C$2:$C$49=$B2)*('Results Data'!$E$2:$E$49='Results Data'!$D$2:$D$49))</f>
        <v/>
      </c>
      <c r="F2" s="6">
        <f>C2-D2-E2</f>
        <v/>
      </c>
      <c r="G2" s="6">
        <f>SUMIF('Results Data'!$B$2:$B$49,$B2,'Results Data'!$D$2:$D$49)+SUMIF('Results Data'!$C$2:$C$49,$B2,'Results Data'!$E$2:$E$49)</f>
        <v/>
      </c>
      <c r="H2" s="6">
        <f>SUMIF('Results Data'!$B$2:$B$49,$B2,'Results Data'!$E$2:$E$49)+SUMIF('Results Data'!$C$2:$C$49,$B2,'Results Data'!$D$2:$D$49)</f>
        <v/>
      </c>
      <c r="I2" s="6">
        <f>G2-H2</f>
        <v/>
      </c>
      <c r="J2" s="6">
        <f>D2*3+E2</f>
        <v/>
      </c>
    </row>
    <row r="3">
      <c r="A3" s="7">
        <f>ROW()-1</f>
        <v/>
      </c>
      <c r="B3" s="8" t="inlineStr">
        <is>
          <t>Rangers</t>
        </is>
      </c>
      <c r="C3" s="8">
        <f>COUNTIF('Results Data'!$B$2:$B$49,$B3)+COUNTIF('Results Data'!$C$2:$C$49,$B3)</f>
        <v/>
      </c>
      <c r="D3" s="8">
        <f>SUMPRODUCT(('Results Data'!$B$2:$B$49=$B3)*('Results Data'!$D$2:$D$49&gt;'Results Data'!$E$2:$E$49))+SUMPRODUCT(('Results Data'!$C$2:$C$49=$B3)*('Results Data'!$E$2:$E$49&gt;'Results Data'!$D$2:$D$49))</f>
        <v/>
      </c>
      <c r="E3" s="8">
        <f>SUMPRODUCT(('Results Data'!$B$2:$B$49=$B3)*('Results Data'!$D$2:$D$49='Results Data'!$E$2:$E$49))+SUMPRODUCT(('Results Data'!$C$2:$C$49=$B3)*('Results Data'!$E$2:$E$49='Results Data'!$D$2:$D$49))</f>
        <v/>
      </c>
      <c r="F3" s="8">
        <f>C3-D3-E3</f>
        <v/>
      </c>
      <c r="G3" s="8">
        <f>SUMIF('Results Data'!$B$2:$B$49,$B3,'Results Data'!$D$2:$D$49)+SUMIF('Results Data'!$C$2:$C$49,$B3,'Results Data'!$E$2:$E$49)</f>
        <v/>
      </c>
      <c r="H3" s="8">
        <f>SUMIF('Results Data'!$B$2:$B$49,$B3,'Results Data'!$E$2:$E$49)+SUMIF('Results Data'!$C$2:$C$49,$B3,'Results Data'!$D$2:$D$49)</f>
        <v/>
      </c>
      <c r="I3" s="8">
        <f>G3-H3</f>
        <v/>
      </c>
      <c r="J3" s="8">
        <f>D3*3+E3</f>
        <v/>
      </c>
    </row>
    <row r="4">
      <c r="A4" s="5">
        <f>ROW()-1</f>
        <v/>
      </c>
      <c r="B4" s="6" t="inlineStr">
        <is>
          <t>Heart of Midlothian</t>
        </is>
      </c>
      <c r="C4" s="6">
        <f>COUNTIF('Results Data'!$B$2:$B$49,$B4)+COUNTIF('Results Data'!$C$2:$C$49,$B4)</f>
        <v/>
      </c>
      <c r="D4" s="6">
        <f>SUMPRODUCT(('Results Data'!$B$2:$B$49=$B4)*('Results Data'!$D$2:$D$49&gt;'Results Data'!$E$2:$E$49))+SUMPRODUCT(('Results Data'!$C$2:$C$49=$B4)*('Results Data'!$E$2:$E$49&gt;'Results Data'!$D$2:$D$49))</f>
        <v/>
      </c>
      <c r="E4" s="6">
        <f>SUMPRODUCT(('Results Data'!$B$2:$B$49=$B4)*('Results Data'!$D$2:$D$49='Results Data'!$E$2:$E$49))+SUMPRODUCT(('Results Data'!$C$2:$C$49=$B4)*('Results Data'!$E$2:$E$49='Results Data'!$D$2:$D$49))</f>
        <v/>
      </c>
      <c r="F4" s="6">
        <f>C4-D4-E4</f>
        <v/>
      </c>
      <c r="G4" s="6">
        <f>SUMIF('Results Data'!$B$2:$B$49,$B4,'Results Data'!$D$2:$D$49)+SUMIF('Results Data'!$C$2:$C$49,$B4,'Results Data'!$E$2:$E$49)</f>
        <v/>
      </c>
      <c r="H4" s="6">
        <f>SUMIF('Results Data'!$B$2:$B$49,$B4,'Results Data'!$E$2:$E$49)+SUMIF('Results Data'!$C$2:$C$49,$B4,'Results Data'!$D$2:$D$49)</f>
        <v/>
      </c>
      <c r="I4" s="6">
        <f>G4-H4</f>
        <v/>
      </c>
      <c r="J4" s="6">
        <f>D4*3+E4</f>
        <v/>
      </c>
    </row>
    <row r="5">
      <c r="A5" s="7">
        <f>ROW()-1</f>
        <v/>
      </c>
      <c r="B5" s="8" t="inlineStr">
        <is>
          <t>Dundee</t>
        </is>
      </c>
      <c r="C5" s="8">
        <f>COUNTIF('Results Data'!$B$2:$B$49,$B5)+COUNTIF('Results Data'!$C$2:$C$49,$B5)</f>
        <v/>
      </c>
      <c r="D5" s="8">
        <f>SUMPRODUCT(('Results Data'!$B$2:$B$49=$B5)*('Results Data'!$D$2:$D$49&gt;'Results Data'!$E$2:$E$49))+SUMPRODUCT(('Results Data'!$C$2:$C$49=$B5)*('Results Data'!$E$2:$E$49&gt;'Results Data'!$D$2:$D$49))</f>
        <v/>
      </c>
      <c r="E5" s="8">
        <f>SUMPRODUCT(('Results Data'!$B$2:$B$49=$B5)*('Results Data'!$D$2:$D$49='Results Data'!$E$2:$E$49))+SUMPRODUCT(('Results Data'!$C$2:$C$49=$B5)*('Results Data'!$E$2:$E$49='Results Data'!$D$2:$D$49))</f>
        <v/>
      </c>
      <c r="F5" s="8">
        <f>C5-D5-E5</f>
        <v/>
      </c>
      <c r="G5" s="8">
        <f>SUMIF('Results Data'!$B$2:$B$49,$B5,'Results Data'!$D$2:$D$49)+SUMIF('Results Data'!$C$2:$C$49,$B5,'Results Data'!$E$2:$E$49)</f>
        <v/>
      </c>
      <c r="H5" s="8">
        <f>SUMIF('Results Data'!$B$2:$B$49,$B5,'Results Data'!$E$2:$E$49)+SUMIF('Results Data'!$C$2:$C$49,$B5,'Results Data'!$D$2:$D$49)</f>
        <v/>
      </c>
      <c r="I5" s="8">
        <f>G5-H5</f>
        <v/>
      </c>
      <c r="J5" s="8">
        <f>D5*3+E5</f>
        <v/>
      </c>
    </row>
    <row r="6">
      <c r="A6" s="5">
        <f>ROW()-1</f>
        <v/>
      </c>
      <c r="B6" s="6" t="inlineStr">
        <is>
          <t>St Johnstone</t>
        </is>
      </c>
      <c r="C6" s="6">
        <f>COUNTIF('Results Data'!$B$2:$B$49,$B6)+COUNTIF('Results Data'!$C$2:$C$49,$B6)</f>
        <v/>
      </c>
      <c r="D6" s="6">
        <f>SUMPRODUCT(('Results Data'!$B$2:$B$49=$B6)*('Results Data'!$D$2:$D$49&gt;'Results Data'!$E$2:$E$49))+SUMPRODUCT(('Results Data'!$C$2:$C$49=$B6)*('Results Data'!$E$2:$E$49&gt;'Results Data'!$D$2:$D$49))</f>
        <v/>
      </c>
      <c r="E6" s="6">
        <f>SUMPRODUCT(('Results Data'!$B$2:$B$49=$B6)*('Results Data'!$D$2:$D$49='Results Data'!$E$2:$E$49))+SUMPRODUCT(('Results Data'!$C$2:$C$49=$B6)*('Results Data'!$E$2:$E$49='Results Data'!$D$2:$D$49))</f>
        <v/>
      </c>
      <c r="F6" s="6">
        <f>C6-D6-E6</f>
        <v/>
      </c>
      <c r="G6" s="6">
        <f>SUMIF('Results Data'!$B$2:$B$49,$B6,'Results Data'!$D$2:$D$49)+SUMIF('Results Data'!$C$2:$C$49,$B6,'Results Data'!$E$2:$E$49)</f>
        <v/>
      </c>
      <c r="H6" s="6">
        <f>SUMIF('Results Data'!$B$2:$B$49,$B6,'Results Data'!$E$2:$E$49)+SUMIF('Results Data'!$C$2:$C$49,$B6,'Results Data'!$D$2:$D$49)</f>
        <v/>
      </c>
      <c r="I6" s="6">
        <f>G6-H6</f>
        <v/>
      </c>
      <c r="J6" s="6">
        <f>D6*3+E6</f>
        <v/>
      </c>
    </row>
    <row r="7">
      <c r="A7" s="7">
        <f>ROW()-1</f>
        <v/>
      </c>
      <c r="B7" s="8" t="inlineStr">
        <is>
          <t>Dundee United</t>
        </is>
      </c>
      <c r="C7" s="8">
        <f>COUNTIF('Results Data'!$B$2:$B$49,$B7)+COUNTIF('Results Data'!$C$2:$C$49,$B7)</f>
        <v/>
      </c>
      <c r="D7" s="8">
        <f>SUMPRODUCT(('Results Data'!$B$2:$B$49=$B7)*('Results Data'!$D$2:$D$49&gt;'Results Data'!$E$2:$E$49))+SUMPRODUCT(('Results Data'!$C$2:$C$49=$B7)*('Results Data'!$E$2:$E$49&gt;'Results Data'!$D$2:$D$49))</f>
        <v/>
      </c>
      <c r="E7" s="8">
        <f>SUMPRODUCT(('Results Data'!$B$2:$B$49=$B7)*('Results Data'!$D$2:$D$49='Results Data'!$E$2:$E$49))+SUMPRODUCT(('Results Data'!$C$2:$C$49=$B7)*('Results Data'!$E$2:$E$49='Results Data'!$D$2:$D$49))</f>
        <v/>
      </c>
      <c r="F7" s="8">
        <f>C7-D7-E7</f>
        <v/>
      </c>
      <c r="G7" s="8">
        <f>SUMIF('Results Data'!$B$2:$B$49,$B7,'Results Data'!$D$2:$D$49)+SUMIF('Results Data'!$C$2:$C$49,$B7,'Results Data'!$E$2:$E$49)</f>
        <v/>
      </c>
      <c r="H7" s="8">
        <f>SUMIF('Results Data'!$B$2:$B$49,$B7,'Results Data'!$E$2:$E$49)+SUMIF('Results Data'!$C$2:$C$49,$B7,'Results Data'!$D$2:$D$49)</f>
        <v/>
      </c>
      <c r="I7" s="8">
        <f>G7-H7</f>
        <v/>
      </c>
      <c r="J7" s="8">
        <f>D7*3+E7</f>
        <v/>
      </c>
    </row>
    <row r="8">
      <c r="A8" s="5">
        <f>ROW()-1</f>
        <v/>
      </c>
      <c r="B8" s="6" t="inlineStr">
        <is>
          <t>St Mirren</t>
        </is>
      </c>
      <c r="C8" s="6">
        <f>COUNTIF('Results Data'!$B$2:$B$49,$B8)+COUNTIF('Results Data'!$C$2:$C$49,$B8)</f>
        <v/>
      </c>
      <c r="D8" s="6">
        <f>SUMPRODUCT(('Results Data'!$B$2:$B$49=$B8)*('Results Data'!$D$2:$D$49&gt;'Results Data'!$E$2:$E$49))+SUMPRODUCT(('Results Data'!$C$2:$C$49=$B8)*('Results Data'!$E$2:$E$49&gt;'Results Data'!$D$2:$D$49))</f>
        <v/>
      </c>
      <c r="E8" s="6">
        <f>SUMPRODUCT(('Results Data'!$B$2:$B$49=$B8)*('Results Data'!$D$2:$D$49='Results Data'!$E$2:$E$49))+SUMPRODUCT(('Results Data'!$C$2:$C$49=$B8)*('Results Data'!$E$2:$E$49='Results Data'!$D$2:$D$49))</f>
        <v/>
      </c>
      <c r="F8" s="6">
        <f>C8-D8-E8</f>
        <v/>
      </c>
      <c r="G8" s="6">
        <f>SUMIF('Results Data'!$B$2:$B$49,$B8,'Results Data'!$D$2:$D$49)+SUMIF('Results Data'!$C$2:$C$49,$B8,'Results Data'!$E$2:$E$49)</f>
        <v/>
      </c>
      <c r="H8" s="6">
        <f>SUMIF('Results Data'!$B$2:$B$49,$B8,'Results Data'!$E$2:$E$49)+SUMIF('Results Data'!$C$2:$C$49,$B8,'Results Data'!$D$2:$D$49)</f>
        <v/>
      </c>
      <c r="I8" s="6">
        <f>G8-H8</f>
        <v/>
      </c>
      <c r="J8" s="6">
        <f>D8*3+E8</f>
        <v/>
      </c>
    </row>
    <row r="9">
      <c r="A9" s="7">
        <f>ROW()-1</f>
        <v/>
      </c>
      <c r="B9" s="8" t="inlineStr">
        <is>
          <t>Aberdeen</t>
        </is>
      </c>
      <c r="C9" s="8">
        <f>COUNTIF('Results Data'!$B$2:$B$49,$B9)+COUNTIF('Results Data'!$C$2:$C$49,$B9)</f>
        <v/>
      </c>
      <c r="D9" s="8">
        <f>SUMPRODUCT(('Results Data'!$B$2:$B$49=$B9)*('Results Data'!$D$2:$D$49&gt;'Results Data'!$E$2:$E$49))+SUMPRODUCT(('Results Data'!$C$2:$C$49=$B9)*('Results Data'!$E$2:$E$49&gt;'Results Data'!$D$2:$D$49))</f>
        <v/>
      </c>
      <c r="E9" s="8">
        <f>SUMPRODUCT(('Results Data'!$B$2:$B$49=$B9)*('Results Data'!$D$2:$D$49='Results Data'!$E$2:$E$49))+SUMPRODUCT(('Results Data'!$C$2:$C$49=$B9)*('Results Data'!$E$2:$E$49='Results Data'!$D$2:$D$49))</f>
        <v/>
      </c>
      <c r="F9" s="8">
        <f>C9-D9-E9</f>
        <v/>
      </c>
      <c r="G9" s="8">
        <f>SUMIF('Results Data'!$B$2:$B$49,$B9,'Results Data'!$D$2:$D$49)+SUMIF('Results Data'!$C$2:$C$49,$B9,'Results Data'!$E$2:$E$49)</f>
        <v/>
      </c>
      <c r="H9" s="8">
        <f>SUMIF('Results Data'!$B$2:$B$49,$B9,'Results Data'!$E$2:$E$49)+SUMIF('Results Data'!$C$2:$C$49,$B9,'Results Data'!$D$2:$D$49)</f>
        <v/>
      </c>
      <c r="I9" s="8">
        <f>G9-H9</f>
        <v/>
      </c>
      <c r="J9" s="8">
        <f>D9*3+E9</f>
        <v/>
      </c>
    </row>
    <row r="10">
      <c r="A10" s="5">
        <f>ROW()-1</f>
        <v/>
      </c>
      <c r="B10" s="6" t="inlineStr">
        <is>
          <t>Motherwell</t>
        </is>
      </c>
      <c r="C10" s="6">
        <f>COUNTIF('Results Data'!$B$2:$B$49,$B10)+COUNTIF('Results Data'!$C$2:$C$49,$B10)</f>
        <v/>
      </c>
      <c r="D10" s="6">
        <f>SUMPRODUCT(('Results Data'!$B$2:$B$49=$B10)*('Results Data'!$D$2:$D$49&gt;'Results Data'!$E$2:$E$49))+SUMPRODUCT(('Results Data'!$C$2:$C$49=$B10)*('Results Data'!$E$2:$E$49&gt;'Results Data'!$D$2:$D$49))</f>
        <v/>
      </c>
      <c r="E10" s="6">
        <f>SUMPRODUCT(('Results Data'!$B$2:$B$49=$B10)*('Results Data'!$D$2:$D$49='Results Data'!$E$2:$E$49))+SUMPRODUCT(('Results Data'!$C$2:$C$49=$B10)*('Results Data'!$E$2:$E$49='Results Data'!$D$2:$D$49))</f>
        <v/>
      </c>
      <c r="F10" s="6">
        <f>C10-D10-E10</f>
        <v/>
      </c>
      <c r="G10" s="6">
        <f>SUMIF('Results Data'!$B$2:$B$49,$B10,'Results Data'!$D$2:$D$49)+SUMIF('Results Data'!$C$2:$C$49,$B10,'Results Data'!$E$2:$E$49)</f>
        <v/>
      </c>
      <c r="H10" s="6">
        <f>SUMIF('Results Data'!$B$2:$B$49,$B10,'Results Data'!$E$2:$E$49)+SUMIF('Results Data'!$C$2:$C$49,$B10,'Results Data'!$D$2:$D$49)</f>
        <v/>
      </c>
      <c r="I10" s="6">
        <f>G10-H10</f>
        <v/>
      </c>
      <c r="J10" s="6">
        <f>D10*3+E10</f>
        <v/>
      </c>
    </row>
    <row r="11">
      <c r="A11" s="7">
        <f>ROW()-1</f>
        <v/>
      </c>
      <c r="B11" s="8" t="inlineStr">
        <is>
          <t>Hibernian</t>
        </is>
      </c>
      <c r="C11" s="8">
        <f>COUNTIF('Results Data'!$B$2:$B$49,$B11)+COUNTIF('Results Data'!$C$2:$C$49,$B11)</f>
        <v/>
      </c>
      <c r="D11" s="8">
        <f>SUMPRODUCT(('Results Data'!$B$2:$B$49=$B11)*('Results Data'!$D$2:$D$49&gt;'Results Data'!$E$2:$E$49))+SUMPRODUCT(('Results Data'!$C$2:$C$49=$B11)*('Results Data'!$E$2:$E$49&gt;'Results Data'!$D$2:$D$49))</f>
        <v/>
      </c>
      <c r="E11" s="8">
        <f>SUMPRODUCT(('Results Data'!$B$2:$B$49=$B11)*('Results Data'!$D$2:$D$49='Results Data'!$E$2:$E$49))+SUMPRODUCT(('Results Data'!$C$2:$C$49=$B11)*('Results Data'!$E$2:$E$49='Results Data'!$D$2:$D$49))</f>
        <v/>
      </c>
      <c r="F11" s="8">
        <f>C11-D11-E11</f>
        <v/>
      </c>
      <c r="G11" s="8">
        <f>SUMIF('Results Data'!$B$2:$B$49,$B11,'Results Data'!$D$2:$D$49)+SUMIF('Results Data'!$C$2:$C$49,$B11,'Results Data'!$E$2:$E$49)</f>
        <v/>
      </c>
      <c r="H11" s="8">
        <f>SUMIF('Results Data'!$B$2:$B$49,$B11,'Results Data'!$E$2:$E$49)+SUMIF('Results Data'!$C$2:$C$49,$B11,'Results Data'!$D$2:$D$49)</f>
        <v/>
      </c>
      <c r="I11" s="8">
        <f>G11-H11</f>
        <v/>
      </c>
      <c r="J11" s="8">
        <f>D11*3+E11</f>
        <v/>
      </c>
    </row>
    <row r="12">
      <c r="A12" s="5">
        <f>ROW()-1</f>
        <v/>
      </c>
      <c r="B12" s="6" t="inlineStr">
        <is>
          <t>Falkirk</t>
        </is>
      </c>
      <c r="C12" s="6">
        <f>COUNTIF('Results Data'!$B$2:$B$49,$B12)+COUNTIF('Results Data'!$C$2:$C$49,$B12)</f>
        <v/>
      </c>
      <c r="D12" s="6">
        <f>SUMPRODUCT(('Results Data'!$B$2:$B$49=$B12)*('Results Data'!$D$2:$D$49&gt;'Results Data'!$E$2:$E$49))+SUMPRODUCT(('Results Data'!$C$2:$C$49=$B12)*('Results Data'!$E$2:$E$49&gt;'Results Data'!$D$2:$D$49))</f>
        <v/>
      </c>
      <c r="E12" s="6">
        <f>SUMPRODUCT(('Results Data'!$B$2:$B$49=$B12)*('Results Data'!$D$2:$D$49='Results Data'!$E$2:$E$49))+SUMPRODUCT(('Results Data'!$C$2:$C$49=$B12)*('Results Data'!$E$2:$E$49='Results Data'!$D$2:$D$49))</f>
        <v/>
      </c>
      <c r="F12" s="6">
        <f>C12-D12-E12</f>
        <v/>
      </c>
      <c r="G12" s="6">
        <f>SUMIF('Results Data'!$B$2:$B$49,$B12,'Results Data'!$D$2:$D$49)+SUMIF('Results Data'!$C$2:$C$49,$B12,'Results Data'!$E$2:$E$49)</f>
        <v/>
      </c>
      <c r="H12" s="6">
        <f>SUMIF('Results Data'!$B$2:$B$49,$B12,'Results Data'!$E$2:$E$49)+SUMIF('Results Data'!$C$2:$C$49,$B12,'Results Data'!$D$2:$D$49)</f>
        <v/>
      </c>
      <c r="I12" s="6">
        <f>G12-H12</f>
        <v/>
      </c>
      <c r="J12" s="6">
        <f>D12*3+E12</f>
        <v/>
      </c>
    </row>
    <row r="13">
      <c r="A13" s="7">
        <f>ROW()-1</f>
        <v/>
      </c>
      <c r="B13" s="8" t="inlineStr">
        <is>
          <t>Kilmarnock</t>
        </is>
      </c>
      <c r="C13" s="8">
        <f>COUNTIF('Results Data'!$B$2:$B$49,$B13)+COUNTIF('Results Data'!$C$2:$C$49,$B13)</f>
        <v/>
      </c>
      <c r="D13" s="8">
        <f>SUMPRODUCT(('Results Data'!$B$2:$B$49=$B13)*('Results Data'!$D$2:$D$49&gt;'Results Data'!$E$2:$E$49))+SUMPRODUCT(('Results Data'!$C$2:$C$49=$B13)*('Results Data'!$E$2:$E$49&gt;'Results Data'!$D$2:$D$49))</f>
        <v/>
      </c>
      <c r="E13" s="8">
        <f>SUMPRODUCT(('Results Data'!$B$2:$B$49=$B13)*('Results Data'!$D$2:$D$49='Results Data'!$E$2:$E$49))+SUMPRODUCT(('Results Data'!$C$2:$C$49=$B13)*('Results Data'!$E$2:$E$49='Results Data'!$D$2:$D$49))</f>
        <v/>
      </c>
      <c r="F13" s="8">
        <f>C13-D13-E13</f>
        <v/>
      </c>
      <c r="G13" s="8">
        <f>SUMIF('Results Data'!$B$2:$B$49,$B13,'Results Data'!$D$2:$D$49)+SUMIF('Results Data'!$C$2:$C$49,$B13,'Results Data'!$E$2:$E$49)</f>
        <v/>
      </c>
      <c r="H13" s="8">
        <f>SUMIF('Results Data'!$B$2:$B$49,$B13,'Results Data'!$E$2:$E$49)+SUMIF('Results Data'!$C$2:$C$49,$B13,'Results Data'!$D$2:$D$49)</f>
        <v/>
      </c>
      <c r="I13" s="8">
        <f>G13-H13</f>
        <v/>
      </c>
      <c r="J13" s="8">
        <f>D13*3+E13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Celtic</t>
        </is>
      </c>
      <c r="B2" s="5">
        <f>IFERROR(INDEX('League Table'!$A$2:$A$13,MATCH($A2,'League Table'!$B$2:$B$13,0)),"")</f>
        <v/>
      </c>
      <c r="C2" s="5">
        <f>IFERROR(INDEX('League Table'!$C$2:$C$13,MATCH($A2,'League Table'!$B$2:$B$13,0)),"")</f>
        <v/>
      </c>
      <c r="D2" s="5">
        <f>RANK(K2,K$2:K$13,0)</f>
        <v/>
      </c>
      <c r="E2" s="5">
        <f>RANK(L2,L$2:L$13,1)</f>
        <v/>
      </c>
      <c r="F2" s="5">
        <f>RANK(M2,M$2:M$13,0)</f>
        <v/>
      </c>
      <c r="G2" s="5">
        <f>RANK(N2,N$2:N$13,0)</f>
        <v/>
      </c>
      <c r="H2" s="5">
        <f>RANK(O2,O$2:O$13,0)</f>
        <v/>
      </c>
      <c r="I2" s="5">
        <f>COUNTIF('Celtic'!$R$2:$R$9,"&gt;0")</f>
        <v/>
      </c>
      <c r="J2" s="5">
        <f>COUNTIF('Celtic'!$R$2:$R$9,"&lt;0")</f>
        <v/>
      </c>
      <c r="K2" s="9">
        <f>ROUND('Celtic'!$E$15,4)</f>
        <v/>
      </c>
      <c r="L2" s="9">
        <f>ROUND('Celtic'!$E$17,4)</f>
        <v/>
      </c>
      <c r="M2" s="9">
        <f>ROUND('Celtic'!$E$25,4)</f>
        <v/>
      </c>
      <c r="N2" s="9">
        <f>ROUND('Celtic'!$E$31-'Celtic'!$E$32,4)</f>
        <v/>
      </c>
      <c r="O2" s="9">
        <f>ROUND('Celtic'!$E$32,4)</f>
        <v/>
      </c>
    </row>
    <row r="3">
      <c r="A3" s="8" t="inlineStr">
        <is>
          <t>Rangers</t>
        </is>
      </c>
      <c r="B3" s="7">
        <f>IFERROR(INDEX('League Table'!$A$2:$A$13,MATCH($A3,'League Table'!$B$2:$B$13,0)),"")</f>
        <v/>
      </c>
      <c r="C3" s="7">
        <f>IFERROR(INDEX('League Table'!$C$2:$C$13,MATCH($A3,'League Table'!$B$2:$B$13,0)),"")</f>
        <v/>
      </c>
      <c r="D3" s="7">
        <f>RANK(K3,K$2:K$13,0)</f>
        <v/>
      </c>
      <c r="E3" s="7">
        <f>RANK(L3,L$2:L$13,1)</f>
        <v/>
      </c>
      <c r="F3" s="7">
        <f>RANK(M3,M$2:M$13,0)</f>
        <v/>
      </c>
      <c r="G3" s="7">
        <f>RANK(N3,N$2:N$13,0)</f>
        <v/>
      </c>
      <c r="H3" s="7">
        <f>RANK(O3,O$2:O$13,0)</f>
        <v/>
      </c>
      <c r="I3" s="7">
        <f>COUNTIF('Rangers'!$R$2:$R$9,"&gt;0")</f>
        <v/>
      </c>
      <c r="J3" s="7">
        <f>COUNTIF('Rangers'!$R$2:$R$9,"&lt;0")</f>
        <v/>
      </c>
      <c r="K3" s="10">
        <f>ROUND('Rangers'!$E$15,4)</f>
        <v/>
      </c>
      <c r="L3" s="10">
        <f>ROUND('Rangers'!$E$17,4)</f>
        <v/>
      </c>
      <c r="M3" s="10">
        <f>ROUND('Rangers'!$E$25,4)</f>
        <v/>
      </c>
      <c r="N3" s="10">
        <f>ROUND('Rangers'!$E$31-'Rangers'!$E$32,4)</f>
        <v/>
      </c>
      <c r="O3" s="10">
        <f>ROUND('Rangers'!$E$32,4)</f>
        <v/>
      </c>
    </row>
    <row r="4">
      <c r="A4" s="6" t="inlineStr">
        <is>
          <t>Heart of Midlothian</t>
        </is>
      </c>
      <c r="B4" s="5">
        <f>IFERROR(INDEX('League Table'!$A$2:$A$13,MATCH($A4,'League Table'!$B$2:$B$13,0)),"")</f>
        <v/>
      </c>
      <c r="C4" s="5">
        <f>IFERROR(INDEX('League Table'!$C$2:$C$13,MATCH($A4,'League Table'!$B$2:$B$13,0)),"")</f>
        <v/>
      </c>
      <c r="D4" s="5">
        <f>RANK(K4,K$2:K$13,0)</f>
        <v/>
      </c>
      <c r="E4" s="5">
        <f>RANK(L4,L$2:L$13,1)</f>
        <v/>
      </c>
      <c r="F4" s="5">
        <f>RANK(M4,M$2:M$13,0)</f>
        <v/>
      </c>
      <c r="G4" s="5">
        <f>RANK(N4,N$2:N$13,0)</f>
        <v/>
      </c>
      <c r="H4" s="5">
        <f>RANK(O4,O$2:O$13,0)</f>
        <v/>
      </c>
      <c r="I4" s="5">
        <f>COUNTIF('Heart of Midlothian'!$R$2:$R$9,"&gt;0")</f>
        <v/>
      </c>
      <c r="J4" s="5">
        <f>COUNTIF('Heart of Midlothian'!$R$2:$R$9,"&lt;0")</f>
        <v/>
      </c>
      <c r="K4" s="9">
        <f>ROUND('Heart of Midlothian'!$E$15,4)</f>
        <v/>
      </c>
      <c r="L4" s="9">
        <f>ROUND('Heart of Midlothian'!$E$17,4)</f>
        <v/>
      </c>
      <c r="M4" s="9">
        <f>ROUND('Heart of Midlothian'!$E$25,4)</f>
        <v/>
      </c>
      <c r="N4" s="9">
        <f>ROUND('Heart of Midlothian'!$E$31-'Heart of Midlothian'!$E$32,4)</f>
        <v/>
      </c>
      <c r="O4" s="9">
        <f>ROUND('Heart of Midlothian'!$E$32,4)</f>
        <v/>
      </c>
    </row>
    <row r="5">
      <c r="A5" s="8" t="inlineStr">
        <is>
          <t>Dundee</t>
        </is>
      </c>
      <c r="B5" s="7">
        <f>IFERROR(INDEX('League Table'!$A$2:$A$13,MATCH($A5,'League Table'!$B$2:$B$13,0)),"")</f>
        <v/>
      </c>
      <c r="C5" s="7">
        <f>IFERROR(INDEX('League Table'!$C$2:$C$13,MATCH($A5,'League Table'!$B$2:$B$13,0)),"")</f>
        <v/>
      </c>
      <c r="D5" s="7">
        <f>RANK(K5,K$2:K$13,0)</f>
        <v/>
      </c>
      <c r="E5" s="7">
        <f>RANK(L5,L$2:L$13,1)</f>
        <v/>
      </c>
      <c r="F5" s="7">
        <f>RANK(M5,M$2:M$13,0)</f>
        <v/>
      </c>
      <c r="G5" s="7">
        <f>RANK(N5,N$2:N$13,0)</f>
        <v/>
      </c>
      <c r="H5" s="7">
        <f>RANK(O5,O$2:O$13,0)</f>
        <v/>
      </c>
      <c r="I5" s="7">
        <f>COUNTIF('Dundee'!$R$2:$R$9,"&gt;0")</f>
        <v/>
      </c>
      <c r="J5" s="7">
        <f>COUNTIF('Dundee'!$R$2:$R$9,"&lt;0")</f>
        <v/>
      </c>
      <c r="K5" s="10">
        <f>ROUND('Dundee'!$E$15,4)</f>
        <v/>
      </c>
      <c r="L5" s="10">
        <f>ROUND('Dundee'!$E$17,4)</f>
        <v/>
      </c>
      <c r="M5" s="10">
        <f>ROUND('Dundee'!$E$25,4)</f>
        <v/>
      </c>
      <c r="N5" s="10">
        <f>ROUND('Dundee'!$E$31-'Dundee'!$E$32,4)</f>
        <v/>
      </c>
      <c r="O5" s="10">
        <f>ROUND('Dundee'!$E$32,4)</f>
        <v/>
      </c>
    </row>
    <row r="6">
      <c r="A6" s="6" t="inlineStr">
        <is>
          <t>St Johnstone</t>
        </is>
      </c>
      <c r="B6" s="5">
        <f>IFERROR(INDEX('League Table'!$A$2:$A$13,MATCH($A6,'League Table'!$B$2:$B$13,0)),"")</f>
        <v/>
      </c>
      <c r="C6" s="5">
        <f>IFERROR(INDEX('League Table'!$C$2:$C$13,MATCH($A6,'League Table'!$B$2:$B$13,0)),"")</f>
        <v/>
      </c>
      <c r="D6" s="5">
        <f>RANK(K6,K$2:K$13,0)</f>
        <v/>
      </c>
      <c r="E6" s="5">
        <f>RANK(L6,L$2:L$13,1)</f>
        <v/>
      </c>
      <c r="F6" s="5">
        <f>RANK(M6,M$2:M$13,0)</f>
        <v/>
      </c>
      <c r="G6" s="5">
        <f>RANK(N6,N$2:N$13,0)</f>
        <v/>
      </c>
      <c r="H6" s="5">
        <f>RANK(O6,O$2:O$13,0)</f>
        <v/>
      </c>
      <c r="I6" s="5">
        <f>COUNTIF('St Johnstone'!$R$2:$R$9,"&gt;0")</f>
        <v/>
      </c>
      <c r="J6" s="5">
        <f>COUNTIF('St Johnstone'!$R$2:$R$9,"&lt;0")</f>
        <v/>
      </c>
      <c r="K6" s="9">
        <f>ROUND('St Johnstone'!$E$15,4)</f>
        <v/>
      </c>
      <c r="L6" s="9">
        <f>ROUND('St Johnstone'!$E$17,4)</f>
        <v/>
      </c>
      <c r="M6" s="9">
        <f>ROUND('St Johnstone'!$E$25,4)</f>
        <v/>
      </c>
      <c r="N6" s="9">
        <f>ROUND('St Johnstone'!$E$31-'St Johnstone'!$E$32,4)</f>
        <v/>
      </c>
      <c r="O6" s="9">
        <f>ROUND('St Johnstone'!$E$32,4)</f>
        <v/>
      </c>
    </row>
    <row r="7">
      <c r="A7" s="8" t="inlineStr">
        <is>
          <t>Dundee United</t>
        </is>
      </c>
      <c r="B7" s="7">
        <f>IFERROR(INDEX('League Table'!$A$2:$A$13,MATCH($A7,'League Table'!$B$2:$B$13,0)),"")</f>
        <v/>
      </c>
      <c r="C7" s="7">
        <f>IFERROR(INDEX('League Table'!$C$2:$C$13,MATCH($A7,'League Table'!$B$2:$B$13,0)),"")</f>
        <v/>
      </c>
      <c r="D7" s="7">
        <f>RANK(K7,K$2:K$13,0)</f>
        <v/>
      </c>
      <c r="E7" s="7">
        <f>RANK(L7,L$2:L$13,1)</f>
        <v/>
      </c>
      <c r="F7" s="7">
        <f>RANK(M7,M$2:M$13,0)</f>
        <v/>
      </c>
      <c r="G7" s="7">
        <f>RANK(N7,N$2:N$13,0)</f>
        <v/>
      </c>
      <c r="H7" s="7">
        <f>RANK(O7,O$2:O$13,0)</f>
        <v/>
      </c>
      <c r="I7" s="7">
        <f>COUNTIF('Dundee United'!$R$2:$R$9,"&gt;0")</f>
        <v/>
      </c>
      <c r="J7" s="7">
        <f>COUNTIF('Dundee United'!$R$2:$R$9,"&lt;0")</f>
        <v/>
      </c>
      <c r="K7" s="10">
        <f>ROUND('Dundee United'!$E$15,4)</f>
        <v/>
      </c>
      <c r="L7" s="10">
        <f>ROUND('Dundee United'!$E$17,4)</f>
        <v/>
      </c>
      <c r="M7" s="10">
        <f>ROUND('Dundee United'!$E$25,4)</f>
        <v/>
      </c>
      <c r="N7" s="10">
        <f>ROUND('Dundee United'!$E$31-'Dundee United'!$E$32,4)</f>
        <v/>
      </c>
      <c r="O7" s="10">
        <f>ROUND('Dundee United'!$E$32,4)</f>
        <v/>
      </c>
    </row>
    <row r="8">
      <c r="A8" s="6" t="inlineStr">
        <is>
          <t>St Mirren</t>
        </is>
      </c>
      <c r="B8" s="5">
        <f>IFERROR(INDEX('League Table'!$A$2:$A$13,MATCH($A8,'League Table'!$B$2:$B$13,0)),"")</f>
        <v/>
      </c>
      <c r="C8" s="5">
        <f>IFERROR(INDEX('League Table'!$C$2:$C$13,MATCH($A8,'League Table'!$B$2:$B$13,0)),"")</f>
        <v/>
      </c>
      <c r="D8" s="5">
        <f>RANK(K8,K$2:K$13,0)</f>
        <v/>
      </c>
      <c r="E8" s="5">
        <f>RANK(L8,L$2:L$13,1)</f>
        <v/>
      </c>
      <c r="F8" s="5">
        <f>RANK(M8,M$2:M$13,0)</f>
        <v/>
      </c>
      <c r="G8" s="5">
        <f>RANK(N8,N$2:N$13,0)</f>
        <v/>
      </c>
      <c r="H8" s="5">
        <f>RANK(O8,O$2:O$13,0)</f>
        <v/>
      </c>
      <c r="I8" s="5">
        <f>COUNTIF('St Mirren'!$R$2:$R$9,"&gt;0")</f>
        <v/>
      </c>
      <c r="J8" s="5">
        <f>COUNTIF('St Mirren'!$R$2:$R$9,"&lt;0")</f>
        <v/>
      </c>
      <c r="K8" s="9">
        <f>ROUND('St Mirren'!$E$15,4)</f>
        <v/>
      </c>
      <c r="L8" s="9">
        <f>ROUND('St Mirren'!$E$17,4)</f>
        <v/>
      </c>
      <c r="M8" s="9">
        <f>ROUND('St Mirren'!$E$25,4)</f>
        <v/>
      </c>
      <c r="N8" s="9">
        <f>ROUND('St Mirren'!$E$31-'St Mirren'!$E$32,4)</f>
        <v/>
      </c>
      <c r="O8" s="9">
        <f>ROUND('St Mirren'!$E$32,4)</f>
        <v/>
      </c>
    </row>
    <row r="9">
      <c r="A9" s="8" t="inlineStr">
        <is>
          <t>Aberdeen</t>
        </is>
      </c>
      <c r="B9" s="7">
        <f>IFERROR(INDEX('League Table'!$A$2:$A$13,MATCH($A9,'League Table'!$B$2:$B$13,0)),"")</f>
        <v/>
      </c>
      <c r="C9" s="7">
        <f>IFERROR(INDEX('League Table'!$C$2:$C$13,MATCH($A9,'League Table'!$B$2:$B$13,0)),"")</f>
        <v/>
      </c>
      <c r="D9" s="7">
        <f>RANK(K9,K$2:K$13,0)</f>
        <v/>
      </c>
      <c r="E9" s="7">
        <f>RANK(L9,L$2:L$13,1)</f>
        <v/>
      </c>
      <c r="F9" s="7">
        <f>RANK(M9,M$2:M$13,0)</f>
        <v/>
      </c>
      <c r="G9" s="7">
        <f>RANK(N9,N$2:N$13,0)</f>
        <v/>
      </c>
      <c r="H9" s="7">
        <f>RANK(O9,O$2:O$13,0)</f>
        <v/>
      </c>
      <c r="I9" s="7">
        <f>COUNTIF('Aberdeen'!$R$2:$R$9,"&gt;0")</f>
        <v/>
      </c>
      <c r="J9" s="7">
        <f>COUNTIF('Aberdeen'!$R$2:$R$9,"&lt;0")</f>
        <v/>
      </c>
      <c r="K9" s="10">
        <f>ROUND('Aberdeen'!$E$15,4)</f>
        <v/>
      </c>
      <c r="L9" s="10">
        <f>ROUND('Aberdeen'!$E$17,4)</f>
        <v/>
      </c>
      <c r="M9" s="10">
        <f>ROUND('Aberdeen'!$E$25,4)</f>
        <v/>
      </c>
      <c r="N9" s="10">
        <f>ROUND('Aberdeen'!$E$31-'Aberdeen'!$E$32,4)</f>
        <v/>
      </c>
      <c r="O9" s="10">
        <f>ROUND('Aberdeen'!$E$32,4)</f>
        <v/>
      </c>
    </row>
    <row r="10">
      <c r="A10" s="6" t="inlineStr">
        <is>
          <t>Motherwell</t>
        </is>
      </c>
      <c r="B10" s="5">
        <f>IFERROR(INDEX('League Table'!$A$2:$A$13,MATCH($A10,'League Table'!$B$2:$B$13,0)),"")</f>
        <v/>
      </c>
      <c r="C10" s="5">
        <f>IFERROR(INDEX('League Table'!$C$2:$C$13,MATCH($A10,'League Table'!$B$2:$B$13,0)),"")</f>
        <v/>
      </c>
      <c r="D10" s="5">
        <f>RANK(K10,K$2:K$13,0)</f>
        <v/>
      </c>
      <c r="E10" s="5">
        <f>RANK(L10,L$2:L$13,1)</f>
        <v/>
      </c>
      <c r="F10" s="5">
        <f>RANK(M10,M$2:M$13,0)</f>
        <v/>
      </c>
      <c r="G10" s="5">
        <f>RANK(N10,N$2:N$13,0)</f>
        <v/>
      </c>
      <c r="H10" s="5">
        <f>RANK(O10,O$2:O$13,0)</f>
        <v/>
      </c>
      <c r="I10" s="5">
        <f>COUNTIF('Motherwell'!$R$2:$R$9,"&gt;0")</f>
        <v/>
      </c>
      <c r="J10" s="5">
        <f>COUNTIF('Motherwell'!$R$2:$R$9,"&lt;0")</f>
        <v/>
      </c>
      <c r="K10" s="9">
        <f>ROUND('Motherwell'!$E$15,4)</f>
        <v/>
      </c>
      <c r="L10" s="9">
        <f>ROUND('Motherwell'!$E$17,4)</f>
        <v/>
      </c>
      <c r="M10" s="9">
        <f>ROUND('Motherwell'!$E$25,4)</f>
        <v/>
      </c>
      <c r="N10" s="9">
        <f>ROUND('Motherwell'!$E$31-'Motherwell'!$E$32,4)</f>
        <v/>
      </c>
      <c r="O10" s="9">
        <f>ROUND('Motherwell'!$E$32,4)</f>
        <v/>
      </c>
    </row>
    <row r="11">
      <c r="A11" s="8" t="inlineStr">
        <is>
          <t>Hibernian</t>
        </is>
      </c>
      <c r="B11" s="7">
        <f>IFERROR(INDEX('League Table'!$A$2:$A$13,MATCH($A11,'League Table'!$B$2:$B$13,0)),"")</f>
        <v/>
      </c>
      <c r="C11" s="7">
        <f>IFERROR(INDEX('League Table'!$C$2:$C$13,MATCH($A11,'League Table'!$B$2:$B$13,0)),"")</f>
        <v/>
      </c>
      <c r="D11" s="7">
        <f>RANK(K11,K$2:K$13,0)</f>
        <v/>
      </c>
      <c r="E11" s="7">
        <f>RANK(L11,L$2:L$13,1)</f>
        <v/>
      </c>
      <c r="F11" s="7">
        <f>RANK(M11,M$2:M$13,0)</f>
        <v/>
      </c>
      <c r="G11" s="7">
        <f>RANK(N11,N$2:N$13,0)</f>
        <v/>
      </c>
      <c r="H11" s="7">
        <f>RANK(O11,O$2:O$13,0)</f>
        <v/>
      </c>
      <c r="I11" s="7">
        <f>COUNTIF('Hibernian'!$R$2:$R$9,"&gt;0")</f>
        <v/>
      </c>
      <c r="J11" s="7">
        <f>COUNTIF('Hibernian'!$R$2:$R$9,"&lt;0")</f>
        <v/>
      </c>
      <c r="K11" s="10">
        <f>ROUND('Hibernian'!$E$15,4)</f>
        <v/>
      </c>
      <c r="L11" s="10">
        <f>ROUND('Hibernian'!$E$17,4)</f>
        <v/>
      </c>
      <c r="M11" s="10">
        <f>ROUND('Hibernian'!$E$25,4)</f>
        <v/>
      </c>
      <c r="N11" s="10">
        <f>ROUND('Hibernian'!$E$31-'Hibernian'!$E$32,4)</f>
        <v/>
      </c>
      <c r="O11" s="10">
        <f>ROUND('Hibernian'!$E$32,4)</f>
        <v/>
      </c>
    </row>
    <row r="12">
      <c r="A12" s="6" t="inlineStr">
        <is>
          <t>Falkirk</t>
        </is>
      </c>
      <c r="B12" s="5">
        <f>IFERROR(INDEX('League Table'!$A$2:$A$13,MATCH($A12,'League Table'!$B$2:$B$13,0)),"")</f>
        <v/>
      </c>
      <c r="C12" s="5">
        <f>IFERROR(INDEX('League Table'!$C$2:$C$13,MATCH($A12,'League Table'!$B$2:$B$13,0)),"")</f>
        <v/>
      </c>
      <c r="D12" s="5">
        <f>RANK(K12,K$2:K$13,0)</f>
        <v/>
      </c>
      <c r="E12" s="5">
        <f>RANK(L12,L$2:L$13,1)</f>
        <v/>
      </c>
      <c r="F12" s="5">
        <f>RANK(M12,M$2:M$13,0)</f>
        <v/>
      </c>
      <c r="G12" s="5">
        <f>RANK(N12,N$2:N$13,0)</f>
        <v/>
      </c>
      <c r="H12" s="5">
        <f>RANK(O12,O$2:O$13,0)</f>
        <v/>
      </c>
      <c r="I12" s="5">
        <f>COUNTIF('Falkirk'!$R$2:$R$9,"&gt;0")</f>
        <v/>
      </c>
      <c r="J12" s="5">
        <f>COUNTIF('Falkirk'!$R$2:$R$9,"&lt;0")</f>
        <v/>
      </c>
      <c r="K12" s="9">
        <f>ROUND('Falkirk'!$E$15,4)</f>
        <v/>
      </c>
      <c r="L12" s="9">
        <f>ROUND('Falkirk'!$E$17,4)</f>
        <v/>
      </c>
      <c r="M12" s="9">
        <f>ROUND('Falkirk'!$E$25,4)</f>
        <v/>
      </c>
      <c r="N12" s="9">
        <f>ROUND('Falkirk'!$E$31-'Falkirk'!$E$32,4)</f>
        <v/>
      </c>
      <c r="O12" s="9">
        <f>ROUND('Falkirk'!$E$32,4)</f>
        <v/>
      </c>
    </row>
    <row r="13">
      <c r="A13" s="8" t="inlineStr">
        <is>
          <t>Kilmarnock</t>
        </is>
      </c>
      <c r="B13" s="7">
        <f>IFERROR(INDEX('League Table'!$A$2:$A$13,MATCH($A13,'League Table'!$B$2:$B$13,0)),"")</f>
        <v/>
      </c>
      <c r="C13" s="7">
        <f>IFERROR(INDEX('League Table'!$C$2:$C$13,MATCH($A13,'League Table'!$B$2:$B$13,0)),"")</f>
        <v/>
      </c>
      <c r="D13" s="7">
        <f>RANK(K13,K$2:K$13,0)</f>
        <v/>
      </c>
      <c r="E13" s="7">
        <f>RANK(L13,L$2:L$13,1)</f>
        <v/>
      </c>
      <c r="F13" s="7">
        <f>RANK(M13,M$2:M$13,0)</f>
        <v/>
      </c>
      <c r="G13" s="7">
        <f>RANK(N13,N$2:N$13,0)</f>
        <v/>
      </c>
      <c r="H13" s="7">
        <f>RANK(O13,O$2:O$13,0)</f>
        <v/>
      </c>
      <c r="I13" s="7">
        <f>COUNTIF('Kilmarnock'!$R$2:$R$9,"&gt;0")</f>
        <v/>
      </c>
      <c r="J13" s="7">
        <f>COUNTIF('Kilmarnock'!$R$2:$R$9,"&lt;0")</f>
        <v/>
      </c>
      <c r="K13" s="10">
        <f>ROUND('Kilmarnock'!$E$15,4)</f>
        <v/>
      </c>
      <c r="L13" s="10">
        <f>ROUND('Kilmarnock'!$E$17,4)</f>
        <v/>
      </c>
      <c r="M13" s="10">
        <f>ROUND('Kilmarnock'!$E$25,4)</f>
        <v/>
      </c>
      <c r="N13" s="10">
        <f>ROUND('Kilmarnock'!$E$31-'Kilmarnock'!$E$32,4)</f>
        <v/>
      </c>
      <c r="O13" s="10">
        <f>ROUND('Kilmarnock'!$E$32,4)</f>
        <v/>
      </c>
    </row>
    <row r="15">
      <c r="A15" s="11" t="inlineStr">
        <is>
          <t>How to read this sheet</t>
        </is>
      </c>
    </row>
    <row r="16">
      <c r="A16" s="12" t="inlineStr">
        <is>
          <t>Ranks: 1 = best. Rows are in league-table order (position and games played come from the League Table sheet).</t>
        </is>
      </c>
    </row>
    <row r="17">
      <c r="A17" s="12" t="inlineStr">
        <is>
          <t>Goals For Supremacy Rank: avg xG Delta (For) - actual xG for minus the pre-match market xG for. Highest = rank 1.</t>
        </is>
      </c>
    </row>
    <row r="18">
      <c r="A18" s="12" t="inlineStr">
        <is>
          <t>Goals Conceded Supremacy Rank: avg xG Delta (Against) - actual xG against minus pre-match market xG against. The more negative (conceding less than expected), the better the rank, so the most negative = rank 1.</t>
        </is>
      </c>
    </row>
    <row r="19">
      <c r="A19" s="12" t="inlineStr">
        <is>
          <t>Goals Above Expected (Total) Rank: avg Match Total xG Delta - combined actual xG in the team's games minus the combined pre-match market xG. Highest = rank 1 (games producing the most goals above expectation).</t>
        </is>
      </c>
    </row>
    <row r="20">
      <c r="A20" s="12" t="inlineStr">
        <is>
          <t>xPts Delta Rank: season-total actual xPts minus market xPts. Highest = rank 1.   Market Points Rank: season-total market xPts, highest = rank 1.</t>
        </is>
      </c>
    </row>
    <row r="21">
      <c r="A21" s="12" t="inlineStr">
        <is>
          <t>Games +ve / -ve xG Supremacy: games where the team's Supremacy Delta (actual xG supremacy minus pre-match expected supremacy) was above / below zero.</t>
        </is>
      </c>
    </row>
    <row r="22">
      <c r="A22" s="12" t="inlineStr">
        <is>
          <t>Columns K:O hold the underlying numbers the ranks are calculated from.</t>
        </is>
      </c>
    </row>
  </sheetData>
  <conditionalFormatting sqref="D2:D13">
    <cfRule type="colorScale" priority="1">
      <colorScale>
        <cfvo type="min"/>
        <cfvo type="percentile" val="50"/>
        <cfvo type="max"/>
        <color rgb="0063BE7B"/>
        <color rgb="00FFFFFF"/>
        <color rgb="00F8696B"/>
      </colorScale>
    </cfRule>
  </conditionalFormatting>
  <conditionalFormatting sqref="E2:E13">
    <cfRule type="colorScale" priority="2">
      <colorScale>
        <cfvo type="min"/>
        <cfvo type="percentile" val="50"/>
        <cfvo type="max"/>
        <color rgb="0063BE7B"/>
        <color rgb="00FFFFFF"/>
        <color rgb="00F8696B"/>
      </colorScale>
    </cfRule>
  </conditionalFormatting>
  <conditionalFormatting sqref="F2:F13">
    <cfRule type="colorScale" priority="3">
      <colorScale>
        <cfvo type="min"/>
        <cfvo type="percentile" val="50"/>
        <cfvo type="max"/>
        <color rgb="0063BE7B"/>
        <color rgb="00FFFFFF"/>
        <color rgb="00F8696B"/>
      </colorScale>
    </cfRule>
  </conditionalFormatting>
  <conditionalFormatting sqref="G2:G13">
    <cfRule type="colorScale" priority="4">
      <colorScale>
        <cfvo type="min"/>
        <cfvo type="percentile" val="50"/>
        <cfvo type="max"/>
        <color rgb="0063BE7B"/>
        <color rgb="00FFFFFF"/>
        <color rgb="00F8696B"/>
      </colorScale>
    </cfRule>
  </conditionalFormatting>
  <conditionalFormatting sqref="H2:H13">
    <cfRule type="colorScale" priority="5">
      <colorScale>
        <cfvo type="min"/>
        <cfvo type="percentile" val="50"/>
        <cfvo type="max"/>
        <color rgb="0063BE7B"/>
        <color rgb="00FFFFFF"/>
        <color rgb="00F8696B"/>
      </colorScale>
    </cfRule>
  </conditionalFormatting>
  <conditionalFormatting sqref="I2:I13">
    <cfRule type="colorScale" priority="6">
      <colorScale>
        <cfvo type="min"/>
        <cfvo type="max"/>
        <color rgb="00FFFFFF"/>
        <color rgb="0063BE7B"/>
      </colorScale>
    </cfRule>
  </conditionalFormatting>
  <conditionalFormatting sqref="J2:J13">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20"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Celtic</t>
        </is>
      </c>
      <c r="B2" s="6">
        <f>'Celtic'!$E$12</f>
        <v/>
      </c>
      <c r="C2" s="9">
        <f>'Celtic'!$E$15</f>
        <v/>
      </c>
      <c r="D2" s="9">
        <f>'Celtic'!$E$17</f>
        <v/>
      </c>
      <c r="E2" s="9">
        <f>'Celtic'!$E$19</f>
        <v/>
      </c>
      <c r="F2" s="9">
        <f>'Celtic'!$E$21</f>
        <v/>
      </c>
      <c r="G2" s="9">
        <f>'Celtic'!$E$23</f>
        <v/>
      </c>
      <c r="H2" s="9">
        <f>'Celtic'!$E$27</f>
        <v/>
      </c>
      <c r="I2" s="9">
        <f>'Celtic'!$E$28</f>
        <v/>
      </c>
      <c r="J2" s="9">
        <f>'Celtic'!$E$31</f>
        <v/>
      </c>
      <c r="K2" s="9">
        <f>'Celtic'!$E$32</f>
        <v/>
      </c>
      <c r="L2" s="9">
        <f>'Celtic'!$E$33</f>
        <v/>
      </c>
    </row>
    <row r="3">
      <c r="A3" s="8" t="inlineStr">
        <is>
          <t>Dundee United</t>
        </is>
      </c>
      <c r="B3" s="8">
        <f>'Dundee United'!$E$12</f>
        <v/>
      </c>
      <c r="C3" s="10">
        <f>'Dundee United'!$E$15</f>
        <v/>
      </c>
      <c r="D3" s="10">
        <f>'Dundee United'!$E$17</f>
        <v/>
      </c>
      <c r="E3" s="10">
        <f>'Dundee United'!$E$19</f>
        <v/>
      </c>
      <c r="F3" s="10">
        <f>'Dundee United'!$E$21</f>
        <v/>
      </c>
      <c r="G3" s="10">
        <f>'Dundee United'!$E$23</f>
        <v/>
      </c>
      <c r="H3" s="10">
        <f>'Dundee United'!$E$27</f>
        <v/>
      </c>
      <c r="I3" s="10">
        <f>'Dundee United'!$E$28</f>
        <v/>
      </c>
      <c r="J3" s="10">
        <f>'Dundee United'!$E$31</f>
        <v/>
      </c>
      <c r="K3" s="10">
        <f>'Dundee United'!$E$32</f>
        <v/>
      </c>
      <c r="L3" s="10">
        <f>'Dundee United'!$E$33</f>
        <v/>
      </c>
    </row>
    <row r="4">
      <c r="A4" s="6" t="inlineStr">
        <is>
          <t>St Mirren</t>
        </is>
      </c>
      <c r="B4" s="6">
        <f>'St Mirren'!$E$12</f>
        <v/>
      </c>
      <c r="C4" s="9">
        <f>'St Mirren'!$E$15</f>
        <v/>
      </c>
      <c r="D4" s="9">
        <f>'St Mirren'!$E$17</f>
        <v/>
      </c>
      <c r="E4" s="9">
        <f>'St Mirren'!$E$19</f>
        <v/>
      </c>
      <c r="F4" s="9">
        <f>'St Mirren'!$E$21</f>
        <v/>
      </c>
      <c r="G4" s="9">
        <f>'St Mirren'!$E$23</f>
        <v/>
      </c>
      <c r="H4" s="9">
        <f>'St Mirren'!$E$27</f>
        <v/>
      </c>
      <c r="I4" s="9">
        <f>'St Mirren'!$E$28</f>
        <v/>
      </c>
      <c r="J4" s="9">
        <f>'St Mirren'!$E$31</f>
        <v/>
      </c>
      <c r="K4" s="9">
        <f>'St Mirren'!$E$32</f>
        <v/>
      </c>
      <c r="L4" s="9">
        <f>'St Mirren'!$E$33</f>
        <v/>
      </c>
    </row>
    <row r="5">
      <c r="A5" s="8" t="inlineStr">
        <is>
          <t>Heart of Midlothian</t>
        </is>
      </c>
      <c r="B5" s="8">
        <f>'Heart of Midlothian'!$E$12</f>
        <v/>
      </c>
      <c r="C5" s="10">
        <f>'Heart of Midlothian'!$E$15</f>
        <v/>
      </c>
      <c r="D5" s="10">
        <f>'Heart of Midlothian'!$E$17</f>
        <v/>
      </c>
      <c r="E5" s="10">
        <f>'Heart of Midlothian'!$E$19</f>
        <v/>
      </c>
      <c r="F5" s="10">
        <f>'Heart of Midlothian'!$E$21</f>
        <v/>
      </c>
      <c r="G5" s="10">
        <f>'Heart of Midlothian'!$E$23</f>
        <v/>
      </c>
      <c r="H5" s="10">
        <f>'Heart of Midlothian'!$E$27</f>
        <v/>
      </c>
      <c r="I5" s="10">
        <f>'Heart of Midlothian'!$E$28</f>
        <v/>
      </c>
      <c r="J5" s="10">
        <f>'Heart of Midlothian'!$E$31</f>
        <v/>
      </c>
      <c r="K5" s="10">
        <f>'Heart of Midlothian'!$E$32</f>
        <v/>
      </c>
      <c r="L5" s="10">
        <f>'Heart of Midlothian'!$E$33</f>
        <v/>
      </c>
    </row>
    <row r="6">
      <c r="A6" s="6" t="inlineStr">
        <is>
          <t>Dundee</t>
        </is>
      </c>
      <c r="B6" s="6">
        <f>'Dundee'!$E$12</f>
        <v/>
      </c>
      <c r="C6" s="9">
        <f>'Dundee'!$E$15</f>
        <v/>
      </c>
      <c r="D6" s="9">
        <f>'Dundee'!$E$17</f>
        <v/>
      </c>
      <c r="E6" s="9">
        <f>'Dundee'!$E$19</f>
        <v/>
      </c>
      <c r="F6" s="9">
        <f>'Dundee'!$E$21</f>
        <v/>
      </c>
      <c r="G6" s="9">
        <f>'Dundee'!$E$23</f>
        <v/>
      </c>
      <c r="H6" s="9">
        <f>'Dundee'!$E$27</f>
        <v/>
      </c>
      <c r="I6" s="9">
        <f>'Dundee'!$E$28</f>
        <v/>
      </c>
      <c r="J6" s="9">
        <f>'Dundee'!$E$31</f>
        <v/>
      </c>
      <c r="K6" s="9">
        <f>'Dundee'!$E$32</f>
        <v/>
      </c>
      <c r="L6" s="9">
        <f>'Dundee'!$E$33</f>
        <v/>
      </c>
    </row>
    <row r="7">
      <c r="A7" s="8" t="inlineStr">
        <is>
          <t>Motherwell</t>
        </is>
      </c>
      <c r="B7" s="8">
        <f>'Motherwell'!$E$12</f>
        <v/>
      </c>
      <c r="C7" s="10">
        <f>'Motherwell'!$E$15</f>
        <v/>
      </c>
      <c r="D7" s="10">
        <f>'Motherwell'!$E$17</f>
        <v/>
      </c>
      <c r="E7" s="10">
        <f>'Motherwell'!$E$19</f>
        <v/>
      </c>
      <c r="F7" s="10">
        <f>'Motherwell'!$E$21</f>
        <v/>
      </c>
      <c r="G7" s="10">
        <f>'Motherwell'!$E$23</f>
        <v/>
      </c>
      <c r="H7" s="10">
        <f>'Motherwell'!$E$27</f>
        <v/>
      </c>
      <c r="I7" s="10">
        <f>'Motherwell'!$E$28</f>
        <v/>
      </c>
      <c r="J7" s="10">
        <f>'Motherwell'!$E$31</f>
        <v/>
      </c>
      <c r="K7" s="10">
        <f>'Motherwell'!$E$32</f>
        <v/>
      </c>
      <c r="L7" s="10">
        <f>'Motherwell'!$E$33</f>
        <v/>
      </c>
    </row>
    <row r="8">
      <c r="A8" s="6" t="inlineStr">
        <is>
          <t>Rangers</t>
        </is>
      </c>
      <c r="B8" s="6">
        <f>'Rangers'!$E$12</f>
        <v/>
      </c>
      <c r="C8" s="9">
        <f>'Rangers'!$E$15</f>
        <v/>
      </c>
      <c r="D8" s="9">
        <f>'Rangers'!$E$17</f>
        <v/>
      </c>
      <c r="E8" s="9">
        <f>'Rangers'!$E$19</f>
        <v/>
      </c>
      <c r="F8" s="9">
        <f>'Rangers'!$E$21</f>
        <v/>
      </c>
      <c r="G8" s="9">
        <f>'Rangers'!$E$23</f>
        <v/>
      </c>
      <c r="H8" s="9">
        <f>'Rangers'!$E$27</f>
        <v/>
      </c>
      <c r="I8" s="9">
        <f>'Rangers'!$E$28</f>
        <v/>
      </c>
      <c r="J8" s="9">
        <f>'Rangers'!$E$31</f>
        <v/>
      </c>
      <c r="K8" s="9">
        <f>'Rangers'!$E$32</f>
        <v/>
      </c>
      <c r="L8" s="9">
        <f>'Rangers'!$E$33</f>
        <v/>
      </c>
    </row>
    <row r="9">
      <c r="A9" s="8" t="inlineStr">
        <is>
          <t>St Johnstone</t>
        </is>
      </c>
      <c r="B9" s="8">
        <f>'St Johnstone'!$E$12</f>
        <v/>
      </c>
      <c r="C9" s="10">
        <f>'St Johnstone'!$E$15</f>
        <v/>
      </c>
      <c r="D9" s="10">
        <f>'St Johnstone'!$E$17</f>
        <v/>
      </c>
      <c r="E9" s="10">
        <f>'St Johnstone'!$E$19</f>
        <v/>
      </c>
      <c r="F9" s="10">
        <f>'St Johnstone'!$E$21</f>
        <v/>
      </c>
      <c r="G9" s="10">
        <f>'St Johnstone'!$E$23</f>
        <v/>
      </c>
      <c r="H9" s="10">
        <f>'St Johnstone'!$E$27</f>
        <v/>
      </c>
      <c r="I9" s="10">
        <f>'St Johnstone'!$E$28</f>
        <v/>
      </c>
      <c r="J9" s="10">
        <f>'St Johnstone'!$E$31</f>
        <v/>
      </c>
      <c r="K9" s="10">
        <f>'St Johnstone'!$E$32</f>
        <v/>
      </c>
      <c r="L9" s="10">
        <f>'St Johnstone'!$E$33</f>
        <v/>
      </c>
    </row>
    <row r="10">
      <c r="A10" s="6" t="inlineStr">
        <is>
          <t>Hibernian</t>
        </is>
      </c>
      <c r="B10" s="6">
        <f>'Hibernian'!$E$12</f>
        <v/>
      </c>
      <c r="C10" s="9">
        <f>'Hibernian'!$E$15</f>
        <v/>
      </c>
      <c r="D10" s="9">
        <f>'Hibernian'!$E$17</f>
        <v/>
      </c>
      <c r="E10" s="9">
        <f>'Hibernian'!$E$19</f>
        <v/>
      </c>
      <c r="F10" s="9">
        <f>'Hibernian'!$E$21</f>
        <v/>
      </c>
      <c r="G10" s="9">
        <f>'Hibernian'!$E$23</f>
        <v/>
      </c>
      <c r="H10" s="9">
        <f>'Hibernian'!$E$27</f>
        <v/>
      </c>
      <c r="I10" s="9">
        <f>'Hibernian'!$E$28</f>
        <v/>
      </c>
      <c r="J10" s="9">
        <f>'Hibernian'!$E$31</f>
        <v/>
      </c>
      <c r="K10" s="9">
        <f>'Hibernian'!$E$32</f>
        <v/>
      </c>
      <c r="L10" s="9">
        <f>'Hibernian'!$E$33</f>
        <v/>
      </c>
    </row>
    <row r="11">
      <c r="A11" s="8" t="inlineStr">
        <is>
          <t>Falkirk</t>
        </is>
      </c>
      <c r="B11" s="8">
        <f>'Falkirk'!$E$12</f>
        <v/>
      </c>
      <c r="C11" s="10">
        <f>'Falkirk'!$E$15</f>
        <v/>
      </c>
      <c r="D11" s="10">
        <f>'Falkirk'!$E$17</f>
        <v/>
      </c>
      <c r="E11" s="10">
        <f>'Falkirk'!$E$19</f>
        <v/>
      </c>
      <c r="F11" s="10">
        <f>'Falkirk'!$E$21</f>
        <v/>
      </c>
      <c r="G11" s="10">
        <f>'Falkirk'!$E$23</f>
        <v/>
      </c>
      <c r="H11" s="10">
        <f>'Falkirk'!$E$27</f>
        <v/>
      </c>
      <c r="I11" s="10">
        <f>'Falkirk'!$E$28</f>
        <v/>
      </c>
      <c r="J11" s="10">
        <f>'Falkirk'!$E$31</f>
        <v/>
      </c>
      <c r="K11" s="10">
        <f>'Falkirk'!$E$32</f>
        <v/>
      </c>
      <c r="L11" s="10">
        <f>'Falkirk'!$E$33</f>
        <v/>
      </c>
    </row>
    <row r="12">
      <c r="A12" s="6" t="inlineStr">
        <is>
          <t>Kilmarnock</t>
        </is>
      </c>
      <c r="B12" s="6">
        <f>'Kilmarnock'!$E$12</f>
        <v/>
      </c>
      <c r="C12" s="9">
        <f>'Kilmarnock'!$E$15</f>
        <v/>
      </c>
      <c r="D12" s="9">
        <f>'Kilmarnock'!$E$17</f>
        <v/>
      </c>
      <c r="E12" s="9">
        <f>'Kilmarnock'!$E$19</f>
        <v/>
      </c>
      <c r="F12" s="9">
        <f>'Kilmarnock'!$E$21</f>
        <v/>
      </c>
      <c r="G12" s="9">
        <f>'Kilmarnock'!$E$23</f>
        <v/>
      </c>
      <c r="H12" s="9">
        <f>'Kilmarnock'!$E$27</f>
        <v/>
      </c>
      <c r="I12" s="9">
        <f>'Kilmarnock'!$E$28</f>
        <v/>
      </c>
      <c r="J12" s="9">
        <f>'Kilmarnock'!$E$31</f>
        <v/>
      </c>
      <c r="K12" s="9">
        <f>'Kilmarnock'!$E$32</f>
        <v/>
      </c>
      <c r="L12" s="9">
        <f>'Kilmarnock'!$E$33</f>
        <v/>
      </c>
    </row>
    <row r="13">
      <c r="A13" s="8" t="inlineStr">
        <is>
          <t>Aberdeen</t>
        </is>
      </c>
      <c r="B13" s="8">
        <f>'Aberdeen'!$E$12</f>
        <v/>
      </c>
      <c r="C13" s="10">
        <f>'Aberdeen'!$E$15</f>
        <v/>
      </c>
      <c r="D13" s="10">
        <f>'Aberdeen'!$E$17</f>
        <v/>
      </c>
      <c r="E13" s="10">
        <f>'Aberdeen'!$E$19</f>
        <v/>
      </c>
      <c r="F13" s="10">
        <f>'Aberdeen'!$E$21</f>
        <v/>
      </c>
      <c r="G13" s="10">
        <f>'Aberdeen'!$E$23</f>
        <v/>
      </c>
      <c r="H13" s="10">
        <f>'Aberdeen'!$E$27</f>
        <v/>
      </c>
      <c r="I13" s="10">
        <f>'Aberdeen'!$E$28</f>
        <v/>
      </c>
      <c r="J13" s="10">
        <f>'Aberdeen'!$E$31</f>
        <v/>
      </c>
      <c r="K13" s="10">
        <f>'Aberdeen'!$E$32</f>
        <v/>
      </c>
      <c r="L13" s="10">
        <f>'Aberdeen'!$E$33</f>
        <v/>
      </c>
    </row>
  </sheetData>
  <conditionalFormatting sqref="C2:C13">
    <cfRule type="colorScale" priority="1">
      <colorScale>
        <cfvo type="min"/>
        <cfvo type="num" val="0"/>
        <cfvo type="max"/>
        <color rgb="00F8696B"/>
        <color rgb="00FFFFFF"/>
        <color rgb="0063BE7B"/>
      </colorScale>
    </cfRule>
  </conditionalFormatting>
  <conditionalFormatting sqref="D2:D13">
    <cfRule type="colorScale" priority="2">
      <colorScale>
        <cfvo type="min"/>
        <cfvo type="num" val="0"/>
        <cfvo type="max"/>
        <color rgb="0063BE7B"/>
        <color rgb="00FFFFFF"/>
        <color rgb="00F8696B"/>
      </colorScale>
    </cfRule>
  </conditionalFormatting>
  <conditionalFormatting sqref="E2:E13">
    <cfRule type="colorScale" priority="3">
      <colorScale>
        <cfvo type="min"/>
        <cfvo type="num" val="0"/>
        <cfvo type="max"/>
        <color rgb="00F8696B"/>
        <color rgb="00FFFFFF"/>
        <color rgb="0063BE7B"/>
      </colorScale>
    </cfRule>
  </conditionalFormatting>
  <conditionalFormatting sqref="F2:F13">
    <cfRule type="colorScale" priority="4">
      <colorScale>
        <cfvo type="min"/>
        <cfvo type="num" val="0"/>
        <cfvo type="max"/>
        <color rgb="0063BE7B"/>
        <color rgb="00FFFFFF"/>
        <color rgb="00F8696B"/>
      </colorScale>
    </cfRule>
  </conditionalFormatting>
  <conditionalFormatting sqref="G2:G13">
    <cfRule type="colorScale" priority="5">
      <colorScale>
        <cfvo type="min"/>
        <cfvo type="num" val="0"/>
        <cfvo type="max"/>
        <color rgb="00F8696B"/>
        <color rgb="00FFFFFF"/>
        <color rgb="0063BE7B"/>
      </colorScale>
    </cfRule>
  </conditionalFormatting>
  <conditionalFormatting sqref="H2:H13">
    <cfRule type="colorScale" priority="6">
      <colorScale>
        <cfvo type="min"/>
        <cfvo type="num" val="0"/>
        <cfvo type="max"/>
        <color rgb="00F8696B"/>
        <color rgb="00FFFFFF"/>
        <color rgb="0063BE7B"/>
      </colorScale>
    </cfRule>
  </conditionalFormatting>
  <conditionalFormatting sqref="I2:I13">
    <cfRule type="colorScale" priority="7">
      <colorScale>
        <cfvo type="min"/>
        <cfvo type="num" val="0"/>
        <cfvo type="max"/>
        <color rgb="0063BE7B"/>
        <color rgb="00FFFFFF"/>
        <color rgb="00F8696B"/>
      </colorScale>
    </cfRule>
  </conditionalFormatting>
  <conditionalFormatting sqref="L2:L13">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Dundee United</t>
        </is>
      </c>
      <c r="C2" s="6">
        <f>'Dundee United'!$E$12</f>
        <v/>
      </c>
      <c r="D2" s="9">
        <f>'Dundee United'!$E$31</f>
        <v/>
      </c>
      <c r="E2" s="9">
        <f>'Dundee United'!$E$32</f>
        <v/>
      </c>
      <c r="F2" s="9">
        <f>D2-E2</f>
        <v/>
      </c>
    </row>
    <row r="3">
      <c r="A3" s="7" t="n">
        <v>2</v>
      </c>
      <c r="B3" s="8" t="inlineStr">
        <is>
          <t>Dundee</t>
        </is>
      </c>
      <c r="C3" s="8">
        <f>'Dundee'!$E$12</f>
        <v/>
      </c>
      <c r="D3" s="10">
        <f>'Dundee'!$E$31</f>
        <v/>
      </c>
      <c r="E3" s="10">
        <f>'Dundee'!$E$32</f>
        <v/>
      </c>
      <c r="F3" s="10">
        <f>D3-E3</f>
        <v/>
      </c>
    </row>
    <row r="4">
      <c r="A4" s="5" t="n">
        <v>3</v>
      </c>
      <c r="B4" s="6" t="inlineStr">
        <is>
          <t>St Mirren</t>
        </is>
      </c>
      <c r="C4" s="6">
        <f>'St Mirren'!$E$12</f>
        <v/>
      </c>
      <c r="D4" s="9">
        <f>'St Mirren'!$E$31</f>
        <v/>
      </c>
      <c r="E4" s="9">
        <f>'St Mirren'!$E$32</f>
        <v/>
      </c>
      <c r="F4" s="9">
        <f>D4-E4</f>
        <v/>
      </c>
    </row>
    <row r="5">
      <c r="A5" s="7" t="n">
        <v>4</v>
      </c>
      <c r="B5" s="8" t="inlineStr">
        <is>
          <t>Heart of Midlothian</t>
        </is>
      </c>
      <c r="C5" s="8">
        <f>'Heart of Midlothian'!$E$12</f>
        <v/>
      </c>
      <c r="D5" s="10">
        <f>'Heart of Midlothian'!$E$31</f>
        <v/>
      </c>
      <c r="E5" s="10">
        <f>'Heart of Midlothian'!$E$32</f>
        <v/>
      </c>
      <c r="F5" s="10">
        <f>D5-E5</f>
        <v/>
      </c>
    </row>
    <row r="6">
      <c r="A6" s="5" t="n">
        <v>5</v>
      </c>
      <c r="B6" s="6" t="inlineStr">
        <is>
          <t>Celtic</t>
        </is>
      </c>
      <c r="C6" s="6">
        <f>'Celtic'!$E$12</f>
        <v/>
      </c>
      <c r="D6" s="9">
        <f>'Celtic'!$E$31</f>
        <v/>
      </c>
      <c r="E6" s="9">
        <f>'Celtic'!$E$32</f>
        <v/>
      </c>
      <c r="F6" s="9">
        <f>D6-E6</f>
        <v/>
      </c>
    </row>
    <row r="7">
      <c r="A7" s="7" t="n">
        <v>6</v>
      </c>
      <c r="B7" s="8" t="inlineStr">
        <is>
          <t>Rangers</t>
        </is>
      </c>
      <c r="C7" s="8">
        <f>'Rangers'!$E$12</f>
        <v/>
      </c>
      <c r="D7" s="10">
        <f>'Rangers'!$E$31</f>
        <v/>
      </c>
      <c r="E7" s="10">
        <f>'Rangers'!$E$32</f>
        <v/>
      </c>
      <c r="F7" s="10">
        <f>D7-E7</f>
        <v/>
      </c>
    </row>
    <row r="8">
      <c r="A8" s="5" t="n">
        <v>7</v>
      </c>
      <c r="B8" s="6" t="inlineStr">
        <is>
          <t>St Johnstone</t>
        </is>
      </c>
      <c r="C8" s="6">
        <f>'St Johnstone'!$E$12</f>
        <v/>
      </c>
      <c r="D8" s="9">
        <f>'St Johnstone'!$E$31</f>
        <v/>
      </c>
      <c r="E8" s="9">
        <f>'St Johnstone'!$E$32</f>
        <v/>
      </c>
      <c r="F8" s="9">
        <f>D8-E8</f>
        <v/>
      </c>
    </row>
    <row r="9">
      <c r="A9" s="7" t="n">
        <v>8</v>
      </c>
      <c r="B9" s="8" t="inlineStr">
        <is>
          <t>Motherwell</t>
        </is>
      </c>
      <c r="C9" s="8">
        <f>'Motherwell'!$E$12</f>
        <v/>
      </c>
      <c r="D9" s="10">
        <f>'Motherwell'!$E$31</f>
        <v/>
      </c>
      <c r="E9" s="10">
        <f>'Motherwell'!$E$32</f>
        <v/>
      </c>
      <c r="F9" s="10">
        <f>D9-E9</f>
        <v/>
      </c>
    </row>
    <row r="10">
      <c r="A10" s="5" t="n">
        <v>9</v>
      </c>
      <c r="B10" s="6" t="inlineStr">
        <is>
          <t>Kilmarnock</t>
        </is>
      </c>
      <c r="C10" s="6">
        <f>'Kilmarnock'!$E$12</f>
        <v/>
      </c>
      <c r="D10" s="9">
        <f>'Kilmarnock'!$E$31</f>
        <v/>
      </c>
      <c r="E10" s="9">
        <f>'Kilmarnock'!$E$32</f>
        <v/>
      </c>
      <c r="F10" s="9">
        <f>D10-E10</f>
        <v/>
      </c>
    </row>
    <row r="11">
      <c r="A11" s="7" t="n">
        <v>10</v>
      </c>
      <c r="B11" s="8" t="inlineStr">
        <is>
          <t>Falkirk</t>
        </is>
      </c>
      <c r="C11" s="8">
        <f>'Falkirk'!$E$12</f>
        <v/>
      </c>
      <c r="D11" s="10">
        <f>'Falkirk'!$E$31</f>
        <v/>
      </c>
      <c r="E11" s="10">
        <f>'Falkirk'!$E$32</f>
        <v/>
      </c>
      <c r="F11" s="10">
        <f>D11-E11</f>
        <v/>
      </c>
    </row>
    <row r="12">
      <c r="A12" s="5" t="n">
        <v>11</v>
      </c>
      <c r="B12" s="6" t="inlineStr">
        <is>
          <t>Aberdeen</t>
        </is>
      </c>
      <c r="C12" s="6">
        <f>'Aberdeen'!$E$12</f>
        <v/>
      </c>
      <c r="D12" s="9">
        <f>'Aberdeen'!$E$31</f>
        <v/>
      </c>
      <c r="E12" s="9">
        <f>'Aberdeen'!$E$32</f>
        <v/>
      </c>
      <c r="F12" s="9">
        <f>D12-E12</f>
        <v/>
      </c>
    </row>
    <row r="13">
      <c r="A13" s="7" t="n">
        <v>12</v>
      </c>
      <c r="B13" s="8" t="inlineStr">
        <is>
          <t>Hibernian</t>
        </is>
      </c>
      <c r="C13" s="8">
        <f>'Hibernian'!$E$12</f>
        <v/>
      </c>
      <c r="D13" s="10">
        <f>'Hibernian'!$E$31</f>
        <v/>
      </c>
      <c r="E13" s="10">
        <f>'Hibernian'!$E$32</f>
        <v/>
      </c>
      <c r="F13" s="10">
        <f>D13-E13</f>
        <v/>
      </c>
    </row>
  </sheetData>
  <conditionalFormatting sqref="F2:F13">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1" t="inlineStr">
        <is>
          <t>No issues found across 48 fixtures.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4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20"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2026-07-31</t>
        </is>
      </c>
      <c r="B2" s="6" t="inlineStr">
        <is>
          <t>Dundee United</t>
        </is>
      </c>
      <c r="C2" s="6" t="inlineStr">
        <is>
          <t>Rangers</t>
        </is>
      </c>
      <c r="D2" s="6" t="n">
        <v>1</v>
      </c>
      <c r="E2" s="6" t="n">
        <v>1</v>
      </c>
      <c r="F2" s="9" t="n">
        <v>1.05</v>
      </c>
      <c r="G2" s="9" t="n">
        <v>2.21</v>
      </c>
      <c r="H2" s="9" t="n">
        <v>1.64</v>
      </c>
      <c r="I2" s="9" t="n">
        <v>1.46</v>
      </c>
      <c r="J2" s="9" t="n">
        <v>0.59</v>
      </c>
      <c r="K2" s="9" t="n">
        <v>-0.75</v>
      </c>
      <c r="L2" s="9" t="n">
        <v>1.34</v>
      </c>
      <c r="M2" s="9" t="n">
        <v>-0.16</v>
      </c>
      <c r="N2" s="9" t="n">
        <v>1.5</v>
      </c>
      <c r="O2" s="9" t="n">
        <v>1.26</v>
      </c>
      <c r="P2" s="9" t="n">
        <v>0.7</v>
      </c>
      <c r="Q2" s="9" t="n">
        <v>2.11</v>
      </c>
    </row>
    <row r="3">
      <c r="A3" s="8" t="inlineStr">
        <is>
          <t>2026-08-01</t>
        </is>
      </c>
      <c r="B3" s="8" t="inlineStr">
        <is>
          <t>Aberdeen</t>
        </is>
      </c>
      <c r="C3" s="8" t="inlineStr">
        <is>
          <t>Heart of Midlothian</t>
        </is>
      </c>
      <c r="D3" s="8" t="n">
        <v>2</v>
      </c>
      <c r="E3" s="8" t="n">
        <v>1</v>
      </c>
      <c r="F3" s="10" t="n">
        <v>1.27</v>
      </c>
      <c r="G3" s="10" t="n">
        <v>1.59</v>
      </c>
      <c r="H3" s="10" t="n">
        <v>2.66</v>
      </c>
      <c r="I3" s="10" t="n">
        <v>1.83</v>
      </c>
      <c r="J3" s="10" t="n">
        <v>1.39</v>
      </c>
      <c r="K3" s="10" t="n">
        <v>0.24</v>
      </c>
      <c r="L3" s="10" t="n">
        <v>1.15</v>
      </c>
      <c r="M3" s="10" t="n">
        <v>1.63</v>
      </c>
      <c r="N3" s="10" t="n">
        <v>1.85</v>
      </c>
      <c r="O3" s="10" t="n">
        <v>0.96</v>
      </c>
      <c r="P3" s="10" t="n">
        <v>1.17</v>
      </c>
      <c r="Q3" s="10" t="n">
        <v>1.59</v>
      </c>
    </row>
    <row r="4">
      <c r="A4" s="6" t="inlineStr">
        <is>
          <t>2026-08-01</t>
        </is>
      </c>
      <c r="B4" s="6" t="inlineStr">
        <is>
          <t>Falkirk</t>
        </is>
      </c>
      <c r="C4" s="6" t="inlineStr">
        <is>
          <t>St Mirren</t>
        </is>
      </c>
      <c r="D4" s="6" t="n">
        <v>0</v>
      </c>
      <c r="E4" s="6" t="n">
        <v>2</v>
      </c>
      <c r="F4" s="9" t="n">
        <v>1.64</v>
      </c>
      <c r="G4" s="9" t="n">
        <v>1.17</v>
      </c>
      <c r="H4" s="9" t="n">
        <v>0.55</v>
      </c>
      <c r="I4" s="9" t="n">
        <v>1.57</v>
      </c>
      <c r="J4" s="9" t="n">
        <v>-1.09</v>
      </c>
      <c r="K4" s="9" t="n">
        <v>0.4</v>
      </c>
      <c r="L4" s="9" t="n">
        <v>-1.49</v>
      </c>
      <c r="M4" s="9" t="n">
        <v>-0.6899999999999999</v>
      </c>
      <c r="N4" s="9" t="n">
        <v>0.63</v>
      </c>
      <c r="O4" s="9" t="n">
        <v>2.12</v>
      </c>
      <c r="P4" s="9" t="n">
        <v>1.7</v>
      </c>
      <c r="Q4" s="9" t="n">
        <v>1.06</v>
      </c>
    </row>
    <row r="5">
      <c r="A5" s="8" t="inlineStr">
        <is>
          <t>2026-08-02</t>
        </is>
      </c>
      <c r="B5" s="8" t="inlineStr">
        <is>
          <t>St Johnstone</t>
        </is>
      </c>
      <c r="C5" s="8" t="inlineStr">
        <is>
          <t>Kilmarnock</t>
        </is>
      </c>
      <c r="D5" s="8" t="n">
        <v>4</v>
      </c>
      <c r="E5" s="8" t="n">
        <v>3</v>
      </c>
      <c r="F5" s="10" t="n">
        <v>1.55</v>
      </c>
      <c r="G5" s="10" t="n">
        <v>1.24</v>
      </c>
      <c r="H5" s="10" t="n">
        <v>2.03</v>
      </c>
      <c r="I5" s="10" t="n">
        <v>0.92</v>
      </c>
      <c r="J5" s="10" t="n">
        <v>0.48</v>
      </c>
      <c r="K5" s="10" t="n">
        <v>-0.32</v>
      </c>
      <c r="L5" s="10" t="n">
        <v>0.8</v>
      </c>
      <c r="M5" s="10" t="n">
        <v>0.16</v>
      </c>
      <c r="N5" s="10" t="n">
        <v>2.1</v>
      </c>
      <c r="O5" s="10" t="n">
        <v>0.6899999999999999</v>
      </c>
      <c r="P5" s="10" t="n">
        <v>1.59</v>
      </c>
      <c r="Q5" s="10" t="n">
        <v>1.16</v>
      </c>
    </row>
    <row r="6">
      <c r="A6" s="6" t="inlineStr">
        <is>
          <t>2026-08-02</t>
        </is>
      </c>
      <c r="B6" s="6" t="inlineStr">
        <is>
          <t>Hibernian</t>
        </is>
      </c>
      <c r="C6" s="6" t="inlineStr">
        <is>
          <t>Motherwell</t>
        </is>
      </c>
      <c r="D6" s="6" t="n">
        <v>1</v>
      </c>
      <c r="E6" s="6" t="n">
        <v>2</v>
      </c>
      <c r="F6" s="9" t="n">
        <v>1.52</v>
      </c>
      <c r="G6" s="9" t="n">
        <v>1.25</v>
      </c>
      <c r="H6" s="9" t="n">
        <v>1.94</v>
      </c>
      <c r="I6" s="9" t="n">
        <v>2.19</v>
      </c>
      <c r="J6" s="9" t="n">
        <v>0.42</v>
      </c>
      <c r="K6" s="9" t="n">
        <v>0.9399999999999999</v>
      </c>
      <c r="L6" s="9" t="n">
        <v>-0.52</v>
      </c>
      <c r="M6" s="9" t="n">
        <v>1.37</v>
      </c>
      <c r="N6" s="9" t="n">
        <v>1.26</v>
      </c>
      <c r="O6" s="9" t="n">
        <v>1.54</v>
      </c>
      <c r="P6" s="9" t="n">
        <v>1.56</v>
      </c>
      <c r="Q6" s="9" t="n">
        <v>1.19</v>
      </c>
    </row>
    <row r="7">
      <c r="A7" s="8" t="inlineStr">
        <is>
          <t>2026-08-03</t>
        </is>
      </c>
      <c r="B7" s="8" t="inlineStr">
        <is>
          <t>Celtic</t>
        </is>
      </c>
      <c r="C7" s="8" t="inlineStr">
        <is>
          <t>Dundee</t>
        </is>
      </c>
      <c r="D7" s="8" t="n">
        <v>1</v>
      </c>
      <c r="E7" s="8" t="n">
        <v>0</v>
      </c>
      <c r="F7" s="10" t="n">
        <v>2.83</v>
      </c>
      <c r="G7" s="10" t="n">
        <v>0.8100000000000001</v>
      </c>
      <c r="H7" s="10" t="n">
        <v>2.25</v>
      </c>
      <c r="I7" s="10" t="n">
        <v>0.49</v>
      </c>
      <c r="J7" s="10" t="n">
        <v>-0.58</v>
      </c>
      <c r="K7" s="10" t="n">
        <v>-0.32</v>
      </c>
      <c r="L7" s="10" t="n">
        <v>-0.26</v>
      </c>
      <c r="M7" s="10" t="n">
        <v>-0.9</v>
      </c>
      <c r="N7" s="10" t="n">
        <v>2.49</v>
      </c>
      <c r="O7" s="10" t="n">
        <v>0.35</v>
      </c>
      <c r="P7" s="10" t="n">
        <v>2.5</v>
      </c>
      <c r="Q7" s="10" t="n">
        <v>0.37</v>
      </c>
    </row>
    <row r="8">
      <c r="A8" s="6" t="inlineStr">
        <is>
          <t>2026-08-08</t>
        </is>
      </c>
      <c r="B8" s="6" t="inlineStr">
        <is>
          <t>St Mirren</t>
        </is>
      </c>
      <c r="C8" s="6" t="inlineStr">
        <is>
          <t>St Johnstone</t>
        </is>
      </c>
      <c r="D8" s="6" t="n">
        <v>1</v>
      </c>
      <c r="E8" s="6" t="n">
        <v>0</v>
      </c>
      <c r="F8" s="9" t="n">
        <v>1.48</v>
      </c>
      <c r="G8" s="9" t="n">
        <v>1.23</v>
      </c>
      <c r="H8" s="9" t="n">
        <v>1.58</v>
      </c>
      <c r="I8" s="9" t="n">
        <v>1.17</v>
      </c>
      <c r="J8" s="9" t="n">
        <v>0.1</v>
      </c>
      <c r="K8" s="9" t="n">
        <v>-0.06</v>
      </c>
      <c r="L8" s="9" t="n">
        <v>0.16</v>
      </c>
      <c r="M8" s="9" t="n">
        <v>0.05</v>
      </c>
      <c r="N8" s="9" t="n">
        <v>1.66</v>
      </c>
      <c r="O8" s="9" t="n">
        <v>1.1</v>
      </c>
      <c r="P8" s="9" t="n">
        <v>1.54</v>
      </c>
      <c r="Q8" s="9" t="n">
        <v>1.2</v>
      </c>
    </row>
    <row r="9">
      <c r="A9" s="8" t="inlineStr">
        <is>
          <t>2026-08-08</t>
        </is>
      </c>
      <c r="B9" s="8" t="inlineStr">
        <is>
          <t>Dundee</t>
        </is>
      </c>
      <c r="C9" s="8" t="inlineStr">
        <is>
          <t>Aberdeen</t>
        </is>
      </c>
      <c r="D9" s="8" t="n">
        <v>2</v>
      </c>
      <c r="E9" s="8" t="n">
        <v>0</v>
      </c>
      <c r="F9" s="10" t="n">
        <v>1.34</v>
      </c>
      <c r="G9" s="10" t="n">
        <v>1.41</v>
      </c>
      <c r="H9" s="10" t="n">
        <v>1.83</v>
      </c>
      <c r="I9" s="10" t="n">
        <v>0.71</v>
      </c>
      <c r="J9" s="10" t="n">
        <v>0.49</v>
      </c>
      <c r="K9" s="10" t="n">
        <v>-0.7</v>
      </c>
      <c r="L9" s="10" t="n">
        <v>1.18</v>
      </c>
      <c r="M9" s="10" t="n">
        <v>-0.21</v>
      </c>
      <c r="N9" s="10" t="n">
        <v>2.14</v>
      </c>
      <c r="O9" s="10" t="n">
        <v>0.64</v>
      </c>
      <c r="P9" s="10" t="n">
        <v>1.33</v>
      </c>
      <c r="Q9" s="10" t="n">
        <v>1.42</v>
      </c>
    </row>
    <row r="10">
      <c r="A10" s="6" t="inlineStr">
        <is>
          <t>2026-08-09</t>
        </is>
      </c>
      <c r="B10" s="6" t="inlineStr">
        <is>
          <t>Motherwell</t>
        </is>
      </c>
      <c r="C10" s="6" t="inlineStr">
        <is>
          <t>Falkirk</t>
        </is>
      </c>
      <c r="D10" s="6" t="n">
        <v>0</v>
      </c>
      <c r="E10" s="6" t="n">
        <v>0</v>
      </c>
      <c r="F10" s="9" t="n">
        <v>1.78</v>
      </c>
      <c r="G10" s="9" t="n">
        <v>1.1</v>
      </c>
      <c r="H10" s="9" t="n">
        <v>1.27</v>
      </c>
      <c r="I10" s="9" t="n">
        <v>0.55</v>
      </c>
      <c r="J10" s="9" t="n">
        <v>-0.51</v>
      </c>
      <c r="K10" s="9" t="n">
        <v>-0.55</v>
      </c>
      <c r="L10" s="9" t="n">
        <v>0.05</v>
      </c>
      <c r="M10" s="9" t="n">
        <v>-1.06</v>
      </c>
      <c r="N10" s="9" t="n">
        <v>1.92</v>
      </c>
      <c r="O10" s="9" t="n">
        <v>0.78</v>
      </c>
      <c r="P10" s="9" t="n">
        <v>1.83</v>
      </c>
      <c r="Q10" s="9" t="n">
        <v>0.9399999999999999</v>
      </c>
    </row>
    <row r="11">
      <c r="A11" s="8" t="inlineStr">
        <is>
          <t>2026-08-09</t>
        </is>
      </c>
      <c r="B11" s="8" t="inlineStr">
        <is>
          <t>Kilmarnock</t>
        </is>
      </c>
      <c r="C11" s="8" t="inlineStr">
        <is>
          <t>Celtic</t>
        </is>
      </c>
      <c r="D11" s="8" t="n">
        <v>1</v>
      </c>
      <c r="E11" s="8" t="n">
        <v>5</v>
      </c>
      <c r="F11" s="10" t="n">
        <v>0.98</v>
      </c>
      <c r="G11" s="10" t="n">
        <v>2.4</v>
      </c>
      <c r="H11" s="10" t="n">
        <v>0.98</v>
      </c>
      <c r="I11" s="10" t="n">
        <v>5.44</v>
      </c>
      <c r="J11" s="10" t="n">
        <v>0</v>
      </c>
      <c r="K11" s="10" t="n">
        <v>3.04</v>
      </c>
      <c r="L11" s="10" t="n">
        <v>-3.04</v>
      </c>
      <c r="M11" s="10" t="n">
        <v>3.04</v>
      </c>
      <c r="N11" s="10" t="n">
        <v>0.08</v>
      </c>
      <c r="O11" s="10" t="n">
        <v>2.82</v>
      </c>
      <c r="P11" s="10" t="n">
        <v>0.59</v>
      </c>
      <c r="Q11" s="10" t="n">
        <v>2.24</v>
      </c>
    </row>
    <row r="12">
      <c r="A12" s="6" t="inlineStr">
        <is>
          <t>2026-08-09</t>
        </is>
      </c>
      <c r="B12" s="6" t="inlineStr">
        <is>
          <t>Heart of Midlothian</t>
        </is>
      </c>
      <c r="C12" s="6" t="inlineStr">
        <is>
          <t>Dundee United</t>
        </is>
      </c>
      <c r="D12" s="6" t="n">
        <v>4</v>
      </c>
      <c r="E12" s="6" t="n">
        <v>0</v>
      </c>
      <c r="F12" s="9" t="n">
        <v>1.92</v>
      </c>
      <c r="G12" s="9" t="n">
        <v>0.98</v>
      </c>
      <c r="H12" s="9" t="n">
        <v>2.15</v>
      </c>
      <c r="I12" s="9" t="n">
        <v>0.58</v>
      </c>
      <c r="J12" s="9" t="n">
        <v>0.23</v>
      </c>
      <c r="K12" s="9" t="n">
        <v>-0.4</v>
      </c>
      <c r="L12" s="9" t="n">
        <v>0.62</v>
      </c>
      <c r="M12" s="9" t="n">
        <v>-0.17</v>
      </c>
      <c r="N12" s="9" t="n">
        <v>2.39</v>
      </c>
      <c r="O12" s="9" t="n">
        <v>0.43</v>
      </c>
      <c r="P12" s="9" t="n">
        <v>2</v>
      </c>
      <c r="Q12" s="9" t="n">
        <v>0.78</v>
      </c>
    </row>
    <row r="13">
      <c r="A13" s="8" t="inlineStr">
        <is>
          <t>2026-08-09</t>
        </is>
      </c>
      <c r="B13" s="8" t="inlineStr">
        <is>
          <t>Rangers</t>
        </is>
      </c>
      <c r="C13" s="8" t="inlineStr">
        <is>
          <t>Hibernian</t>
        </is>
      </c>
      <c r="D13" s="8" t="n">
        <v>1</v>
      </c>
      <c r="E13" s="8" t="n">
        <v>2</v>
      </c>
      <c r="F13" s="10" t="n">
        <v>2.13</v>
      </c>
      <c r="G13" s="10" t="n">
        <v>1.02</v>
      </c>
      <c r="H13" s="10" t="n">
        <v>2.22</v>
      </c>
      <c r="I13" s="10" t="n">
        <v>1.7</v>
      </c>
      <c r="J13" s="10" t="n">
        <v>0.09</v>
      </c>
      <c r="K13" s="10" t="n">
        <v>0.68</v>
      </c>
      <c r="L13" s="10" t="n">
        <v>-0.59</v>
      </c>
      <c r="M13" s="10" t="n">
        <v>0.77</v>
      </c>
      <c r="N13" s="10" t="n">
        <v>1.7</v>
      </c>
      <c r="O13" s="10" t="n">
        <v>1.1</v>
      </c>
      <c r="P13" s="10" t="n">
        <v>2.08</v>
      </c>
      <c r="Q13" s="10" t="n">
        <v>0.72</v>
      </c>
    </row>
    <row r="14">
      <c r="A14" s="6" t="inlineStr">
        <is>
          <t>2026-08-22</t>
        </is>
      </c>
      <c r="B14" s="6" t="inlineStr">
        <is>
          <t>Dundee United</t>
        </is>
      </c>
      <c r="C14" s="6" t="inlineStr">
        <is>
          <t>Dundee</t>
        </is>
      </c>
      <c r="D14" s="6" t="n">
        <v>0</v>
      </c>
      <c r="E14" s="6" t="n">
        <v>2</v>
      </c>
      <c r="F14" s="9" t="n">
        <v>1.54</v>
      </c>
      <c r="G14" s="9" t="n">
        <v>1.23</v>
      </c>
      <c r="H14" s="9" t="n">
        <v>1.19</v>
      </c>
      <c r="I14" s="9" t="n">
        <v>1.43</v>
      </c>
      <c r="J14" s="9" t="n">
        <v>-0.35</v>
      </c>
      <c r="K14" s="9" t="n">
        <v>0.2</v>
      </c>
      <c r="L14" s="9" t="n">
        <v>-0.55</v>
      </c>
      <c r="M14" s="9" t="n">
        <v>-0.14</v>
      </c>
      <c r="N14" s="9" t="n">
        <v>1.2</v>
      </c>
      <c r="O14" s="9" t="n">
        <v>1.54</v>
      </c>
      <c r="P14" s="9" t="n">
        <v>1.59</v>
      </c>
      <c r="Q14" s="9" t="n">
        <v>1.16</v>
      </c>
    </row>
    <row r="15">
      <c r="A15" s="8" t="inlineStr">
        <is>
          <t>2026-08-29</t>
        </is>
      </c>
      <c r="B15" s="8" t="inlineStr">
        <is>
          <t>Celtic</t>
        </is>
      </c>
      <c r="C15" s="8" t="inlineStr">
        <is>
          <t>Falkirk</t>
        </is>
      </c>
      <c r="D15" s="8" t="n">
        <v>2</v>
      </c>
      <c r="E15" s="8" t="n">
        <v>1</v>
      </c>
      <c r="F15" s="10" t="n">
        <v>2.78</v>
      </c>
      <c r="G15" s="10" t="n">
        <v>0.82</v>
      </c>
      <c r="H15" s="10" t="n">
        <v>3.45</v>
      </c>
      <c r="I15" s="10" t="n">
        <v>0.57</v>
      </c>
      <c r="J15" s="10" t="n">
        <v>0.67</v>
      </c>
      <c r="K15" s="10" t="n">
        <v>-0.25</v>
      </c>
      <c r="L15" s="10" t="n">
        <v>0.93</v>
      </c>
      <c r="M15" s="10" t="n">
        <v>0.42</v>
      </c>
      <c r="N15" s="10" t="n">
        <v>2.76</v>
      </c>
      <c r="O15" s="10" t="n">
        <v>0.17</v>
      </c>
      <c r="P15" s="10" t="n">
        <v>2.48</v>
      </c>
      <c r="Q15" s="10" t="n">
        <v>0.39</v>
      </c>
    </row>
    <row r="16">
      <c r="A16" s="6" t="inlineStr">
        <is>
          <t>2026-08-29</t>
        </is>
      </c>
      <c r="B16" s="6" t="inlineStr">
        <is>
          <t>Kilmarnock</t>
        </is>
      </c>
      <c r="C16" s="6" t="inlineStr">
        <is>
          <t>Dundee United</t>
        </is>
      </c>
      <c r="D16" s="6" t="n">
        <v>0</v>
      </c>
      <c r="E16" s="6" t="n">
        <v>4</v>
      </c>
      <c r="F16" s="9" t="n">
        <v>1.46</v>
      </c>
      <c r="G16" s="9" t="n">
        <v>1.35</v>
      </c>
      <c r="H16" s="9" t="n">
        <v>1.13</v>
      </c>
      <c r="I16" s="9" t="n">
        <v>3.42</v>
      </c>
      <c r="J16" s="9" t="n">
        <v>-0.33</v>
      </c>
      <c r="K16" s="9" t="n">
        <v>2.07</v>
      </c>
      <c r="L16" s="9" t="n">
        <v>-2.4</v>
      </c>
      <c r="M16" s="9" t="n">
        <v>1.74</v>
      </c>
      <c r="N16" s="9" t="n">
        <v>0.37</v>
      </c>
      <c r="O16" s="9" t="n">
        <v>2.52</v>
      </c>
      <c r="P16" s="9" t="n">
        <v>1.45</v>
      </c>
      <c r="Q16" s="9" t="n">
        <v>1.3</v>
      </c>
    </row>
    <row r="17">
      <c r="A17" s="8" t="inlineStr">
        <is>
          <t>2026-08-29</t>
        </is>
      </c>
      <c r="B17" s="8" t="inlineStr">
        <is>
          <t>Heart of Midlothian</t>
        </is>
      </c>
      <c r="C17" s="8" t="inlineStr">
        <is>
          <t>St Johnstone</t>
        </is>
      </c>
      <c r="D17" s="8" t="n">
        <v>2</v>
      </c>
      <c r="E17" s="8" t="n">
        <v>1</v>
      </c>
      <c r="F17" s="10" t="n">
        <v>1.82</v>
      </c>
      <c r="G17" s="10" t="n">
        <v>1.03</v>
      </c>
      <c r="H17" s="10" t="n">
        <v>2.2</v>
      </c>
      <c r="I17" s="10" t="n">
        <v>1.28</v>
      </c>
      <c r="J17" s="10" t="n">
        <v>0.38</v>
      </c>
      <c r="K17" s="10" t="n">
        <v>0.25</v>
      </c>
      <c r="L17" s="10" t="n">
        <v>0.13</v>
      </c>
      <c r="M17" s="10" t="n">
        <v>0.63</v>
      </c>
      <c r="N17" s="10" t="n">
        <v>1.95</v>
      </c>
      <c r="O17" s="10" t="n">
        <v>0.85</v>
      </c>
      <c r="P17" s="10" t="n">
        <v>1.9</v>
      </c>
      <c r="Q17" s="10" t="n">
        <v>0.87</v>
      </c>
    </row>
    <row r="18">
      <c r="A18" s="6" t="inlineStr">
        <is>
          <t>2026-08-30</t>
        </is>
      </c>
      <c r="B18" s="6" t="inlineStr">
        <is>
          <t>Aberdeen</t>
        </is>
      </c>
      <c r="C18" s="6" t="inlineStr">
        <is>
          <t>Rangers</t>
        </is>
      </c>
      <c r="D18" s="6" t="n">
        <v>0</v>
      </c>
      <c r="E18" s="6" t="n">
        <v>1</v>
      </c>
      <c r="F18" s="9" t="n">
        <v>1.14</v>
      </c>
      <c r="G18" s="9" t="n">
        <v>1.88</v>
      </c>
      <c r="H18" s="9" t="n">
        <v>0.35</v>
      </c>
      <c r="I18" s="9" t="n">
        <v>2.1</v>
      </c>
      <c r="J18" s="9" t="n">
        <v>-0.79</v>
      </c>
      <c r="K18" s="9" t="n">
        <v>0.23</v>
      </c>
      <c r="L18" s="9" t="n">
        <v>-1.01</v>
      </c>
      <c r="M18" s="9" t="n">
        <v>-0.5600000000000001</v>
      </c>
      <c r="N18" s="9" t="n">
        <v>0.31</v>
      </c>
      <c r="O18" s="9" t="n">
        <v>2.52</v>
      </c>
      <c r="P18" s="9" t="n">
        <v>0.91</v>
      </c>
      <c r="Q18" s="9" t="n">
        <v>1.86</v>
      </c>
    </row>
    <row r="19">
      <c r="A19" s="8" t="inlineStr">
        <is>
          <t>2026-08-30</t>
        </is>
      </c>
      <c r="B19" s="8" t="inlineStr">
        <is>
          <t>Dundee</t>
        </is>
      </c>
      <c r="C19" s="8" t="inlineStr">
        <is>
          <t>Hibernian</t>
        </is>
      </c>
      <c r="D19" s="8" t="n">
        <v>1</v>
      </c>
      <c r="E19" s="8" t="n">
        <v>2</v>
      </c>
      <c r="F19" s="10" t="n">
        <v>1.22</v>
      </c>
      <c r="G19" s="10" t="n">
        <v>1.51</v>
      </c>
      <c r="H19" s="10" t="n">
        <v>1.01</v>
      </c>
      <c r="I19" s="10" t="n">
        <v>2.33</v>
      </c>
      <c r="J19" s="10" t="n">
        <v>-0.21</v>
      </c>
      <c r="K19" s="10" t="n">
        <v>0.82</v>
      </c>
      <c r="L19" s="10" t="n">
        <v>-1.03</v>
      </c>
      <c r="M19" s="10" t="n">
        <v>0.62</v>
      </c>
      <c r="N19" s="10" t="n">
        <v>0.63</v>
      </c>
      <c r="O19" s="10" t="n">
        <v>2.19</v>
      </c>
      <c r="P19" s="10" t="n">
        <v>1.17</v>
      </c>
      <c r="Q19" s="10" t="n">
        <v>1.57</v>
      </c>
    </row>
    <row r="20">
      <c r="A20" s="6" t="inlineStr">
        <is>
          <t>2026-08-30</t>
        </is>
      </c>
      <c r="B20" s="6" t="inlineStr">
        <is>
          <t>St Mirren</t>
        </is>
      </c>
      <c r="C20" s="6" t="inlineStr">
        <is>
          <t>Motherwell</t>
        </is>
      </c>
      <c r="D20" s="6" t="n">
        <v>3</v>
      </c>
      <c r="E20" s="6" t="n">
        <v>3</v>
      </c>
      <c r="F20" s="9" t="n">
        <v>1.35</v>
      </c>
      <c r="G20" s="9" t="n">
        <v>1.27</v>
      </c>
      <c r="H20" s="9" t="n">
        <v>2.92</v>
      </c>
      <c r="I20" s="9" t="n">
        <v>2.45</v>
      </c>
      <c r="J20" s="9" t="n">
        <v>1.57</v>
      </c>
      <c r="K20" s="9" t="n">
        <v>1.18</v>
      </c>
      <c r="L20" s="9" t="n">
        <v>0.39</v>
      </c>
      <c r="M20" s="9" t="n">
        <v>2.75</v>
      </c>
      <c r="N20" s="9" t="n">
        <v>1.65</v>
      </c>
      <c r="O20" s="9" t="n">
        <v>1.18</v>
      </c>
      <c r="P20" s="9" t="n">
        <v>1.42</v>
      </c>
      <c r="Q20" s="9" t="n">
        <v>1.31</v>
      </c>
    </row>
    <row r="21">
      <c r="A21" s="8" t="inlineStr">
        <is>
          <t>2026-09-02</t>
        </is>
      </c>
      <c r="B21" s="8" t="inlineStr">
        <is>
          <t>Motherwell</t>
        </is>
      </c>
      <c r="C21" s="8" t="inlineStr">
        <is>
          <t>Dundee United</t>
        </is>
      </c>
      <c r="D21" s="8" t="n">
        <v>3</v>
      </c>
      <c r="E21" s="8" t="n">
        <v>0</v>
      </c>
      <c r="F21" s="10" t="n">
        <v>1.72</v>
      </c>
      <c r="G21" s="10" t="n">
        <v>1.19</v>
      </c>
      <c r="H21" s="10" t="n">
        <v>2.37</v>
      </c>
      <c r="I21" s="10" t="n">
        <v>0.16</v>
      </c>
      <c r="J21" s="10" t="n">
        <v>0.65</v>
      </c>
      <c r="K21" s="10" t="n">
        <v>-1.03</v>
      </c>
      <c r="L21" s="10" t="n">
        <v>1.68</v>
      </c>
      <c r="M21" s="10" t="n">
        <v>-0.39</v>
      </c>
      <c r="N21" s="10" t="n">
        <v>2.73</v>
      </c>
      <c r="O21" s="10" t="n">
        <v>0.16</v>
      </c>
      <c r="P21" s="10" t="n">
        <v>1.73</v>
      </c>
      <c r="Q21" s="10" t="n">
        <v>1.03</v>
      </c>
    </row>
    <row r="22">
      <c r="A22" s="6" t="inlineStr">
        <is>
          <t>2026-09-02</t>
        </is>
      </c>
      <c r="B22" s="6" t="inlineStr">
        <is>
          <t>Kilmarnock</t>
        </is>
      </c>
      <c r="C22" s="6" t="inlineStr">
        <is>
          <t>St Mirren</t>
        </is>
      </c>
      <c r="D22" s="6" t="n">
        <v>0</v>
      </c>
      <c r="E22" s="6" t="n">
        <v>1</v>
      </c>
      <c r="F22" s="9" t="n">
        <v>1.33</v>
      </c>
      <c r="G22" s="9" t="n">
        <v>1.44</v>
      </c>
      <c r="H22" s="9" t="n">
        <v>0.41</v>
      </c>
      <c r="I22" s="9" t="n">
        <v>0.85</v>
      </c>
      <c r="J22" s="9" t="n">
        <v>-0.92</v>
      </c>
      <c r="K22" s="9" t="n">
        <v>-0.59</v>
      </c>
      <c r="L22" s="9" t="n">
        <v>-0.33</v>
      </c>
      <c r="M22" s="9" t="n">
        <v>-1.51</v>
      </c>
      <c r="N22" s="9" t="n">
        <v>0.9</v>
      </c>
      <c r="O22" s="9" t="n">
        <v>1.71</v>
      </c>
      <c r="P22" s="9" t="n">
        <v>1.3</v>
      </c>
      <c r="Q22" s="9" t="n">
        <v>1.45</v>
      </c>
    </row>
    <row r="23">
      <c r="A23" s="8" t="inlineStr">
        <is>
          <t>2026-09-02</t>
        </is>
      </c>
      <c r="B23" s="8" t="inlineStr">
        <is>
          <t>Dundee</t>
        </is>
      </c>
      <c r="C23" s="8" t="inlineStr">
        <is>
          <t>St Johnstone</t>
        </is>
      </c>
      <c r="D23" s="8" t="n">
        <v>1</v>
      </c>
      <c r="E23" s="8" t="n">
        <v>1</v>
      </c>
      <c r="F23" s="10" t="n">
        <v>1.37</v>
      </c>
      <c r="G23" s="10" t="n">
        <v>1.37</v>
      </c>
      <c r="H23" s="10" t="n">
        <v>2.04</v>
      </c>
      <c r="I23" s="10" t="n">
        <v>1.07</v>
      </c>
      <c r="J23" s="10" t="n">
        <v>0.67</v>
      </c>
      <c r="K23" s="10" t="n">
        <v>-0.3</v>
      </c>
      <c r="L23" s="10" t="n">
        <v>0.97</v>
      </c>
      <c r="M23" s="10" t="n">
        <v>0.36</v>
      </c>
      <c r="N23" s="10" t="n">
        <v>2</v>
      </c>
      <c r="O23" s="10" t="n">
        <v>0.79</v>
      </c>
      <c r="P23" s="10" t="n">
        <v>1.37</v>
      </c>
      <c r="Q23" s="10" t="n">
        <v>1.37</v>
      </c>
    </row>
    <row r="24">
      <c r="A24" s="6" t="inlineStr">
        <is>
          <t>2026-09-02</t>
        </is>
      </c>
      <c r="B24" s="6" t="inlineStr">
        <is>
          <t>Falkirk</t>
        </is>
      </c>
      <c r="C24" s="6" t="inlineStr">
        <is>
          <t>Rangers</t>
        </is>
      </c>
      <c r="D24" s="6" t="n">
        <v>1</v>
      </c>
      <c r="E24" s="6" t="n">
        <v>2</v>
      </c>
      <c r="F24" s="9" t="n">
        <v>1.05</v>
      </c>
      <c r="G24" s="9" t="n">
        <v>2.05</v>
      </c>
      <c r="H24" s="9" t="n">
        <v>1</v>
      </c>
      <c r="I24" s="9" t="n">
        <v>1.56</v>
      </c>
      <c r="J24" s="9" t="n">
        <v>-0.05</v>
      </c>
      <c r="K24" s="9" t="n">
        <v>-0.49</v>
      </c>
      <c r="L24" s="9" t="n">
        <v>0.44</v>
      </c>
      <c r="M24" s="9" t="n">
        <v>-0.53</v>
      </c>
      <c r="N24" s="9" t="n">
        <v>0.98</v>
      </c>
      <c r="O24" s="9" t="n">
        <v>1.76</v>
      </c>
      <c r="P24" s="9" t="n">
        <v>0.77</v>
      </c>
      <c r="Q24" s="9" t="n">
        <v>2.02</v>
      </c>
    </row>
    <row r="25">
      <c r="A25" s="8" t="inlineStr">
        <is>
          <t>2026-09-02</t>
        </is>
      </c>
      <c r="B25" s="8" t="inlineStr">
        <is>
          <t>Celtic</t>
        </is>
      </c>
      <c r="C25" s="8" t="inlineStr">
        <is>
          <t>Aberdeen</t>
        </is>
      </c>
      <c r="D25" s="8" t="n">
        <v>3</v>
      </c>
      <c r="E25" s="8" t="n">
        <v>0</v>
      </c>
      <c r="F25" s="10" t="n">
        <v>2.74</v>
      </c>
      <c r="G25" s="10" t="n">
        <v>0.8</v>
      </c>
      <c r="H25" s="10" t="n">
        <v>2.67</v>
      </c>
      <c r="I25" s="10" t="n">
        <v>0.68</v>
      </c>
      <c r="J25" s="10" t="n">
        <v>-0.07000000000000001</v>
      </c>
      <c r="K25" s="10" t="n">
        <v>-0.12</v>
      </c>
      <c r="L25" s="10" t="n">
        <v>0.05</v>
      </c>
      <c r="M25" s="10" t="n">
        <v>-0.19</v>
      </c>
      <c r="N25" s="10" t="n">
        <v>2.52</v>
      </c>
      <c r="O25" s="10" t="n">
        <v>0.35</v>
      </c>
      <c r="P25" s="10" t="n">
        <v>2.48</v>
      </c>
      <c r="Q25" s="10" t="n">
        <v>0.39</v>
      </c>
    </row>
    <row r="26">
      <c r="A26" s="6" t="inlineStr">
        <is>
          <t>2026-09-03</t>
        </is>
      </c>
      <c r="B26" s="6" t="inlineStr">
        <is>
          <t>Hibernian</t>
        </is>
      </c>
      <c r="C26" s="6" t="inlineStr">
        <is>
          <t>Heart of Midlothian</t>
        </is>
      </c>
      <c r="D26" s="6" t="n">
        <v>1</v>
      </c>
      <c r="E26" s="6" t="n">
        <v>3</v>
      </c>
      <c r="F26" s="9" t="n">
        <v>1.41</v>
      </c>
      <c r="G26" s="9" t="n">
        <v>1.34</v>
      </c>
      <c r="H26" s="9" t="n">
        <v>1.47</v>
      </c>
      <c r="I26" s="9" t="n">
        <v>0.86</v>
      </c>
      <c r="J26" s="9" t="n">
        <v>0.06</v>
      </c>
      <c r="K26" s="9" t="n">
        <v>-0.48</v>
      </c>
      <c r="L26" s="9" t="n">
        <v>0.55</v>
      </c>
      <c r="M26" s="9" t="n">
        <v>-0.42</v>
      </c>
      <c r="N26" s="9" t="n">
        <v>1.81</v>
      </c>
      <c r="O26" s="9" t="n">
        <v>0.93</v>
      </c>
      <c r="P26" s="9" t="n">
        <v>1.42</v>
      </c>
      <c r="Q26" s="9" t="n">
        <v>1.33</v>
      </c>
    </row>
    <row r="27">
      <c r="A27" s="8" t="inlineStr">
        <is>
          <t>2026-09-05</t>
        </is>
      </c>
      <c r="B27" s="8" t="inlineStr">
        <is>
          <t>St Mirren</t>
        </is>
      </c>
      <c r="C27" s="8" t="inlineStr">
        <is>
          <t>Celtic</t>
        </is>
      </c>
      <c r="D27" s="8" t="n">
        <v>1</v>
      </c>
      <c r="E27" s="8" t="n">
        <v>2</v>
      </c>
      <c r="F27" s="10" t="n">
        <v>1.03</v>
      </c>
      <c r="G27" s="10" t="n">
        <v>2.25</v>
      </c>
      <c r="H27" s="10" t="n">
        <v>1.95</v>
      </c>
      <c r="I27" s="10" t="n">
        <v>3.19</v>
      </c>
      <c r="J27" s="10" t="n">
        <v>0.92</v>
      </c>
      <c r="K27" s="10" t="n">
        <v>0.9399999999999999</v>
      </c>
      <c r="L27" s="10" t="n">
        <v>-0.02</v>
      </c>
      <c r="M27" s="10" t="n">
        <v>1.86</v>
      </c>
      <c r="N27" s="10" t="n">
        <v>0.8100000000000001</v>
      </c>
      <c r="O27" s="10" t="n">
        <v>2.03</v>
      </c>
      <c r="P27" s="10" t="n">
        <v>0.68</v>
      </c>
      <c r="Q27" s="10" t="n">
        <v>2.13</v>
      </c>
    </row>
    <row r="28">
      <c r="A28" s="6" t="inlineStr">
        <is>
          <t>2026-09-05</t>
        </is>
      </c>
      <c r="B28" s="6" t="inlineStr">
        <is>
          <t>Aberdeen</t>
        </is>
      </c>
      <c r="C28" s="6" t="inlineStr">
        <is>
          <t>Kilmarnock</t>
        </is>
      </c>
      <c r="D28" s="6" t="n">
        <v>0</v>
      </c>
      <c r="E28" s="6" t="n">
        <v>0</v>
      </c>
      <c r="F28" s="9" t="n">
        <v>1.88</v>
      </c>
      <c r="G28" s="9" t="n">
        <v>1.08</v>
      </c>
      <c r="H28" s="9" t="n">
        <v>1.08</v>
      </c>
      <c r="I28" s="9" t="n">
        <v>1.11</v>
      </c>
      <c r="J28" s="9" t="n">
        <v>-0.8</v>
      </c>
      <c r="K28" s="9" t="n">
        <v>0.03</v>
      </c>
      <c r="L28" s="9" t="n">
        <v>-0.83</v>
      </c>
      <c r="M28" s="9" t="n">
        <v>-0.77</v>
      </c>
      <c r="N28" s="9" t="n">
        <v>1.33</v>
      </c>
      <c r="O28" s="9" t="n">
        <v>1.38</v>
      </c>
      <c r="P28" s="9" t="n">
        <v>1.9</v>
      </c>
      <c r="Q28" s="9" t="n">
        <v>0.87</v>
      </c>
    </row>
    <row r="29">
      <c r="A29" s="8" t="inlineStr">
        <is>
          <t>2026-09-05</t>
        </is>
      </c>
      <c r="B29" s="8" t="inlineStr">
        <is>
          <t>Rangers</t>
        </is>
      </c>
      <c r="C29" s="8" t="inlineStr">
        <is>
          <t>Motherwell</t>
        </is>
      </c>
      <c r="D29" s="8" t="n">
        <v>1</v>
      </c>
      <c r="E29" s="8" t="n">
        <v>0</v>
      </c>
      <c r="F29" s="10" t="n">
        <v>2.16</v>
      </c>
      <c r="G29" s="10" t="n">
        <v>0.89</v>
      </c>
      <c r="H29" s="10" t="n">
        <v>4.28</v>
      </c>
      <c r="I29" s="10" t="n">
        <v>0.7</v>
      </c>
      <c r="J29" s="10" t="n">
        <v>2.12</v>
      </c>
      <c r="K29" s="10" t="n">
        <v>-0.19</v>
      </c>
      <c r="L29" s="10" t="n">
        <v>2.31</v>
      </c>
      <c r="M29" s="10" t="n">
        <v>1.93</v>
      </c>
      <c r="N29" s="10" t="n">
        <v>2.82</v>
      </c>
      <c r="O29" s="10" t="n">
        <v>0.11</v>
      </c>
      <c r="P29" s="10" t="n">
        <v>2.19</v>
      </c>
      <c r="Q29" s="10" t="n">
        <v>0.62</v>
      </c>
    </row>
    <row r="30">
      <c r="A30" s="6" t="inlineStr">
        <is>
          <t>2026-09-05</t>
        </is>
      </c>
      <c r="B30" s="6" t="inlineStr">
        <is>
          <t>Dundee United</t>
        </is>
      </c>
      <c r="C30" s="6" t="inlineStr">
        <is>
          <t>Falkirk</t>
        </is>
      </c>
      <c r="D30" s="6" t="n">
        <v>1</v>
      </c>
      <c r="E30" s="6" t="n">
        <v>1</v>
      </c>
      <c r="F30" s="9" t="n">
        <v>1.74</v>
      </c>
      <c r="G30" s="9" t="n">
        <v>1.16</v>
      </c>
      <c r="H30" s="9" t="n">
        <v>2.65</v>
      </c>
      <c r="I30" s="9" t="n">
        <v>1.22</v>
      </c>
      <c r="J30" s="9" t="n">
        <v>0.91</v>
      </c>
      <c r="K30" s="9" t="n">
        <v>0.06</v>
      </c>
      <c r="L30" s="9" t="n">
        <v>0.85</v>
      </c>
      <c r="M30" s="9" t="n">
        <v>0.98</v>
      </c>
      <c r="N30" s="9" t="n">
        <v>2.2</v>
      </c>
      <c r="O30" s="9" t="n">
        <v>0.63</v>
      </c>
      <c r="P30" s="9" t="n">
        <v>1.76</v>
      </c>
      <c r="Q30" s="9" t="n">
        <v>1</v>
      </c>
    </row>
    <row r="31">
      <c r="A31" s="8" t="inlineStr">
        <is>
          <t>2026-09-06</t>
        </is>
      </c>
      <c r="B31" s="8" t="inlineStr">
        <is>
          <t>Heart of Midlothian</t>
        </is>
      </c>
      <c r="C31" s="8" t="inlineStr">
        <is>
          <t>Dundee</t>
        </is>
      </c>
      <c r="D31" s="8" t="n">
        <v>2</v>
      </c>
      <c r="E31" s="8" t="n">
        <v>1</v>
      </c>
      <c r="F31" s="10" t="n">
        <v>2.12</v>
      </c>
      <c r="G31" s="10" t="n">
        <v>0.96</v>
      </c>
      <c r="H31" s="10" t="n">
        <v>1.92</v>
      </c>
      <c r="I31" s="10" t="n">
        <v>0.42</v>
      </c>
      <c r="J31" s="10" t="n">
        <v>-0.2</v>
      </c>
      <c r="K31" s="10" t="n">
        <v>-0.54</v>
      </c>
      <c r="L31" s="10" t="n">
        <v>0.34</v>
      </c>
      <c r="M31" s="10" t="n">
        <v>-0.74</v>
      </c>
      <c r="N31" s="10" t="n">
        <v>2.4</v>
      </c>
      <c r="O31" s="10" t="n">
        <v>0.41</v>
      </c>
      <c r="P31" s="10" t="n">
        <v>2.12</v>
      </c>
      <c r="Q31" s="10" t="n">
        <v>0.68</v>
      </c>
    </row>
    <row r="32">
      <c r="A32" s="6" t="inlineStr">
        <is>
          <t>2026-09-06</t>
        </is>
      </c>
      <c r="B32" s="6" t="inlineStr">
        <is>
          <t>St Johnstone</t>
        </is>
      </c>
      <c r="C32" s="6" t="inlineStr">
        <is>
          <t>Hibernian</t>
        </is>
      </c>
      <c r="D32" s="6" t="n">
        <v>2</v>
      </c>
      <c r="E32" s="6" t="n">
        <v>1</v>
      </c>
      <c r="F32" s="9" t="n">
        <v>1.31</v>
      </c>
      <c r="G32" s="9" t="n">
        <v>1.4</v>
      </c>
      <c r="H32" s="9" t="n">
        <v>2.32</v>
      </c>
      <c r="I32" s="9" t="n">
        <v>1.61</v>
      </c>
      <c r="J32" s="9" t="n">
        <v>1.01</v>
      </c>
      <c r="K32" s="9" t="n">
        <v>0.21</v>
      </c>
      <c r="L32" s="9" t="n">
        <v>0.8</v>
      </c>
      <c r="M32" s="9" t="n">
        <v>1.22</v>
      </c>
      <c r="N32" s="9" t="n">
        <v>1.81</v>
      </c>
      <c r="O32" s="9" t="n">
        <v>0.99</v>
      </c>
      <c r="P32" s="9" t="n">
        <v>1.31</v>
      </c>
      <c r="Q32" s="9" t="n">
        <v>1.43</v>
      </c>
    </row>
    <row r="33">
      <c r="A33" s="8" t="inlineStr">
        <is>
          <t>2026-09-09</t>
        </is>
      </c>
      <c r="B33" s="8" t="inlineStr">
        <is>
          <t>Rangers</t>
        </is>
      </c>
      <c r="C33" s="8" t="inlineStr">
        <is>
          <t>St Mirren</t>
        </is>
      </c>
      <c r="D33" s="8" t="n">
        <v>1</v>
      </c>
      <c r="E33" s="8" t="n">
        <v>0</v>
      </c>
      <c r="F33" s="10" t="n">
        <v>2.49</v>
      </c>
      <c r="G33" s="10" t="n">
        <v>0.9</v>
      </c>
      <c r="H33" s="10" t="n">
        <v>2.46</v>
      </c>
      <c r="I33" s="10" t="n">
        <v>1.26</v>
      </c>
      <c r="J33" s="10" t="n">
        <v>-0.03</v>
      </c>
      <c r="K33" s="10" t="n">
        <v>0.36</v>
      </c>
      <c r="L33" s="10" t="n">
        <v>-0.39</v>
      </c>
      <c r="M33" s="10" t="n">
        <v>0.33</v>
      </c>
      <c r="N33" s="10" t="n">
        <v>2.09</v>
      </c>
      <c r="O33" s="10" t="n">
        <v>0.72</v>
      </c>
      <c r="P33" s="10" t="n">
        <v>2.33</v>
      </c>
      <c r="Q33" s="10" t="n">
        <v>0.51</v>
      </c>
    </row>
    <row r="34">
      <c r="A34" s="6" t="inlineStr">
        <is>
          <t>2026-09-09</t>
        </is>
      </c>
      <c r="B34" s="6" t="inlineStr">
        <is>
          <t>St Johnstone</t>
        </is>
      </c>
      <c r="C34" s="6" t="inlineStr">
        <is>
          <t>Celtic</t>
        </is>
      </c>
      <c r="D34" s="6" t="n">
        <v>0</v>
      </c>
      <c r="E34" s="6" t="n">
        <v>1</v>
      </c>
      <c r="F34" s="9" t="n">
        <v>1.05</v>
      </c>
      <c r="G34" s="9" t="n">
        <v>2.24</v>
      </c>
      <c r="H34" s="9" t="n">
        <v>0.6899999999999999</v>
      </c>
      <c r="I34" s="9" t="n">
        <v>1.8</v>
      </c>
      <c r="J34" s="9" t="n">
        <v>-0.36</v>
      </c>
      <c r="K34" s="9" t="n">
        <v>-0.44</v>
      </c>
      <c r="L34" s="9" t="n">
        <v>0.07000000000000001</v>
      </c>
      <c r="M34" s="9" t="n">
        <v>-0.8</v>
      </c>
      <c r="N34" s="9" t="n">
        <v>0.64</v>
      </c>
      <c r="O34" s="9" t="n">
        <v>2.14</v>
      </c>
      <c r="P34" s="9" t="n">
        <v>0.6899999999999999</v>
      </c>
      <c r="Q34" s="9" t="n">
        <v>2.12</v>
      </c>
    </row>
    <row r="35">
      <c r="A35" s="8" t="inlineStr">
        <is>
          <t>2026-09-15</t>
        </is>
      </c>
      <c r="B35" s="8" t="inlineStr">
        <is>
          <t>Hibernian</t>
        </is>
      </c>
      <c r="C35" s="8" t="inlineStr">
        <is>
          <t>Kilmarnock</t>
        </is>
      </c>
      <c r="D35" s="8" t="n">
        <v>0</v>
      </c>
      <c r="E35" s="8" t="n">
        <v>1</v>
      </c>
      <c r="F35" s="10" t="n">
        <v>2.3</v>
      </c>
      <c r="G35" s="10" t="n">
        <v>0.97</v>
      </c>
      <c r="H35" s="10" t="n">
        <v>1.45</v>
      </c>
      <c r="I35" s="10" t="n">
        <v>2.21</v>
      </c>
      <c r="J35" s="10" t="n">
        <v>-0.85</v>
      </c>
      <c r="K35" s="10" t="n">
        <v>1.24</v>
      </c>
      <c r="L35" s="10" t="n">
        <v>-2.08</v>
      </c>
      <c r="M35" s="10" t="n">
        <v>0.39</v>
      </c>
      <c r="N35" s="10" t="n">
        <v>0.95</v>
      </c>
      <c r="O35" s="10" t="n">
        <v>1.85</v>
      </c>
      <c r="P35" s="10" t="n">
        <v>2.2</v>
      </c>
      <c r="Q35" s="10" t="n">
        <v>0.62</v>
      </c>
    </row>
    <row r="36">
      <c r="A36" s="6" t="inlineStr">
        <is>
          <t>2026-09-15</t>
        </is>
      </c>
      <c r="B36" s="6" t="inlineStr">
        <is>
          <t>Motherwell</t>
        </is>
      </c>
      <c r="C36" s="6" t="inlineStr">
        <is>
          <t>Aberdeen</t>
        </is>
      </c>
      <c r="D36" s="6" t="n">
        <v>0</v>
      </c>
      <c r="E36" s="6" t="n">
        <v>4</v>
      </c>
      <c r="F36" s="9" t="n">
        <v>1.78</v>
      </c>
      <c r="G36" s="9" t="n">
        <v>1.13</v>
      </c>
      <c r="H36" s="9" t="n">
        <v>0.85</v>
      </c>
      <c r="I36" s="9" t="n">
        <v>0.9</v>
      </c>
      <c r="J36" s="9" t="n">
        <v>-0.93</v>
      </c>
      <c r="K36" s="9" t="n">
        <v>-0.23</v>
      </c>
      <c r="L36" s="9" t="n">
        <v>-0.7</v>
      </c>
      <c r="M36" s="9" t="n">
        <v>-1.16</v>
      </c>
      <c r="N36" s="9" t="n">
        <v>1.29</v>
      </c>
      <c r="O36" s="9" t="n">
        <v>1.37</v>
      </c>
      <c r="P36" s="9" t="n">
        <v>1.81</v>
      </c>
      <c r="Q36" s="9" t="n">
        <v>0.96</v>
      </c>
    </row>
    <row r="37">
      <c r="A37" s="8" t="inlineStr">
        <is>
          <t>2026-09-15</t>
        </is>
      </c>
      <c r="B37" s="8" t="inlineStr">
        <is>
          <t>Falkirk</t>
        </is>
      </c>
      <c r="C37" s="8" t="inlineStr">
        <is>
          <t>Heart of Midlothian</t>
        </is>
      </c>
      <c r="D37" s="8" t="n">
        <v>2</v>
      </c>
      <c r="E37" s="8" t="n">
        <v>1</v>
      </c>
      <c r="F37" s="10" t="n">
        <v>1.15</v>
      </c>
      <c r="G37" s="10" t="n">
        <v>1.73</v>
      </c>
      <c r="H37" s="10" t="n">
        <v>2.09</v>
      </c>
      <c r="I37" s="10" t="n">
        <v>1.79</v>
      </c>
      <c r="J37" s="10" t="n">
        <v>0.9399999999999999</v>
      </c>
      <c r="K37" s="10" t="n">
        <v>0.06</v>
      </c>
      <c r="L37" s="10" t="n">
        <v>0.88</v>
      </c>
      <c r="M37" s="10" t="n">
        <v>1</v>
      </c>
      <c r="N37" s="10" t="n">
        <v>1.57</v>
      </c>
      <c r="O37" s="10" t="n">
        <v>1.22</v>
      </c>
      <c r="P37" s="10" t="n">
        <v>1</v>
      </c>
      <c r="Q37" s="10" t="n">
        <v>1.76</v>
      </c>
    </row>
    <row r="38">
      <c r="A38" s="6" t="inlineStr">
        <is>
          <t>2026-09-19</t>
        </is>
      </c>
      <c r="B38" s="6" t="inlineStr">
        <is>
          <t>St Johnstone</t>
        </is>
      </c>
      <c r="C38" s="6" t="inlineStr">
        <is>
          <t>Falkirk</t>
        </is>
      </c>
      <c r="D38" s="6" t="n">
        <v>1</v>
      </c>
      <c r="E38" s="6" t="n">
        <v>1</v>
      </c>
      <c r="F38" s="9" t="n">
        <v>1.58</v>
      </c>
      <c r="G38" s="9" t="n">
        <v>1.14</v>
      </c>
      <c r="H38" s="9" t="n">
        <v>0.9399999999999999</v>
      </c>
      <c r="I38" s="9" t="n">
        <v>1.29</v>
      </c>
      <c r="J38" s="9" t="n">
        <v>-0.64</v>
      </c>
      <c r="K38" s="9" t="n">
        <v>0.15</v>
      </c>
      <c r="L38" s="9" t="n">
        <v>-0.79</v>
      </c>
      <c r="M38" s="9" t="n">
        <v>-0.5</v>
      </c>
      <c r="N38" s="9" t="n">
        <v>1.1</v>
      </c>
      <c r="O38" s="9" t="n">
        <v>1.62</v>
      </c>
      <c r="P38" s="9" t="n">
        <v>1.68</v>
      </c>
      <c r="Q38" s="9" t="n">
        <v>1.07</v>
      </c>
    </row>
    <row r="39">
      <c r="A39" s="8" t="inlineStr">
        <is>
          <t>2026-09-19</t>
        </is>
      </c>
      <c r="B39" s="8" t="inlineStr">
        <is>
          <t>St Mirren</t>
        </is>
      </c>
      <c r="C39" s="8" t="inlineStr">
        <is>
          <t>Dundee United</t>
        </is>
      </c>
      <c r="D39" s="8" t="n">
        <v>0</v>
      </c>
      <c r="E39" s="8" t="n">
        <v>3</v>
      </c>
      <c r="F39" s="10" t="n">
        <v>1.59</v>
      </c>
      <c r="G39" s="10" t="n">
        <v>1.42</v>
      </c>
      <c r="H39" s="10" t="n">
        <v>0.99</v>
      </c>
      <c r="I39" s="10" t="n">
        <v>1.6</v>
      </c>
      <c r="J39" s="10" t="n">
        <v>-0.6</v>
      </c>
      <c r="K39" s="10" t="n">
        <v>0.18</v>
      </c>
      <c r="L39" s="10" t="n">
        <v>-0.78</v>
      </c>
      <c r="M39" s="10" t="n">
        <v>-0.42</v>
      </c>
      <c r="N39" s="10" t="n">
        <v>0.95</v>
      </c>
      <c r="O39" s="10" t="n">
        <v>1.8</v>
      </c>
      <c r="P39" s="10" t="n">
        <v>1.49</v>
      </c>
      <c r="Q39" s="10" t="n">
        <v>1.27</v>
      </c>
    </row>
    <row r="40">
      <c r="A40" s="6" t="inlineStr">
        <is>
          <t>2026-09-19</t>
        </is>
      </c>
      <c r="B40" s="6" t="inlineStr">
        <is>
          <t>Kilmarnock</t>
        </is>
      </c>
      <c r="C40" s="6" t="inlineStr">
        <is>
          <t>Heart of Midlothian</t>
        </is>
      </c>
      <c r="D40" s="6" t="n">
        <v>1</v>
      </c>
      <c r="E40" s="6" t="n">
        <v>1</v>
      </c>
      <c r="F40" s="9" t="n">
        <v>1.12</v>
      </c>
      <c r="G40" s="9" t="n">
        <v>2.04</v>
      </c>
      <c r="H40" s="9" t="n">
        <v>0.39</v>
      </c>
      <c r="I40" s="9" t="n">
        <v>1.92</v>
      </c>
      <c r="J40" s="9" t="n">
        <v>-0.73</v>
      </c>
      <c r="K40" s="9" t="n">
        <v>-0.12</v>
      </c>
      <c r="L40" s="9" t="n">
        <v>-0.61</v>
      </c>
      <c r="M40" s="9" t="n">
        <v>-0.84</v>
      </c>
      <c r="N40" s="9" t="n">
        <v>0.39</v>
      </c>
      <c r="O40" s="9" t="n">
        <v>2.42</v>
      </c>
      <c r="P40" s="9" t="n">
        <v>0.82</v>
      </c>
      <c r="Q40" s="9" t="n">
        <v>1.97</v>
      </c>
    </row>
    <row r="41">
      <c r="A41" s="8" t="inlineStr">
        <is>
          <t>2026-09-19</t>
        </is>
      </c>
      <c r="B41" s="8" t="inlineStr">
        <is>
          <t>Hibernian</t>
        </is>
      </c>
      <c r="C41" s="8" t="inlineStr">
        <is>
          <t>Aberdeen</t>
        </is>
      </c>
      <c r="D41" s="8" t="n">
        <v>1</v>
      </c>
      <c r="E41" s="8" t="n">
        <v>1</v>
      </c>
      <c r="F41" s="10" t="n">
        <v>1.87</v>
      </c>
      <c r="G41" s="10" t="n">
        <v>1.07</v>
      </c>
      <c r="H41" s="10" t="n">
        <v>1.4</v>
      </c>
      <c r="I41" s="10" t="n">
        <v>0.7</v>
      </c>
      <c r="J41" s="10" t="n">
        <v>-0.47</v>
      </c>
      <c r="K41" s="10" t="n">
        <v>-0.37</v>
      </c>
      <c r="L41" s="10" t="n">
        <v>-0.1</v>
      </c>
      <c r="M41" s="10" t="n">
        <v>-0.83</v>
      </c>
      <c r="N41" s="10" t="n">
        <v>1.89</v>
      </c>
      <c r="O41" s="10" t="n">
        <v>0.84</v>
      </c>
      <c r="P41" s="10" t="n">
        <v>1.91</v>
      </c>
      <c r="Q41" s="10" t="n">
        <v>0.87</v>
      </c>
    </row>
    <row r="42">
      <c r="A42" s="6" t="inlineStr">
        <is>
          <t>2026-09-19</t>
        </is>
      </c>
      <c r="B42" s="6" t="inlineStr">
        <is>
          <t>Dundee</t>
        </is>
      </c>
      <c r="C42" s="6" t="inlineStr">
        <is>
          <t>Motherwell</t>
        </is>
      </c>
      <c r="D42" s="6" t="n">
        <v>2</v>
      </c>
      <c r="E42" s="6" t="n">
        <v>1</v>
      </c>
      <c r="F42" s="9" t="n">
        <v>1.31</v>
      </c>
      <c r="G42" s="9" t="n">
        <v>1.54</v>
      </c>
      <c r="H42" s="9" t="n">
        <v>1.38</v>
      </c>
      <c r="I42" s="9" t="n">
        <v>1.1</v>
      </c>
      <c r="J42" s="9" t="n">
        <v>0.07000000000000001</v>
      </c>
      <c r="K42" s="9" t="n">
        <v>-0.44</v>
      </c>
      <c r="L42" s="9" t="n">
        <v>0.51</v>
      </c>
      <c r="M42" s="9" t="n">
        <v>-0.37</v>
      </c>
      <c r="N42" s="9" t="n">
        <v>1.57</v>
      </c>
      <c r="O42" s="9" t="n">
        <v>1.17</v>
      </c>
      <c r="P42" s="9" t="n">
        <v>1.22</v>
      </c>
      <c r="Q42" s="9" t="n">
        <v>1.53</v>
      </c>
    </row>
    <row r="43">
      <c r="A43" s="8" t="inlineStr">
        <is>
          <t>2026-09-20</t>
        </is>
      </c>
      <c r="B43" s="8" t="inlineStr">
        <is>
          <t>Celtic</t>
        </is>
      </c>
      <c r="C43" s="8" t="inlineStr">
        <is>
          <t>Rangers</t>
        </is>
      </c>
      <c r="D43" s="8" t="n">
        <v>0</v>
      </c>
      <c r="E43" s="8" t="n">
        <v>1</v>
      </c>
      <c r="F43" s="10" t="n">
        <v>1.73</v>
      </c>
      <c r="G43" s="10" t="n">
        <v>1.44</v>
      </c>
      <c r="H43" s="10" t="n">
        <v>0.39</v>
      </c>
      <c r="I43" s="10" t="n">
        <v>1.75</v>
      </c>
      <c r="J43" s="10" t="n">
        <v>-1.34</v>
      </c>
      <c r="K43" s="10" t="n">
        <v>0.31</v>
      </c>
      <c r="L43" s="10" t="n">
        <v>-1.65</v>
      </c>
      <c r="M43" s="10" t="n">
        <v>-1.03</v>
      </c>
      <c r="N43" s="10" t="n">
        <v>0.44</v>
      </c>
      <c r="O43" s="10" t="n">
        <v>2.35</v>
      </c>
      <c r="P43" s="10" t="n">
        <v>1.57</v>
      </c>
      <c r="Q43" s="10" t="n">
        <v>1.2</v>
      </c>
    </row>
    <row r="44">
      <c r="A44" s="6" t="inlineStr">
        <is>
          <t>2026-10-10</t>
        </is>
      </c>
      <c r="B44" s="6" t="inlineStr">
        <is>
          <t>Rangers</t>
        </is>
      </c>
      <c r="C44" s="6" t="inlineStr">
        <is>
          <t>Kilmarnock</t>
        </is>
      </c>
      <c r="D44" s="6" t="n">
        <v>3</v>
      </c>
      <c r="E44" s="6" t="n">
        <v>1</v>
      </c>
      <c r="F44" s="9" t="n">
        <v>2.95</v>
      </c>
      <c r="G44" s="9" t="n">
        <v>0.68</v>
      </c>
      <c r="H44" s="9" t="n">
        <v>1.93</v>
      </c>
      <c r="I44" s="9" t="n">
        <v>1.25</v>
      </c>
      <c r="J44" s="9" t="n">
        <v>-1.02</v>
      </c>
      <c r="K44" s="9" t="n">
        <v>0.57</v>
      </c>
      <c r="L44" s="9" t="n">
        <v>-1.59</v>
      </c>
      <c r="M44" s="9" t="n">
        <v>-0.46</v>
      </c>
      <c r="N44" s="9" t="n">
        <v>1.82</v>
      </c>
      <c r="O44" s="9" t="n">
        <v>0.96</v>
      </c>
      <c r="P44" s="9" t="n">
        <v>2.6</v>
      </c>
      <c r="Q44" s="9" t="n">
        <v>0.28</v>
      </c>
    </row>
    <row r="45">
      <c r="A45" s="8" t="inlineStr">
        <is>
          <t>2026-10-10</t>
        </is>
      </c>
      <c r="B45" s="8" t="inlineStr">
        <is>
          <t>Falkirk</t>
        </is>
      </c>
      <c r="C45" s="8" t="inlineStr">
        <is>
          <t>Dundee</t>
        </is>
      </c>
      <c r="D45" s="8" t="n">
        <v>1</v>
      </c>
      <c r="E45" s="8" t="n">
        <v>2</v>
      </c>
      <c r="F45" s="10" t="n">
        <v>1.66</v>
      </c>
      <c r="G45" s="10" t="n">
        <v>1.19</v>
      </c>
      <c r="H45" s="10" t="n">
        <v>2.31</v>
      </c>
      <c r="I45" s="10" t="n">
        <v>1.9</v>
      </c>
      <c r="J45" s="10" t="n">
        <v>0.65</v>
      </c>
      <c r="K45" s="10" t="n">
        <v>0.71</v>
      </c>
      <c r="L45" s="10" t="n">
        <v>-0.06</v>
      </c>
      <c r="M45" s="10" t="n">
        <v>1.37</v>
      </c>
      <c r="N45" s="10" t="n">
        <v>1.63</v>
      </c>
      <c r="O45" s="10" t="n">
        <v>1.17</v>
      </c>
      <c r="P45" s="10" t="n">
        <v>1.7</v>
      </c>
      <c r="Q45" s="10" t="n">
        <v>1.06</v>
      </c>
    </row>
    <row r="46">
      <c r="A46" s="6" t="inlineStr">
        <is>
          <t>2026-10-10</t>
        </is>
      </c>
      <c r="B46" s="6" t="inlineStr">
        <is>
          <t>Dundee United</t>
        </is>
      </c>
      <c r="C46" s="6" t="inlineStr">
        <is>
          <t>Hibernian</t>
        </is>
      </c>
      <c r="D46" s="6" t="n">
        <v>1</v>
      </c>
      <c r="E46" s="6" t="n">
        <v>0</v>
      </c>
      <c r="F46" s="9" t="n">
        <v>1.47</v>
      </c>
      <c r="G46" s="9" t="n">
        <v>1.54</v>
      </c>
      <c r="H46" s="9" t="n">
        <v>1.84</v>
      </c>
      <c r="I46" s="9" t="n">
        <v>0.83</v>
      </c>
      <c r="J46" s="9" t="n">
        <v>0.37</v>
      </c>
      <c r="K46" s="9" t="n">
        <v>-0.71</v>
      </c>
      <c r="L46" s="9" t="n">
        <v>1.09</v>
      </c>
      <c r="M46" s="9" t="n">
        <v>-0.34</v>
      </c>
      <c r="N46" s="9" t="n">
        <v>2.06</v>
      </c>
      <c r="O46" s="9" t="n">
        <v>0.72</v>
      </c>
      <c r="P46" s="9" t="n">
        <v>1.33</v>
      </c>
      <c r="Q46" s="9" t="n">
        <v>1.43</v>
      </c>
    </row>
    <row r="47">
      <c r="A47" s="8" t="inlineStr">
        <is>
          <t>2026-10-10</t>
        </is>
      </c>
      <c r="B47" s="8" t="inlineStr">
        <is>
          <t>Heart of Midlothian</t>
        </is>
      </c>
      <c r="C47" s="8" t="inlineStr">
        <is>
          <t>St Mirren</t>
        </is>
      </c>
      <c r="D47" s="8" t="n">
        <v>5</v>
      </c>
      <c r="E47" s="8" t="n">
        <v>0</v>
      </c>
      <c r="F47" s="10" t="n">
        <v>2.26</v>
      </c>
      <c r="G47" s="10" t="n">
        <v>1</v>
      </c>
      <c r="H47" s="10" t="n">
        <v>3.9</v>
      </c>
      <c r="I47" s="10" t="n">
        <v>0.9</v>
      </c>
      <c r="J47" s="10" t="n">
        <v>1.64</v>
      </c>
      <c r="K47" s="10" t="n">
        <v>-0.1</v>
      </c>
      <c r="L47" s="10" t="n">
        <v>1.74</v>
      </c>
      <c r="M47" s="10" t="n">
        <v>1.54</v>
      </c>
      <c r="N47" s="10" t="n">
        <v>2.71</v>
      </c>
      <c r="O47" s="10" t="n">
        <v>0.2</v>
      </c>
      <c r="P47" s="10" t="n">
        <v>2.16</v>
      </c>
      <c r="Q47" s="10" t="n">
        <v>0.65</v>
      </c>
    </row>
    <row r="48">
      <c r="A48" s="6" t="inlineStr">
        <is>
          <t>2026-10-11</t>
        </is>
      </c>
      <c r="B48" s="6" t="inlineStr">
        <is>
          <t>Aberdeen</t>
        </is>
      </c>
      <c r="C48" s="6" t="inlineStr">
        <is>
          <t>St Johnstone</t>
        </is>
      </c>
      <c r="D48" s="6" t="n">
        <v>0</v>
      </c>
      <c r="E48" s="6" t="n">
        <v>1</v>
      </c>
      <c r="F48" s="9" t="n">
        <v>1.5</v>
      </c>
      <c r="G48" s="9" t="n">
        <v>1.16</v>
      </c>
      <c r="H48" s="9" t="n">
        <v>1.69</v>
      </c>
      <c r="I48" s="9" t="n">
        <v>1.25</v>
      </c>
      <c r="J48" s="9" t="n">
        <v>0.19</v>
      </c>
      <c r="K48" s="9" t="n">
        <v>0.09</v>
      </c>
      <c r="L48" s="9" t="n">
        <v>0.1</v>
      </c>
      <c r="M48" s="9" t="n">
        <v>0.29</v>
      </c>
      <c r="N48" s="9" t="n">
        <v>1.67</v>
      </c>
      <c r="O48" s="9" t="n">
        <v>1.09</v>
      </c>
      <c r="P48" s="9" t="n">
        <v>1.61</v>
      </c>
      <c r="Q48" s="9" t="n">
        <v>1.14</v>
      </c>
    </row>
    <row r="49">
      <c r="A49" s="8" t="inlineStr">
        <is>
          <t>2026-10-11</t>
        </is>
      </c>
      <c r="B49" s="8" t="inlineStr">
        <is>
          <t>Motherwell</t>
        </is>
      </c>
      <c r="C49" s="8" t="inlineStr">
        <is>
          <t>Celtic</t>
        </is>
      </c>
      <c r="D49" s="8" t="n">
        <v>0</v>
      </c>
      <c r="E49" s="8" t="n">
        <v>2</v>
      </c>
      <c r="F49" s="10" t="n">
        <v>1.16</v>
      </c>
      <c r="G49" s="10" t="n">
        <v>2.19</v>
      </c>
      <c r="H49" s="10" t="n">
        <v>1.05</v>
      </c>
      <c r="I49" s="10" t="n">
        <v>2.85</v>
      </c>
      <c r="J49" s="10" t="n">
        <v>-0.11</v>
      </c>
      <c r="K49" s="10" t="n">
        <v>0.66</v>
      </c>
      <c r="L49" s="10" t="n">
        <v>-0.77</v>
      </c>
      <c r="M49" s="10" t="n">
        <v>0.55</v>
      </c>
      <c r="N49" s="10" t="n">
        <v>0.48</v>
      </c>
      <c r="O49" s="10" t="n">
        <v>2.38</v>
      </c>
      <c r="P49" s="10" t="n">
        <v>0.78</v>
      </c>
      <c r="Q49" s="10" t="n">
        <v>2.02</v>
      </c>
    </row>
  </sheetData>
  <autoFilter ref="A1:Q49"/>
  <conditionalFormatting sqref="J2:J49">
    <cfRule type="colorScale" priority="1">
      <colorScale>
        <cfvo type="min"/>
        <cfvo type="num" val="0"/>
        <cfvo type="max"/>
        <color rgb="00F8696B"/>
        <color rgb="00FFFFFF"/>
        <color rgb="0063BE7B"/>
      </colorScale>
    </cfRule>
  </conditionalFormatting>
  <conditionalFormatting sqref="K2:K49">
    <cfRule type="colorScale" priority="2">
      <colorScale>
        <cfvo type="min"/>
        <cfvo type="num" val="0"/>
        <cfvo type="max"/>
        <color rgb="00F8696B"/>
        <color rgb="00FFFFFF"/>
        <color rgb="0063BE7B"/>
      </colorScale>
    </cfRule>
  </conditionalFormatting>
  <conditionalFormatting sqref="L2:L49">
    <cfRule type="colorScale" priority="3">
      <colorScale>
        <cfvo type="min"/>
        <cfvo type="num" val="0"/>
        <cfvo type="max"/>
        <color rgb="00F8696B"/>
        <color rgb="00FFFFFF"/>
        <color rgb="0063BE7B"/>
      </colorScale>
    </cfRule>
  </conditionalFormatting>
  <conditionalFormatting sqref="M2:M49">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showGridLines="0" workbookViewId="0">
      <pane ySplit="2" topLeftCell="A3" activePane="bottomLeft" state="frozen"/>
      <selection pane="bottomLeft" activeCell="A1" sqref="A1"/>
    </sheetView>
  </sheetViews>
  <sheetFormatPr baseColWidth="8" defaultRowHeight="15"/>
  <cols>
    <col width="20"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Dundee United</t>
        </is>
      </c>
      <c r="B3" s="9" t="n">
        <v>0.45</v>
      </c>
      <c r="C3" s="9" t="n">
        <v>0.8100000000000001</v>
      </c>
      <c r="D3" s="9" t="n">
        <v>0.68</v>
      </c>
      <c r="E3" s="9" t="n">
        <v>0.97</v>
      </c>
      <c r="F3" s="9" t="n">
        <v>0.22</v>
      </c>
      <c r="G3" s="9" t="n">
        <v>0.08</v>
      </c>
    </row>
    <row r="4">
      <c r="A4" s="8" t="inlineStr">
        <is>
          <t>Celtic</t>
        </is>
      </c>
      <c r="B4" s="10" t="n">
        <v>0.35</v>
      </c>
      <c r="C4" s="10" t="n">
        <v>0.04</v>
      </c>
      <c r="D4" s="10" t="n">
        <v>-0.23</v>
      </c>
      <c r="E4" s="10" t="n">
        <v>-0.11</v>
      </c>
      <c r="F4" s="10" t="n">
        <v>0.9399999999999999</v>
      </c>
      <c r="G4" s="10" t="n">
        <v>0.4</v>
      </c>
    </row>
    <row r="5">
      <c r="A5" s="6" t="inlineStr">
        <is>
          <t>Dundee</t>
        </is>
      </c>
      <c r="B5" s="9" t="n">
        <v>0.27</v>
      </c>
      <c r="C5" s="9" t="n">
        <v>0.39</v>
      </c>
      <c r="D5" s="9" t="n">
        <v>0.41</v>
      </c>
      <c r="E5" s="9" t="n">
        <v>0.74</v>
      </c>
      <c r="F5" s="9" t="n">
        <v>0.13</v>
      </c>
      <c r="G5" s="9" t="n">
        <v>0.16</v>
      </c>
    </row>
    <row r="6">
      <c r="A6" s="8" t="inlineStr">
        <is>
          <t>Heart of Midlothian</t>
        </is>
      </c>
      <c r="B6" s="10" t="n">
        <v>0.11</v>
      </c>
      <c r="C6" s="10" t="n">
        <v>0.24</v>
      </c>
      <c r="D6" s="10" t="n">
        <v>0.71</v>
      </c>
      <c r="E6" s="10" t="n">
        <v>0.48</v>
      </c>
      <c r="F6" s="10" t="n">
        <v>-0.49</v>
      </c>
      <c r="G6" s="10" t="n">
        <v>-0.72</v>
      </c>
    </row>
    <row r="7">
      <c r="A7" s="6" t="inlineStr">
        <is>
          <t>Rangers</t>
        </is>
      </c>
      <c r="B7" s="9" t="n">
        <v>0.08</v>
      </c>
      <c r="C7" s="9" t="n">
        <v>-0.42</v>
      </c>
      <c r="D7" s="9" t="n">
        <v>-0.07000000000000001</v>
      </c>
      <c r="E7" s="9" t="n">
        <v>-0.49</v>
      </c>
      <c r="F7" s="9" t="n">
        <v>0.22</v>
      </c>
      <c r="G7" s="9" t="n">
        <v>0.29</v>
      </c>
    </row>
    <row r="8">
      <c r="A8" s="8" t="inlineStr">
        <is>
          <t>St Mirren</t>
        </is>
      </c>
      <c r="B8" s="10" t="n">
        <v>0.03</v>
      </c>
      <c r="C8" s="10" t="n">
        <v>0.24</v>
      </c>
      <c r="D8" s="10" t="n">
        <v>-0.06</v>
      </c>
      <c r="E8" s="10" t="n">
        <v>0.07000000000000001</v>
      </c>
      <c r="F8" s="10" t="n">
        <v>0.12</v>
      </c>
      <c r="G8" s="10" t="n">
        <v>0.36</v>
      </c>
    </row>
    <row r="9">
      <c r="A9" s="6" t="inlineStr">
        <is>
          <t>St Johnstone</t>
        </is>
      </c>
      <c r="B9" s="9" t="n">
        <v>-0.06</v>
      </c>
      <c r="C9" s="9" t="n">
        <v>-0.12</v>
      </c>
      <c r="D9" s="9" t="n">
        <v>0.22</v>
      </c>
      <c r="E9" s="9" t="n">
        <v>0.44</v>
      </c>
      <c r="F9" s="9" t="n">
        <v>-0.34</v>
      </c>
      <c r="G9" s="9" t="n">
        <v>-0.15</v>
      </c>
    </row>
    <row r="10">
      <c r="A10" s="8" t="inlineStr">
        <is>
          <t>Aberdeen</t>
        </is>
      </c>
      <c r="B10" s="10" t="n">
        <v>-0.13</v>
      </c>
      <c r="C10" s="10" t="n">
        <v>0.03</v>
      </c>
      <c r="D10" s="10" t="n">
        <v>-0.15</v>
      </c>
      <c r="E10" s="10" t="n">
        <v>-0.36</v>
      </c>
      <c r="F10" s="10" t="n">
        <v>-0.11</v>
      </c>
      <c r="G10" s="10" t="n">
        <v>0.03</v>
      </c>
    </row>
    <row r="11">
      <c r="A11" s="6" t="inlineStr">
        <is>
          <t>Falkirk</t>
        </is>
      </c>
      <c r="B11" s="9" t="n">
        <v>-0.16</v>
      </c>
      <c r="C11" s="9" t="n">
        <v>-0.06</v>
      </c>
      <c r="D11" s="9" t="n">
        <v>-0.06</v>
      </c>
      <c r="E11" s="9" t="n">
        <v>0.19</v>
      </c>
      <c r="F11" s="9" t="n">
        <v>-0.26</v>
      </c>
      <c r="G11" s="9" t="n">
        <v>-0.45</v>
      </c>
    </row>
    <row r="12">
      <c r="A12" s="8" t="inlineStr">
        <is>
          <t>Hibernian</t>
        </is>
      </c>
      <c r="B12" s="10" t="n">
        <v>-0.3</v>
      </c>
      <c r="C12" s="10" t="n">
        <v>-0.31</v>
      </c>
      <c r="D12" s="10" t="n">
        <v>-0.54</v>
      </c>
      <c r="E12" s="10" t="n">
        <v>-0.31</v>
      </c>
      <c r="F12" s="10" t="n">
        <v>-0.07000000000000001</v>
      </c>
      <c r="G12" s="10" t="n">
        <v>-0.11</v>
      </c>
    </row>
    <row r="13">
      <c r="A13" s="6" t="inlineStr">
        <is>
          <t>Motherwell</t>
        </is>
      </c>
      <c r="B13" s="9" t="n">
        <v>-0.3</v>
      </c>
      <c r="C13" s="9" t="n">
        <v>-0.45</v>
      </c>
      <c r="D13" s="9" t="n">
        <v>0.07000000000000001</v>
      </c>
      <c r="E13" s="9" t="n">
        <v>-0.32</v>
      </c>
      <c r="F13" s="9" t="n">
        <v>-0.67</v>
      </c>
      <c r="G13" s="9" t="n">
        <v>-0.45</v>
      </c>
    </row>
    <row r="14">
      <c r="A14" s="8" t="inlineStr">
        <is>
          <t>Kilmarnock</t>
        </is>
      </c>
      <c r="B14" s="10" t="n">
        <v>-0.34</v>
      </c>
      <c r="C14" s="10" t="n">
        <v>-0.47</v>
      </c>
      <c r="D14" s="10" t="n">
        <v>-1.59</v>
      </c>
      <c r="E14" s="10" t="n">
        <v>-1.5</v>
      </c>
      <c r="F14" s="10" t="n">
        <v>0.93</v>
      </c>
      <c r="G14" s="10" t="n">
        <v>1.21</v>
      </c>
    </row>
    <row r="16">
      <c r="A16" s="13" t="inlineStr">
        <is>
          <t>Total Goals - Total / Home / Away</t>
        </is>
      </c>
    </row>
    <row r="17" ht="30" customHeight="1">
      <c r="A17" s="4" t="inlineStr">
        <is>
          <t>Team</t>
        </is>
      </c>
      <c r="B17" s="4" t="inlineStr">
        <is>
          <t>Total GF</t>
        </is>
      </c>
      <c r="C17" s="4" t="inlineStr">
        <is>
          <t>Total GA</t>
        </is>
      </c>
      <c r="D17" s="4" t="inlineStr">
        <is>
          <t>Home GF</t>
        </is>
      </c>
      <c r="E17" s="4" t="inlineStr">
        <is>
          <t>Home GA</t>
        </is>
      </c>
      <c r="F17" s="4" t="inlineStr">
        <is>
          <t>Away GF</t>
        </is>
      </c>
      <c r="G17" s="4" t="inlineStr">
        <is>
          <t>Away GA</t>
        </is>
      </c>
    </row>
    <row r="18">
      <c r="A18" s="6" t="inlineStr">
        <is>
          <t>Dundee United</t>
        </is>
      </c>
      <c r="B18" s="6" t="n">
        <v>10</v>
      </c>
      <c r="C18" s="6" t="n">
        <v>11</v>
      </c>
      <c r="D18" s="6" t="n">
        <v>3</v>
      </c>
      <c r="E18" s="6" t="n">
        <v>4</v>
      </c>
      <c r="F18" s="6" t="n">
        <v>7</v>
      </c>
      <c r="G18" s="6" t="n">
        <v>7</v>
      </c>
    </row>
    <row r="19">
      <c r="A19" s="8" t="inlineStr">
        <is>
          <t>Celtic</t>
        </is>
      </c>
      <c r="B19" s="8" t="n">
        <v>16</v>
      </c>
      <c r="C19" s="8" t="n">
        <v>4</v>
      </c>
      <c r="D19" s="8" t="n">
        <v>6</v>
      </c>
      <c r="E19" s="8" t="n">
        <v>2</v>
      </c>
      <c r="F19" s="8" t="n">
        <v>10</v>
      </c>
      <c r="G19" s="8" t="n">
        <v>2</v>
      </c>
    </row>
    <row r="20">
      <c r="A20" s="6" t="inlineStr">
        <is>
          <t>Dundee</t>
        </is>
      </c>
      <c r="B20" s="6" t="n">
        <v>11</v>
      </c>
      <c r="C20" s="6" t="n">
        <v>8</v>
      </c>
      <c r="D20" s="6" t="n">
        <v>6</v>
      </c>
      <c r="E20" s="6" t="n">
        <v>4</v>
      </c>
      <c r="F20" s="6" t="n">
        <v>5</v>
      </c>
      <c r="G20" s="6" t="n">
        <v>4</v>
      </c>
    </row>
    <row r="21">
      <c r="A21" s="8" t="inlineStr">
        <is>
          <t>Heart of Midlothian</t>
        </is>
      </c>
      <c r="B21" s="8" t="n">
        <v>19</v>
      </c>
      <c r="C21" s="8" t="n">
        <v>8</v>
      </c>
      <c r="D21" s="8" t="n">
        <v>13</v>
      </c>
      <c r="E21" s="8" t="n">
        <v>2</v>
      </c>
      <c r="F21" s="8" t="n">
        <v>6</v>
      </c>
      <c r="G21" s="8" t="n">
        <v>6</v>
      </c>
    </row>
    <row r="22">
      <c r="A22" s="6" t="inlineStr">
        <is>
          <t>Rangers</t>
        </is>
      </c>
      <c r="B22" s="6" t="n">
        <v>11</v>
      </c>
      <c r="C22" s="6" t="n">
        <v>5</v>
      </c>
      <c r="D22" s="6" t="n">
        <v>6</v>
      </c>
      <c r="E22" s="6" t="n">
        <v>3</v>
      </c>
      <c r="F22" s="6" t="n">
        <v>5</v>
      </c>
      <c r="G22" s="6" t="n">
        <v>2</v>
      </c>
    </row>
    <row r="23">
      <c r="A23" s="8" t="inlineStr">
        <is>
          <t>St Mirren</t>
        </is>
      </c>
      <c r="B23" s="8" t="n">
        <v>8</v>
      </c>
      <c r="C23" s="8" t="n">
        <v>14</v>
      </c>
      <c r="D23" s="8" t="n">
        <v>5</v>
      </c>
      <c r="E23" s="8" t="n">
        <v>8</v>
      </c>
      <c r="F23" s="8" t="n">
        <v>3</v>
      </c>
      <c r="G23" s="8" t="n">
        <v>6</v>
      </c>
    </row>
    <row r="24">
      <c r="A24" s="6" t="inlineStr">
        <is>
          <t>St Johnstone</t>
        </is>
      </c>
      <c r="B24" s="6" t="n">
        <v>10</v>
      </c>
      <c r="C24" s="6" t="n">
        <v>10</v>
      </c>
      <c r="D24" s="6" t="n">
        <v>7</v>
      </c>
      <c r="E24" s="6" t="n">
        <v>6</v>
      </c>
      <c r="F24" s="6" t="n">
        <v>3</v>
      </c>
      <c r="G24" s="6" t="n">
        <v>4</v>
      </c>
    </row>
    <row r="25">
      <c r="A25" s="8" t="inlineStr">
        <is>
          <t>Aberdeen</t>
        </is>
      </c>
      <c r="B25" s="8" t="n">
        <v>7</v>
      </c>
      <c r="C25" s="8" t="n">
        <v>9</v>
      </c>
      <c r="D25" s="8" t="n">
        <v>2</v>
      </c>
      <c r="E25" s="8" t="n">
        <v>3</v>
      </c>
      <c r="F25" s="8" t="n">
        <v>5</v>
      </c>
      <c r="G25" s="8" t="n">
        <v>6</v>
      </c>
    </row>
    <row r="26">
      <c r="A26" s="6" t="inlineStr">
        <is>
          <t>Falkirk</t>
        </is>
      </c>
      <c r="B26" s="6" t="n">
        <v>7</v>
      </c>
      <c r="C26" s="6" t="n">
        <v>11</v>
      </c>
      <c r="D26" s="6" t="n">
        <v>4</v>
      </c>
      <c r="E26" s="6" t="n">
        <v>7</v>
      </c>
      <c r="F26" s="6" t="n">
        <v>3</v>
      </c>
      <c r="G26" s="6" t="n">
        <v>4</v>
      </c>
    </row>
    <row r="27">
      <c r="A27" s="8" t="inlineStr">
        <is>
          <t>Hibernian</t>
        </is>
      </c>
      <c r="B27" s="8" t="n">
        <v>8</v>
      </c>
      <c r="C27" s="8" t="n">
        <v>12</v>
      </c>
      <c r="D27" s="8" t="n">
        <v>3</v>
      </c>
      <c r="E27" s="8" t="n">
        <v>7</v>
      </c>
      <c r="F27" s="8" t="n">
        <v>5</v>
      </c>
      <c r="G27" s="8" t="n">
        <v>5</v>
      </c>
    </row>
    <row r="28">
      <c r="A28" s="6" t="inlineStr">
        <is>
          <t>Motherwell</t>
        </is>
      </c>
      <c r="B28" s="6" t="n">
        <v>9</v>
      </c>
      <c r="C28" s="6" t="n">
        <v>13</v>
      </c>
      <c r="D28" s="6" t="n">
        <v>3</v>
      </c>
      <c r="E28" s="6" t="n">
        <v>6</v>
      </c>
      <c r="F28" s="6" t="n">
        <v>6</v>
      </c>
      <c r="G28" s="6" t="n">
        <v>7</v>
      </c>
    </row>
    <row r="29">
      <c r="A29" s="8" t="inlineStr">
        <is>
          <t>Kilmarnock</t>
        </is>
      </c>
      <c r="B29" s="8" t="n">
        <v>7</v>
      </c>
      <c r="C29" s="8" t="n">
        <v>18</v>
      </c>
      <c r="D29" s="8" t="n">
        <v>2</v>
      </c>
      <c r="E29" s="8" t="n">
        <v>11</v>
      </c>
      <c r="F29" s="8" t="n">
        <v>5</v>
      </c>
      <c r="G29" s="8" t="n">
        <v>7</v>
      </c>
    </row>
  </sheetData>
  <mergeCells count="2">
    <mergeCell ref="A16:G16"/>
    <mergeCell ref="A1:G1"/>
  </mergeCells>
  <conditionalFormatting sqref="B3:B14">
    <cfRule type="colorScale" priority="1">
      <colorScale>
        <cfvo type="min"/>
        <cfvo type="num" val="0"/>
        <cfvo type="max"/>
        <color rgb="00F8696B"/>
        <color rgb="00FFFFFF"/>
        <color rgb="0063BE7B"/>
      </colorScale>
    </cfRule>
  </conditionalFormatting>
  <conditionalFormatting sqref="C3:C14">
    <cfRule type="colorScale" priority="2">
      <colorScale>
        <cfvo type="min"/>
        <cfvo type="num" val="0"/>
        <cfvo type="max"/>
        <color rgb="00F8696B"/>
        <color rgb="00FFFFFF"/>
        <color rgb="0063BE7B"/>
      </colorScale>
    </cfRule>
  </conditionalFormatting>
  <conditionalFormatting sqref="D3:D14">
    <cfRule type="colorScale" priority="3">
      <colorScale>
        <cfvo type="min"/>
        <cfvo type="num" val="0"/>
        <cfvo type="max"/>
        <color rgb="00F8696B"/>
        <color rgb="00FFFFFF"/>
        <color rgb="0063BE7B"/>
      </colorScale>
    </cfRule>
  </conditionalFormatting>
  <conditionalFormatting sqref="E3:E14">
    <cfRule type="colorScale" priority="4">
      <colorScale>
        <cfvo type="min"/>
        <cfvo type="num" val="0"/>
        <cfvo type="max"/>
        <color rgb="00F8696B"/>
        <color rgb="00FFFFFF"/>
        <color rgb="0063BE7B"/>
      </colorScale>
    </cfRule>
  </conditionalFormatting>
  <conditionalFormatting sqref="F3:F14">
    <cfRule type="colorScale" priority="5">
      <colorScale>
        <cfvo type="min"/>
        <cfvo type="num" val="0"/>
        <cfvo type="max"/>
        <color rgb="00F8696B"/>
        <color rgb="00FFFFFF"/>
        <color rgb="0063BE7B"/>
      </colorScale>
    </cfRule>
  </conditionalFormatting>
  <conditionalFormatting sqref="G3:G14">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row>
    <row r="2">
      <c r="A2" s="6" t="inlineStr">
        <is>
          <t>Dundee United</t>
        </is>
      </c>
      <c r="B2" s="14">
        <f>'Dundee United'!$E$23</f>
        <v/>
      </c>
      <c r="C2" s="9">
        <f>'Dundee United'!$R$2</f>
        <v/>
      </c>
      <c r="D2" s="9">
        <f>'Dundee United'!$R$3</f>
        <v/>
      </c>
      <c r="E2" s="9">
        <f>'Dundee United'!$R$4</f>
        <v/>
      </c>
      <c r="F2" s="9">
        <f>'Dundee United'!$R$5</f>
        <v/>
      </c>
      <c r="G2" s="9">
        <f>'Dundee United'!$R$6</f>
        <v/>
      </c>
      <c r="H2" s="9">
        <f>'Dundee United'!$R$7</f>
        <v/>
      </c>
      <c r="I2" s="9">
        <f>'Dundee United'!$R$8</f>
        <v/>
      </c>
      <c r="J2" s="9">
        <f>'Dundee United'!$R$9</f>
        <v/>
      </c>
    </row>
    <row r="3">
      <c r="A3" s="6" t="inlineStr">
        <is>
          <t>Celtic</t>
        </is>
      </c>
      <c r="B3" s="14">
        <f>'Celtic'!$E$23</f>
        <v/>
      </c>
      <c r="C3" s="9">
        <f>'Celtic'!$R$2</f>
        <v/>
      </c>
      <c r="D3" s="9">
        <f>'Celtic'!$R$3</f>
        <v/>
      </c>
      <c r="E3" s="9">
        <f>'Celtic'!$R$4</f>
        <v/>
      </c>
      <c r="F3" s="9">
        <f>'Celtic'!$R$5</f>
        <v/>
      </c>
      <c r="G3" s="9">
        <f>'Celtic'!$R$6</f>
        <v/>
      </c>
      <c r="H3" s="9">
        <f>'Celtic'!$R$7</f>
        <v/>
      </c>
      <c r="I3" s="9">
        <f>'Celtic'!$R$8</f>
        <v/>
      </c>
      <c r="J3" s="9">
        <f>'Celtic'!$R$9</f>
        <v/>
      </c>
    </row>
    <row r="4">
      <c r="A4" s="6" t="inlineStr">
        <is>
          <t>Dundee</t>
        </is>
      </c>
      <c r="B4" s="14">
        <f>'Dundee'!$E$23</f>
        <v/>
      </c>
      <c r="C4" s="9">
        <f>'Dundee'!$R$2</f>
        <v/>
      </c>
      <c r="D4" s="9">
        <f>'Dundee'!$R$3</f>
        <v/>
      </c>
      <c r="E4" s="9">
        <f>'Dundee'!$R$4</f>
        <v/>
      </c>
      <c r="F4" s="9">
        <f>'Dundee'!$R$5</f>
        <v/>
      </c>
      <c r="G4" s="9">
        <f>'Dundee'!$R$6</f>
        <v/>
      </c>
      <c r="H4" s="9">
        <f>'Dundee'!$R$7</f>
        <v/>
      </c>
      <c r="I4" s="9">
        <f>'Dundee'!$R$8</f>
        <v/>
      </c>
      <c r="J4" s="9">
        <f>'Dundee'!$R$9</f>
        <v/>
      </c>
    </row>
    <row r="5">
      <c r="A5" s="6" t="inlineStr">
        <is>
          <t>Heart of Midlothian</t>
        </is>
      </c>
      <c r="B5" s="14">
        <f>'Heart of Midlothian'!$E$23</f>
        <v/>
      </c>
      <c r="C5" s="9">
        <f>'Heart of Midlothian'!$R$2</f>
        <v/>
      </c>
      <c r="D5" s="9">
        <f>'Heart of Midlothian'!$R$3</f>
        <v/>
      </c>
      <c r="E5" s="9">
        <f>'Heart of Midlothian'!$R$4</f>
        <v/>
      </c>
      <c r="F5" s="9">
        <f>'Heart of Midlothian'!$R$5</f>
        <v/>
      </c>
      <c r="G5" s="9">
        <f>'Heart of Midlothian'!$R$6</f>
        <v/>
      </c>
      <c r="H5" s="9">
        <f>'Heart of Midlothian'!$R$7</f>
        <v/>
      </c>
      <c r="I5" s="9">
        <f>'Heart of Midlothian'!$R$8</f>
        <v/>
      </c>
      <c r="J5" s="9">
        <f>'Heart of Midlothian'!$R$9</f>
        <v/>
      </c>
    </row>
    <row r="6">
      <c r="A6" s="6" t="inlineStr">
        <is>
          <t>Rangers</t>
        </is>
      </c>
      <c r="B6" s="14">
        <f>'Rangers'!$E$23</f>
        <v/>
      </c>
      <c r="C6" s="9">
        <f>'Rangers'!$R$2</f>
        <v/>
      </c>
      <c r="D6" s="9">
        <f>'Rangers'!$R$3</f>
        <v/>
      </c>
      <c r="E6" s="9">
        <f>'Rangers'!$R$4</f>
        <v/>
      </c>
      <c r="F6" s="9">
        <f>'Rangers'!$R$5</f>
        <v/>
      </c>
      <c r="G6" s="9">
        <f>'Rangers'!$R$6</f>
        <v/>
      </c>
      <c r="H6" s="9">
        <f>'Rangers'!$R$7</f>
        <v/>
      </c>
      <c r="I6" s="9">
        <f>'Rangers'!$R$8</f>
        <v/>
      </c>
      <c r="J6" s="9">
        <f>'Rangers'!$R$9</f>
        <v/>
      </c>
    </row>
    <row r="7">
      <c r="A7" s="6" t="inlineStr">
        <is>
          <t>St Mirren</t>
        </is>
      </c>
      <c r="B7" s="14">
        <f>'St Mirren'!$E$23</f>
        <v/>
      </c>
      <c r="C7" s="9">
        <f>'St Mirren'!$R$2</f>
        <v/>
      </c>
      <c r="D7" s="9">
        <f>'St Mirren'!$R$3</f>
        <v/>
      </c>
      <c r="E7" s="9">
        <f>'St Mirren'!$R$4</f>
        <v/>
      </c>
      <c r="F7" s="9">
        <f>'St Mirren'!$R$5</f>
        <v/>
      </c>
      <c r="G7" s="9">
        <f>'St Mirren'!$R$6</f>
        <v/>
      </c>
      <c r="H7" s="9">
        <f>'St Mirren'!$R$7</f>
        <v/>
      </c>
      <c r="I7" s="9">
        <f>'St Mirren'!$R$8</f>
        <v/>
      </c>
      <c r="J7" s="9">
        <f>'St Mirren'!$R$9</f>
        <v/>
      </c>
    </row>
    <row r="8">
      <c r="A8" s="6" t="inlineStr">
        <is>
          <t>St Johnstone</t>
        </is>
      </c>
      <c r="B8" s="14">
        <f>'St Johnstone'!$E$23</f>
        <v/>
      </c>
      <c r="C8" s="9">
        <f>'St Johnstone'!$R$2</f>
        <v/>
      </c>
      <c r="D8" s="9">
        <f>'St Johnstone'!$R$3</f>
        <v/>
      </c>
      <c r="E8" s="9">
        <f>'St Johnstone'!$R$4</f>
        <v/>
      </c>
      <c r="F8" s="9">
        <f>'St Johnstone'!$R$5</f>
        <v/>
      </c>
      <c r="G8" s="9">
        <f>'St Johnstone'!$R$6</f>
        <v/>
      </c>
      <c r="H8" s="9">
        <f>'St Johnstone'!$R$7</f>
        <v/>
      </c>
      <c r="I8" s="9">
        <f>'St Johnstone'!$R$8</f>
        <v/>
      </c>
      <c r="J8" s="9">
        <f>'St Johnstone'!$R$9</f>
        <v/>
      </c>
    </row>
    <row r="9">
      <c r="A9" s="6" t="inlineStr">
        <is>
          <t>Aberdeen</t>
        </is>
      </c>
      <c r="B9" s="14">
        <f>'Aberdeen'!$E$23</f>
        <v/>
      </c>
      <c r="C9" s="9">
        <f>'Aberdeen'!$R$2</f>
        <v/>
      </c>
      <c r="D9" s="9">
        <f>'Aberdeen'!$R$3</f>
        <v/>
      </c>
      <c r="E9" s="9">
        <f>'Aberdeen'!$R$4</f>
        <v/>
      </c>
      <c r="F9" s="9">
        <f>'Aberdeen'!$R$5</f>
        <v/>
      </c>
      <c r="G9" s="9">
        <f>'Aberdeen'!$R$6</f>
        <v/>
      </c>
      <c r="H9" s="9">
        <f>'Aberdeen'!$R$7</f>
        <v/>
      </c>
      <c r="I9" s="9">
        <f>'Aberdeen'!$R$8</f>
        <v/>
      </c>
      <c r="J9" s="9">
        <f>'Aberdeen'!$R$9</f>
        <v/>
      </c>
    </row>
    <row r="10">
      <c r="A10" s="6" t="inlineStr">
        <is>
          <t>Falkirk</t>
        </is>
      </c>
      <c r="B10" s="14">
        <f>'Falkirk'!$E$23</f>
        <v/>
      </c>
      <c r="C10" s="9">
        <f>'Falkirk'!$R$2</f>
        <v/>
      </c>
      <c r="D10" s="9">
        <f>'Falkirk'!$R$3</f>
        <v/>
      </c>
      <c r="E10" s="9">
        <f>'Falkirk'!$R$4</f>
        <v/>
      </c>
      <c r="F10" s="9">
        <f>'Falkirk'!$R$5</f>
        <v/>
      </c>
      <c r="G10" s="9">
        <f>'Falkirk'!$R$6</f>
        <v/>
      </c>
      <c r="H10" s="9">
        <f>'Falkirk'!$R$7</f>
        <v/>
      </c>
      <c r="I10" s="9">
        <f>'Falkirk'!$R$8</f>
        <v/>
      </c>
      <c r="J10" s="9">
        <f>'Falkirk'!$R$9</f>
        <v/>
      </c>
    </row>
    <row r="11">
      <c r="A11" s="6" t="inlineStr">
        <is>
          <t>Hibernian</t>
        </is>
      </c>
      <c r="B11" s="14">
        <f>'Hibernian'!$E$23</f>
        <v/>
      </c>
      <c r="C11" s="9">
        <f>'Hibernian'!$R$2</f>
        <v/>
      </c>
      <c r="D11" s="9">
        <f>'Hibernian'!$R$3</f>
        <v/>
      </c>
      <c r="E11" s="9">
        <f>'Hibernian'!$R$4</f>
        <v/>
      </c>
      <c r="F11" s="9">
        <f>'Hibernian'!$R$5</f>
        <v/>
      </c>
      <c r="G11" s="9">
        <f>'Hibernian'!$R$6</f>
        <v/>
      </c>
      <c r="H11" s="9">
        <f>'Hibernian'!$R$7</f>
        <v/>
      </c>
      <c r="I11" s="9">
        <f>'Hibernian'!$R$8</f>
        <v/>
      </c>
      <c r="J11" s="9">
        <f>'Hibernian'!$R$9</f>
        <v/>
      </c>
    </row>
    <row r="12">
      <c r="A12" s="6" t="inlineStr">
        <is>
          <t>Motherwell</t>
        </is>
      </c>
      <c r="B12" s="14">
        <f>'Motherwell'!$E$23</f>
        <v/>
      </c>
      <c r="C12" s="9">
        <f>'Motherwell'!$R$2</f>
        <v/>
      </c>
      <c r="D12" s="9">
        <f>'Motherwell'!$R$3</f>
        <v/>
      </c>
      <c r="E12" s="9">
        <f>'Motherwell'!$R$4</f>
        <v/>
      </c>
      <c r="F12" s="9">
        <f>'Motherwell'!$R$5</f>
        <v/>
      </c>
      <c r="G12" s="9">
        <f>'Motherwell'!$R$6</f>
        <v/>
      </c>
      <c r="H12" s="9">
        <f>'Motherwell'!$R$7</f>
        <v/>
      </c>
      <c r="I12" s="9">
        <f>'Motherwell'!$R$8</f>
        <v/>
      </c>
      <c r="J12" s="9">
        <f>'Motherwell'!$R$9</f>
        <v/>
      </c>
    </row>
    <row r="13">
      <c r="A13" s="6" t="inlineStr">
        <is>
          <t>Kilmarnock</t>
        </is>
      </c>
      <c r="B13" s="14">
        <f>'Kilmarnock'!$E$23</f>
        <v/>
      </c>
      <c r="C13" s="9">
        <f>'Kilmarnock'!$R$2</f>
        <v/>
      </c>
      <c r="D13" s="9">
        <f>'Kilmarnock'!$R$3</f>
        <v/>
      </c>
      <c r="E13" s="9">
        <f>'Kilmarnock'!$R$4</f>
        <v/>
      </c>
      <c r="F13" s="9">
        <f>'Kilmarnock'!$R$5</f>
        <v/>
      </c>
      <c r="G13" s="9">
        <f>'Kilmarnock'!$R$6</f>
        <v/>
      </c>
      <c r="H13" s="9">
        <f>'Kilmarnock'!$R$7</f>
        <v/>
      </c>
      <c r="I13" s="9">
        <f>'Kilmarnock'!$R$8</f>
        <v/>
      </c>
      <c r="J13" s="9">
        <f>'Kilmarnock'!$R$9</f>
        <v/>
      </c>
    </row>
  </sheetData>
  <conditionalFormatting sqref="B2:J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s>
  <sheetData>
    <row r="1" ht="30" customHeight="1">
      <c r="A1" s="4" t="inlineStr">
        <is>
          <t>Team</t>
        </is>
      </c>
      <c r="B1" s="4" t="inlineStr">
        <is>
          <t>Average</t>
        </is>
      </c>
      <c r="C1" s="4" t="inlineStr">
        <is>
          <t>H1</t>
        </is>
      </c>
      <c r="D1" s="4" t="inlineStr">
        <is>
          <t>H2</t>
        </is>
      </c>
      <c r="E1" s="4" t="inlineStr">
        <is>
          <t>H3</t>
        </is>
      </c>
      <c r="F1" s="4" t="inlineStr">
        <is>
          <t>H4</t>
        </is>
      </c>
    </row>
    <row r="2">
      <c r="A2" s="6" t="inlineStr">
        <is>
          <t>Heart of Midlothian</t>
        </is>
      </c>
      <c r="B2" s="14" t="n">
        <v>0.71</v>
      </c>
      <c r="C2" s="9" t="n">
        <v>0.62</v>
      </c>
      <c r="D2" s="9" t="n">
        <v>0.13</v>
      </c>
      <c r="E2" s="9" t="n">
        <v>0.34</v>
      </c>
      <c r="F2" s="9" t="n">
        <v>1.74</v>
      </c>
    </row>
    <row r="3">
      <c r="A3" s="6" t="inlineStr">
        <is>
          <t>Dundee United</t>
        </is>
      </c>
      <c r="B3" s="14" t="n">
        <v>0.68</v>
      </c>
      <c r="C3" s="9" t="n">
        <v>1.34</v>
      </c>
      <c r="D3" s="9" t="n">
        <v>-0.55</v>
      </c>
      <c r="E3" s="9" t="n">
        <v>0.85</v>
      </c>
      <c r="F3" s="9" t="n">
        <v>1.09</v>
      </c>
    </row>
    <row r="4">
      <c r="A4" s="6" t="inlineStr">
        <is>
          <t>Dundee</t>
        </is>
      </c>
      <c r="B4" s="14" t="n">
        <v>0.41</v>
      </c>
      <c r="C4" s="9" t="n">
        <v>1.18</v>
      </c>
      <c r="D4" s="9" t="n">
        <v>-1.03</v>
      </c>
      <c r="E4" s="9" t="n">
        <v>0.97</v>
      </c>
      <c r="F4" s="9" t="n">
        <v>0.51</v>
      </c>
    </row>
    <row r="5">
      <c r="A5" s="6" t="inlineStr">
        <is>
          <t>St Johnstone</t>
        </is>
      </c>
      <c r="B5" s="14" t="n">
        <v>0.22</v>
      </c>
      <c r="C5" s="9" t="n">
        <v>0.8</v>
      </c>
      <c r="D5" s="9" t="n">
        <v>0.8</v>
      </c>
      <c r="E5" s="9" t="n">
        <v>0.07000000000000001</v>
      </c>
      <c r="F5" s="9" t="n">
        <v>-0.79</v>
      </c>
    </row>
    <row r="6">
      <c r="A6" s="6" t="inlineStr">
        <is>
          <t>Motherwell</t>
        </is>
      </c>
      <c r="B6" s="14" t="n">
        <v>0.06</v>
      </c>
      <c r="C6" s="9" t="n">
        <v>0.05</v>
      </c>
      <c r="D6" s="9" t="n">
        <v>1.68</v>
      </c>
      <c r="E6" s="9" t="n">
        <v>-0.7</v>
      </c>
      <c r="F6" s="9" t="n">
        <v>-0.77</v>
      </c>
    </row>
    <row r="7">
      <c r="A7" s="6" t="inlineStr">
        <is>
          <t>Falkirk</t>
        </is>
      </c>
      <c r="B7" s="14" t="n">
        <v>-0.06</v>
      </c>
      <c r="C7" s="9" t="n">
        <v>-1.49</v>
      </c>
      <c r="D7" s="9" t="n">
        <v>0.44</v>
      </c>
      <c r="E7" s="9" t="n">
        <v>0.88</v>
      </c>
      <c r="F7" s="9" t="n">
        <v>-0.06</v>
      </c>
    </row>
    <row r="8">
      <c r="A8" s="6" t="inlineStr">
        <is>
          <t>St Mirren</t>
        </is>
      </c>
      <c r="B8" s="14" t="n">
        <v>-0.06</v>
      </c>
      <c r="C8" s="9" t="n">
        <v>0.16</v>
      </c>
      <c r="D8" s="9" t="n">
        <v>0.39</v>
      </c>
      <c r="E8" s="9" t="n">
        <v>-0.02</v>
      </c>
      <c r="F8" s="9" t="n">
        <v>-0.78</v>
      </c>
    </row>
    <row r="9">
      <c r="A9" s="6" t="inlineStr">
        <is>
          <t>Rangers</t>
        </is>
      </c>
      <c r="B9" s="14" t="n">
        <v>-0.07000000000000001</v>
      </c>
      <c r="C9" s="9" t="n">
        <v>-0.59</v>
      </c>
      <c r="D9" s="9" t="n">
        <v>2.31</v>
      </c>
      <c r="E9" s="9" t="n">
        <v>-0.39</v>
      </c>
      <c r="F9" s="9" t="n">
        <v>-1.59</v>
      </c>
    </row>
    <row r="10">
      <c r="A10" s="6" t="inlineStr">
        <is>
          <t>Aberdeen</t>
        </is>
      </c>
      <c r="B10" s="14" t="n">
        <v>-0.15</v>
      </c>
      <c r="C10" s="9" t="n">
        <v>1.15</v>
      </c>
      <c r="D10" s="9" t="n">
        <v>-1.01</v>
      </c>
      <c r="E10" s="9" t="n">
        <v>-0.83</v>
      </c>
      <c r="F10" s="9" t="n">
        <v>0.1</v>
      </c>
    </row>
    <row r="11">
      <c r="A11" s="6" t="inlineStr">
        <is>
          <t>Celtic</t>
        </is>
      </c>
      <c r="B11" s="14" t="n">
        <v>-0.23</v>
      </c>
      <c r="C11" s="9" t="n">
        <v>-0.26</v>
      </c>
      <c r="D11" s="9" t="n">
        <v>0.93</v>
      </c>
      <c r="E11" s="9" t="n">
        <v>0.05</v>
      </c>
      <c r="F11" s="9" t="n">
        <v>-1.65</v>
      </c>
    </row>
    <row r="12">
      <c r="A12" s="6" t="inlineStr">
        <is>
          <t>Hibernian</t>
        </is>
      </c>
      <c r="B12" s="14" t="n">
        <v>-0.54</v>
      </c>
      <c r="C12" s="9" t="n">
        <v>-0.52</v>
      </c>
      <c r="D12" s="9" t="n">
        <v>0.55</v>
      </c>
      <c r="E12" s="9" t="n">
        <v>-2.08</v>
      </c>
      <c r="F12" s="9" t="n">
        <v>-0.1</v>
      </c>
    </row>
    <row r="13">
      <c r="A13" s="6" t="inlineStr">
        <is>
          <t>Kilmarnock</t>
        </is>
      </c>
      <c r="B13" s="14" t="n">
        <v>-1.59</v>
      </c>
      <c r="C13" s="9" t="n">
        <v>-3.04</v>
      </c>
      <c r="D13" s="9" t="n">
        <v>-2.4</v>
      </c>
      <c r="E13" s="9" t="n">
        <v>-0.33</v>
      </c>
      <c r="F13" s="9" t="n">
        <v>-0.61</v>
      </c>
    </row>
  </sheetData>
  <conditionalFormatting sqref="B2:F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s>
  <sheetData>
    <row r="1" ht="30" customHeight="1">
      <c r="A1" s="4" t="inlineStr">
        <is>
          <t>Team</t>
        </is>
      </c>
      <c r="B1" s="4" t="inlineStr">
        <is>
          <t>Average</t>
        </is>
      </c>
      <c r="C1" s="4" t="inlineStr">
        <is>
          <t>A1</t>
        </is>
      </c>
      <c r="D1" s="4" t="inlineStr">
        <is>
          <t>A2</t>
        </is>
      </c>
      <c r="E1" s="4" t="inlineStr">
        <is>
          <t>A3</t>
        </is>
      </c>
      <c r="F1" s="4" t="inlineStr">
        <is>
          <t>A4</t>
        </is>
      </c>
    </row>
    <row r="2">
      <c r="A2" s="6" t="inlineStr">
        <is>
          <t>Celtic</t>
        </is>
      </c>
      <c r="B2" s="14" t="n">
        <v>0.9399999999999999</v>
      </c>
      <c r="C2" s="9" t="n">
        <v>3.04</v>
      </c>
      <c r="D2" s="9" t="n">
        <v>0.02</v>
      </c>
      <c r="E2" s="9" t="n">
        <v>-0.07000000000000001</v>
      </c>
      <c r="F2" s="9" t="n">
        <v>0.77</v>
      </c>
    </row>
    <row r="3">
      <c r="A3" s="6" t="inlineStr">
        <is>
          <t>Kilmarnock</t>
        </is>
      </c>
      <c r="B3" s="14" t="n">
        <v>0.93</v>
      </c>
      <c r="C3" s="9" t="n">
        <v>-0.8</v>
      </c>
      <c r="D3" s="9" t="n">
        <v>0.83</v>
      </c>
      <c r="E3" s="9" t="n">
        <v>2.08</v>
      </c>
      <c r="F3" s="9" t="n">
        <v>1.59</v>
      </c>
    </row>
    <row r="4">
      <c r="A4" s="6" t="inlineStr">
        <is>
          <t>Dundee United</t>
        </is>
      </c>
      <c r="B4" s="14" t="n">
        <v>0.22</v>
      </c>
      <c r="C4" s="9" t="n">
        <v>-0.62</v>
      </c>
      <c r="D4" s="9" t="n">
        <v>2.4</v>
      </c>
      <c r="E4" s="9" t="n">
        <v>-1.68</v>
      </c>
      <c r="F4" s="9" t="n">
        <v>0.78</v>
      </c>
    </row>
    <row r="5">
      <c r="A5" s="6" t="inlineStr">
        <is>
          <t>Rangers</t>
        </is>
      </c>
      <c r="B5" s="14" t="n">
        <v>0.22</v>
      </c>
      <c r="C5" s="9" t="n">
        <v>-1.34</v>
      </c>
      <c r="D5" s="9" t="n">
        <v>1.01</v>
      </c>
      <c r="E5" s="9" t="n">
        <v>-0.44</v>
      </c>
      <c r="F5" s="9" t="n">
        <v>1.65</v>
      </c>
    </row>
    <row r="6">
      <c r="A6" s="6" t="inlineStr">
        <is>
          <t>Dundee</t>
        </is>
      </c>
      <c r="B6" s="14" t="n">
        <v>0.13</v>
      </c>
      <c r="C6" s="9" t="n">
        <v>0.26</v>
      </c>
      <c r="D6" s="9" t="n">
        <v>0.55</v>
      </c>
      <c r="E6" s="9" t="n">
        <v>-0.34</v>
      </c>
      <c r="F6" s="9" t="n">
        <v>0.06</v>
      </c>
    </row>
    <row r="7">
      <c r="A7" s="6" t="inlineStr">
        <is>
          <t>St Mirren</t>
        </is>
      </c>
      <c r="B7" s="14" t="n">
        <v>0.12</v>
      </c>
      <c r="C7" s="9" t="n">
        <v>1.49</v>
      </c>
      <c r="D7" s="9" t="n">
        <v>0.33</v>
      </c>
      <c r="E7" s="9" t="n">
        <v>0.39</v>
      </c>
      <c r="F7" s="9" t="n">
        <v>-1.74</v>
      </c>
    </row>
    <row r="8">
      <c r="A8" s="6" t="inlineStr">
        <is>
          <t>Hibernian</t>
        </is>
      </c>
      <c r="B8" s="14" t="n">
        <v>-0.07000000000000001</v>
      </c>
      <c r="C8" s="9" t="n">
        <v>0.59</v>
      </c>
      <c r="D8" s="9" t="n">
        <v>1.03</v>
      </c>
      <c r="E8" s="9" t="n">
        <v>-0.8</v>
      </c>
      <c r="F8" s="9" t="n">
        <v>-1.09</v>
      </c>
    </row>
    <row r="9">
      <c r="A9" s="6" t="inlineStr">
        <is>
          <t>Aberdeen</t>
        </is>
      </c>
      <c r="B9" s="14" t="n">
        <v>-0.11</v>
      </c>
      <c r="C9" s="9" t="n">
        <v>-1.18</v>
      </c>
      <c r="D9" s="9" t="n">
        <v>-0.05</v>
      </c>
      <c r="E9" s="9" t="n">
        <v>0.7</v>
      </c>
      <c r="F9" s="9" t="n">
        <v>0.1</v>
      </c>
    </row>
    <row r="10">
      <c r="A10" s="6" t="inlineStr">
        <is>
          <t>Falkirk</t>
        </is>
      </c>
      <c r="B10" s="14" t="n">
        <v>-0.26</v>
      </c>
      <c r="C10" s="9" t="n">
        <v>-0.05</v>
      </c>
      <c r="D10" s="9" t="n">
        <v>-0.93</v>
      </c>
      <c r="E10" s="9" t="n">
        <v>-0.85</v>
      </c>
      <c r="F10" s="9" t="n">
        <v>0.79</v>
      </c>
    </row>
    <row r="11">
      <c r="A11" s="6" t="inlineStr">
        <is>
          <t>St Johnstone</t>
        </is>
      </c>
      <c r="B11" s="14" t="n">
        <v>-0.34</v>
      </c>
      <c r="C11" s="9" t="n">
        <v>-0.16</v>
      </c>
      <c r="D11" s="9" t="n">
        <v>-0.13</v>
      </c>
      <c r="E11" s="9" t="n">
        <v>-0.97</v>
      </c>
      <c r="F11" s="9" t="n">
        <v>-0.1</v>
      </c>
    </row>
    <row r="12">
      <c r="A12" s="6" t="inlineStr">
        <is>
          <t>Heart of Midlothian</t>
        </is>
      </c>
      <c r="B12" s="14" t="n">
        <v>-0.49</v>
      </c>
      <c r="C12" s="9" t="n">
        <v>-1.15</v>
      </c>
      <c r="D12" s="9" t="n">
        <v>-0.55</v>
      </c>
      <c r="E12" s="9" t="n">
        <v>-0.88</v>
      </c>
      <c r="F12" s="9" t="n">
        <v>0.61</v>
      </c>
    </row>
    <row r="13">
      <c r="A13" s="6" t="inlineStr">
        <is>
          <t>Motherwell</t>
        </is>
      </c>
      <c r="B13" s="14" t="n">
        <v>-0.67</v>
      </c>
      <c r="C13" s="9" t="n">
        <v>0.52</v>
      </c>
      <c r="D13" s="9" t="n">
        <v>-0.39</v>
      </c>
      <c r="E13" s="9" t="n">
        <v>-2.31</v>
      </c>
      <c r="F13" s="9" t="n">
        <v>-0.51</v>
      </c>
    </row>
  </sheetData>
  <conditionalFormatting sqref="B2:F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K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7" customWidth="1" min="11" max="11"/>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Median</t>
        </is>
      </c>
    </row>
    <row r="2">
      <c r="A2" s="6" t="inlineStr">
        <is>
          <t>St Mirren</t>
        </is>
      </c>
      <c r="B2" s="14">
        <f>'St Mirren'!$E$25</f>
        <v/>
      </c>
      <c r="C2" s="9">
        <f>'St Mirren'!$S$2</f>
        <v/>
      </c>
      <c r="D2" s="9">
        <f>'St Mirren'!$S$3</f>
        <v/>
      </c>
      <c r="E2" s="9">
        <f>'St Mirren'!$S$4</f>
        <v/>
      </c>
      <c r="F2" s="9">
        <f>'St Mirren'!$S$5</f>
        <v/>
      </c>
      <c r="G2" s="9">
        <f>'St Mirren'!$S$6</f>
        <v/>
      </c>
      <c r="H2" s="9">
        <f>'St Mirren'!$S$7</f>
        <v/>
      </c>
      <c r="I2" s="9">
        <f>'St Mirren'!$S$8</f>
        <v/>
      </c>
      <c r="J2" s="9">
        <f>'St Mirren'!$S$9</f>
        <v/>
      </c>
      <c r="K2" s="14">
        <f>'St Mirren'!$E$26</f>
        <v/>
      </c>
    </row>
    <row r="3">
      <c r="A3" s="6" t="inlineStr">
        <is>
          <t>Motherwell</t>
        </is>
      </c>
      <c r="B3" s="14">
        <f>'Motherwell'!$E$25</f>
        <v/>
      </c>
      <c r="C3" s="9">
        <f>'Motherwell'!$S$2</f>
        <v/>
      </c>
      <c r="D3" s="9">
        <f>'Motherwell'!$S$3</f>
        <v/>
      </c>
      <c r="E3" s="9">
        <f>'Motherwell'!$S$4</f>
        <v/>
      </c>
      <c r="F3" s="9">
        <f>'Motherwell'!$S$5</f>
        <v/>
      </c>
      <c r="G3" s="9">
        <f>'Motherwell'!$S$6</f>
        <v/>
      </c>
      <c r="H3" s="9">
        <f>'Motherwell'!$S$7</f>
        <v/>
      </c>
      <c r="I3" s="9">
        <f>'Motherwell'!$S$8</f>
        <v/>
      </c>
      <c r="J3" s="9">
        <f>'Motherwell'!$S$9</f>
        <v/>
      </c>
      <c r="K3" s="14">
        <f>'Motherwell'!$E$26</f>
        <v/>
      </c>
    </row>
    <row r="4">
      <c r="A4" s="6" t="inlineStr">
        <is>
          <t>Celtic</t>
        </is>
      </c>
      <c r="B4" s="14">
        <f>'Celtic'!$E$25</f>
        <v/>
      </c>
      <c r="C4" s="9">
        <f>'Celtic'!$S$2</f>
        <v/>
      </c>
      <c r="D4" s="9">
        <f>'Celtic'!$S$3</f>
        <v/>
      </c>
      <c r="E4" s="9">
        <f>'Celtic'!$S$4</f>
        <v/>
      </c>
      <c r="F4" s="9">
        <f>'Celtic'!$S$5</f>
        <v/>
      </c>
      <c r="G4" s="9">
        <f>'Celtic'!$S$6</f>
        <v/>
      </c>
      <c r="H4" s="9">
        <f>'Celtic'!$S$7</f>
        <v/>
      </c>
      <c r="I4" s="9">
        <f>'Celtic'!$S$8</f>
        <v/>
      </c>
      <c r="J4" s="9">
        <f>'Celtic'!$S$9</f>
        <v/>
      </c>
      <c r="K4" s="14">
        <f>'Celtic'!$E$26</f>
        <v/>
      </c>
    </row>
    <row r="5">
      <c r="A5" s="6" t="inlineStr">
        <is>
          <t>Hibernian</t>
        </is>
      </c>
      <c r="B5" s="14">
        <f>'Hibernian'!$E$25</f>
        <v/>
      </c>
      <c r="C5" s="9">
        <f>'Hibernian'!$S$2</f>
        <v/>
      </c>
      <c r="D5" s="9">
        <f>'Hibernian'!$S$3</f>
        <v/>
      </c>
      <c r="E5" s="9">
        <f>'Hibernian'!$S$4</f>
        <v/>
      </c>
      <c r="F5" s="9">
        <f>'Hibernian'!$S$5</f>
        <v/>
      </c>
      <c r="G5" s="9">
        <f>'Hibernian'!$S$6</f>
        <v/>
      </c>
      <c r="H5" s="9">
        <f>'Hibernian'!$S$7</f>
        <v/>
      </c>
      <c r="I5" s="9">
        <f>'Hibernian'!$S$8</f>
        <v/>
      </c>
      <c r="J5" s="9">
        <f>'Hibernian'!$S$9</f>
        <v/>
      </c>
      <c r="K5" s="14">
        <f>'Hibernian'!$E$26</f>
        <v/>
      </c>
    </row>
    <row r="6">
      <c r="A6" s="6" t="inlineStr">
        <is>
          <t>Heart of Midlothian</t>
        </is>
      </c>
      <c r="B6" s="14">
        <f>'Heart of Midlothian'!$E$25</f>
        <v/>
      </c>
      <c r="C6" s="9">
        <f>'Heart of Midlothian'!$S$2</f>
        <v/>
      </c>
      <c r="D6" s="9">
        <f>'Heart of Midlothian'!$S$3</f>
        <v/>
      </c>
      <c r="E6" s="9">
        <f>'Heart of Midlothian'!$S$4</f>
        <v/>
      </c>
      <c r="F6" s="9">
        <f>'Heart of Midlothian'!$S$5</f>
        <v/>
      </c>
      <c r="G6" s="9">
        <f>'Heart of Midlothian'!$S$6</f>
        <v/>
      </c>
      <c r="H6" s="9">
        <f>'Heart of Midlothian'!$S$7</f>
        <v/>
      </c>
      <c r="I6" s="9">
        <f>'Heart of Midlothian'!$S$8</f>
        <v/>
      </c>
      <c r="J6" s="9">
        <f>'Heart of Midlothian'!$S$9</f>
        <v/>
      </c>
      <c r="K6" s="14">
        <f>'Heart of Midlothian'!$E$26</f>
        <v/>
      </c>
    </row>
    <row r="7">
      <c r="A7" s="6" t="inlineStr">
        <is>
          <t>Kilmarnock</t>
        </is>
      </c>
      <c r="B7" s="14">
        <f>'Kilmarnock'!$E$25</f>
        <v/>
      </c>
      <c r="C7" s="9">
        <f>'Kilmarnock'!$S$2</f>
        <v/>
      </c>
      <c r="D7" s="9">
        <f>'Kilmarnock'!$S$3</f>
        <v/>
      </c>
      <c r="E7" s="9">
        <f>'Kilmarnock'!$S$4</f>
        <v/>
      </c>
      <c r="F7" s="9">
        <f>'Kilmarnock'!$S$5</f>
        <v/>
      </c>
      <c r="G7" s="9">
        <f>'Kilmarnock'!$S$6</f>
        <v/>
      </c>
      <c r="H7" s="9">
        <f>'Kilmarnock'!$S$7</f>
        <v/>
      </c>
      <c r="I7" s="9">
        <f>'Kilmarnock'!$S$8</f>
        <v/>
      </c>
      <c r="J7" s="9">
        <f>'Kilmarnock'!$S$9</f>
        <v/>
      </c>
      <c r="K7" s="14">
        <f>'Kilmarnock'!$E$26</f>
        <v/>
      </c>
    </row>
    <row r="8">
      <c r="A8" s="6" t="inlineStr">
        <is>
          <t>St Johnstone</t>
        </is>
      </c>
      <c r="B8" s="14">
        <f>'St Johnstone'!$E$25</f>
        <v/>
      </c>
      <c r="C8" s="9">
        <f>'St Johnstone'!$S$2</f>
        <v/>
      </c>
      <c r="D8" s="9">
        <f>'St Johnstone'!$S$3</f>
        <v/>
      </c>
      <c r="E8" s="9">
        <f>'St Johnstone'!$S$4</f>
        <v/>
      </c>
      <c r="F8" s="9">
        <f>'St Johnstone'!$S$5</f>
        <v/>
      </c>
      <c r="G8" s="9">
        <f>'St Johnstone'!$S$6</f>
        <v/>
      </c>
      <c r="H8" s="9">
        <f>'St Johnstone'!$S$7</f>
        <v/>
      </c>
      <c r="I8" s="9">
        <f>'St Johnstone'!$S$8</f>
        <v/>
      </c>
      <c r="J8" s="9">
        <f>'St Johnstone'!$S$9</f>
        <v/>
      </c>
      <c r="K8" s="14">
        <f>'St Johnstone'!$E$26</f>
        <v/>
      </c>
    </row>
    <row r="9">
      <c r="A9" s="6" t="inlineStr">
        <is>
          <t>Dundee United</t>
        </is>
      </c>
      <c r="B9" s="14">
        <f>'Dundee United'!$E$25</f>
        <v/>
      </c>
      <c r="C9" s="9">
        <f>'Dundee United'!$S$2</f>
        <v/>
      </c>
      <c r="D9" s="9">
        <f>'Dundee United'!$S$3</f>
        <v/>
      </c>
      <c r="E9" s="9">
        <f>'Dundee United'!$S$4</f>
        <v/>
      </c>
      <c r="F9" s="9">
        <f>'Dundee United'!$S$5</f>
        <v/>
      </c>
      <c r="G9" s="9">
        <f>'Dundee United'!$S$6</f>
        <v/>
      </c>
      <c r="H9" s="9">
        <f>'Dundee United'!$S$7</f>
        <v/>
      </c>
      <c r="I9" s="9">
        <f>'Dundee United'!$S$8</f>
        <v/>
      </c>
      <c r="J9" s="9">
        <f>'Dundee United'!$S$9</f>
        <v/>
      </c>
      <c r="K9" s="14">
        <f>'Dundee United'!$E$26</f>
        <v/>
      </c>
    </row>
    <row r="10">
      <c r="A10" s="6" t="inlineStr">
        <is>
          <t>Falkirk</t>
        </is>
      </c>
      <c r="B10" s="14">
        <f>'Falkirk'!$E$25</f>
        <v/>
      </c>
      <c r="C10" s="9">
        <f>'Falkirk'!$S$2</f>
        <v/>
      </c>
      <c r="D10" s="9">
        <f>'Falkirk'!$S$3</f>
        <v/>
      </c>
      <c r="E10" s="9">
        <f>'Falkirk'!$S$4</f>
        <v/>
      </c>
      <c r="F10" s="9">
        <f>'Falkirk'!$S$5</f>
        <v/>
      </c>
      <c r="G10" s="9">
        <f>'Falkirk'!$S$6</f>
        <v/>
      </c>
      <c r="H10" s="9">
        <f>'Falkirk'!$S$7</f>
        <v/>
      </c>
      <c r="I10" s="9">
        <f>'Falkirk'!$S$8</f>
        <v/>
      </c>
      <c r="J10" s="9">
        <f>'Falkirk'!$S$9</f>
        <v/>
      </c>
      <c r="K10" s="14">
        <f>'Falkirk'!$E$26</f>
        <v/>
      </c>
    </row>
    <row r="11">
      <c r="A11" s="6" t="inlineStr">
        <is>
          <t>Rangers</t>
        </is>
      </c>
      <c r="B11" s="14">
        <f>'Rangers'!$E$25</f>
        <v/>
      </c>
      <c r="C11" s="9">
        <f>'Rangers'!$S$2</f>
        <v/>
      </c>
      <c r="D11" s="9">
        <f>'Rangers'!$S$3</f>
        <v/>
      </c>
      <c r="E11" s="9">
        <f>'Rangers'!$S$4</f>
        <v/>
      </c>
      <c r="F11" s="9">
        <f>'Rangers'!$S$5</f>
        <v/>
      </c>
      <c r="G11" s="9">
        <f>'Rangers'!$S$6</f>
        <v/>
      </c>
      <c r="H11" s="9">
        <f>'Rangers'!$S$7</f>
        <v/>
      </c>
      <c r="I11" s="9">
        <f>'Rangers'!$S$8</f>
        <v/>
      </c>
      <c r="J11" s="9">
        <f>'Rangers'!$S$9</f>
        <v/>
      </c>
      <c r="K11" s="14">
        <f>'Rangers'!$E$26</f>
        <v/>
      </c>
    </row>
    <row r="12">
      <c r="A12" s="6" t="inlineStr">
        <is>
          <t>Dundee</t>
        </is>
      </c>
      <c r="B12" s="14">
        <f>'Dundee'!$E$25</f>
        <v/>
      </c>
      <c r="C12" s="9">
        <f>'Dundee'!$S$2</f>
        <v/>
      </c>
      <c r="D12" s="9">
        <f>'Dundee'!$S$3</f>
        <v/>
      </c>
      <c r="E12" s="9">
        <f>'Dundee'!$S$4</f>
        <v/>
      </c>
      <c r="F12" s="9">
        <f>'Dundee'!$S$5</f>
        <v/>
      </c>
      <c r="G12" s="9">
        <f>'Dundee'!$S$6</f>
        <v/>
      </c>
      <c r="H12" s="9">
        <f>'Dundee'!$S$7</f>
        <v/>
      </c>
      <c r="I12" s="9">
        <f>'Dundee'!$S$8</f>
        <v/>
      </c>
      <c r="J12" s="9">
        <f>'Dundee'!$S$9</f>
        <v/>
      </c>
      <c r="K12" s="14">
        <f>'Dundee'!$E$26</f>
        <v/>
      </c>
    </row>
    <row r="13">
      <c r="A13" s="6" t="inlineStr">
        <is>
          <t>Aberdeen</t>
        </is>
      </c>
      <c r="B13" s="14">
        <f>'Aberdeen'!$E$25</f>
        <v/>
      </c>
      <c r="C13" s="9">
        <f>'Aberdeen'!$S$2</f>
        <v/>
      </c>
      <c r="D13" s="9">
        <f>'Aberdeen'!$S$3</f>
        <v/>
      </c>
      <c r="E13" s="9">
        <f>'Aberdeen'!$S$4</f>
        <v/>
      </c>
      <c r="F13" s="9">
        <f>'Aberdeen'!$S$5</f>
        <v/>
      </c>
      <c r="G13" s="9">
        <f>'Aberdeen'!$S$6</f>
        <v/>
      </c>
      <c r="H13" s="9">
        <f>'Aberdeen'!$S$7</f>
        <v/>
      </c>
      <c r="I13" s="9">
        <f>'Aberdeen'!$S$8</f>
        <v/>
      </c>
      <c r="J13" s="9">
        <f>'Aberdeen'!$S$9</f>
        <v/>
      </c>
      <c r="K13" s="14">
        <f>'Aberdeen'!$E$26</f>
        <v/>
      </c>
    </row>
  </sheetData>
  <conditionalFormatting sqref="B2:K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row>
    <row r="2">
      <c r="A2" s="6" t="inlineStr">
        <is>
          <t>Dundee United</t>
        </is>
      </c>
      <c r="B2" s="14">
        <f>'Dundee United'!$E$33</f>
        <v/>
      </c>
      <c r="C2" s="9">
        <f>'Dundee United'!$V$2</f>
        <v/>
      </c>
      <c r="D2" s="9">
        <f>'Dundee United'!$V$3</f>
        <v/>
      </c>
      <c r="E2" s="9">
        <f>'Dundee United'!$V$4</f>
        <v/>
      </c>
      <c r="F2" s="9">
        <f>'Dundee United'!$V$5</f>
        <v/>
      </c>
      <c r="G2" s="9">
        <f>'Dundee United'!$V$6</f>
        <v/>
      </c>
      <c r="H2" s="9">
        <f>'Dundee United'!$V$7</f>
        <v/>
      </c>
      <c r="I2" s="9">
        <f>'Dundee United'!$V$8</f>
        <v/>
      </c>
      <c r="J2" s="9">
        <f>'Dundee United'!$V$9</f>
        <v/>
      </c>
    </row>
    <row r="3">
      <c r="A3" s="6" t="inlineStr">
        <is>
          <t>Dundee</t>
        </is>
      </c>
      <c r="B3" s="14">
        <f>'Dundee'!$E$33</f>
        <v/>
      </c>
      <c r="C3" s="9">
        <f>'Dundee'!$V$2</f>
        <v/>
      </c>
      <c r="D3" s="9">
        <f>'Dundee'!$V$3</f>
        <v/>
      </c>
      <c r="E3" s="9">
        <f>'Dundee'!$V$4</f>
        <v/>
      </c>
      <c r="F3" s="9">
        <f>'Dundee'!$V$5</f>
        <v/>
      </c>
      <c r="G3" s="9">
        <f>'Dundee'!$V$6</f>
        <v/>
      </c>
      <c r="H3" s="9">
        <f>'Dundee'!$V$7</f>
        <v/>
      </c>
      <c r="I3" s="9">
        <f>'Dundee'!$V$8</f>
        <v/>
      </c>
      <c r="J3" s="9">
        <f>'Dundee'!$V$9</f>
        <v/>
      </c>
    </row>
    <row r="4">
      <c r="A4" s="6" t="inlineStr">
        <is>
          <t>St Mirren</t>
        </is>
      </c>
      <c r="B4" s="14">
        <f>'St Mirren'!$E$33</f>
        <v/>
      </c>
      <c r="C4" s="9">
        <f>'St Mirren'!$V$2</f>
        <v/>
      </c>
      <c r="D4" s="9">
        <f>'St Mirren'!$V$3</f>
        <v/>
      </c>
      <c r="E4" s="9">
        <f>'St Mirren'!$V$4</f>
        <v/>
      </c>
      <c r="F4" s="9">
        <f>'St Mirren'!$V$5</f>
        <v/>
      </c>
      <c r="G4" s="9">
        <f>'St Mirren'!$V$6</f>
        <v/>
      </c>
      <c r="H4" s="9">
        <f>'St Mirren'!$V$7</f>
        <v/>
      </c>
      <c r="I4" s="9">
        <f>'St Mirren'!$V$8</f>
        <v/>
      </c>
      <c r="J4" s="9">
        <f>'St Mirren'!$V$9</f>
        <v/>
      </c>
    </row>
    <row r="5">
      <c r="A5" s="6" t="inlineStr">
        <is>
          <t>Heart of Midlothian</t>
        </is>
      </c>
      <c r="B5" s="14">
        <f>'Heart of Midlothian'!$E$33</f>
        <v/>
      </c>
      <c r="C5" s="9">
        <f>'Heart of Midlothian'!$V$2</f>
        <v/>
      </c>
      <c r="D5" s="9">
        <f>'Heart of Midlothian'!$V$3</f>
        <v/>
      </c>
      <c r="E5" s="9">
        <f>'Heart of Midlothian'!$V$4</f>
        <v/>
      </c>
      <c r="F5" s="9">
        <f>'Heart of Midlothian'!$V$5</f>
        <v/>
      </c>
      <c r="G5" s="9">
        <f>'Heart of Midlothian'!$V$6</f>
        <v/>
      </c>
      <c r="H5" s="9">
        <f>'Heart of Midlothian'!$V$7</f>
        <v/>
      </c>
      <c r="I5" s="9">
        <f>'Heart of Midlothian'!$V$8</f>
        <v/>
      </c>
      <c r="J5" s="9">
        <f>'Heart of Midlothian'!$V$9</f>
        <v/>
      </c>
    </row>
    <row r="6">
      <c r="A6" s="6" t="inlineStr">
        <is>
          <t>Celtic</t>
        </is>
      </c>
      <c r="B6" s="14">
        <f>'Celtic'!$E$33</f>
        <v/>
      </c>
      <c r="C6" s="9">
        <f>'Celtic'!$V$2</f>
        <v/>
      </c>
      <c r="D6" s="9">
        <f>'Celtic'!$V$3</f>
        <v/>
      </c>
      <c r="E6" s="9">
        <f>'Celtic'!$V$4</f>
        <v/>
      </c>
      <c r="F6" s="9">
        <f>'Celtic'!$V$5</f>
        <v/>
      </c>
      <c r="G6" s="9">
        <f>'Celtic'!$V$6</f>
        <v/>
      </c>
      <c r="H6" s="9">
        <f>'Celtic'!$V$7</f>
        <v/>
      </c>
      <c r="I6" s="9">
        <f>'Celtic'!$V$8</f>
        <v/>
      </c>
      <c r="J6" s="9">
        <f>'Celtic'!$V$9</f>
        <v/>
      </c>
    </row>
    <row r="7">
      <c r="A7" s="6" t="inlineStr">
        <is>
          <t>Rangers</t>
        </is>
      </c>
      <c r="B7" s="14">
        <f>'Rangers'!$E$33</f>
        <v/>
      </c>
      <c r="C7" s="9">
        <f>'Rangers'!$V$2</f>
        <v/>
      </c>
      <c r="D7" s="9">
        <f>'Rangers'!$V$3</f>
        <v/>
      </c>
      <c r="E7" s="9">
        <f>'Rangers'!$V$4</f>
        <v/>
      </c>
      <c r="F7" s="9">
        <f>'Rangers'!$V$5</f>
        <v/>
      </c>
      <c r="G7" s="9">
        <f>'Rangers'!$V$6</f>
        <v/>
      </c>
      <c r="H7" s="9">
        <f>'Rangers'!$V$7</f>
        <v/>
      </c>
      <c r="I7" s="9">
        <f>'Rangers'!$V$8</f>
        <v/>
      </c>
      <c r="J7" s="9">
        <f>'Rangers'!$V$9</f>
        <v/>
      </c>
    </row>
    <row r="8">
      <c r="A8" s="6" t="inlineStr">
        <is>
          <t>Motherwell</t>
        </is>
      </c>
      <c r="B8" s="14">
        <f>'Motherwell'!$E$33</f>
        <v/>
      </c>
      <c r="C8" s="9">
        <f>'Motherwell'!$V$2</f>
        <v/>
      </c>
      <c r="D8" s="9">
        <f>'Motherwell'!$V$3</f>
        <v/>
      </c>
      <c r="E8" s="9">
        <f>'Motherwell'!$V$4</f>
        <v/>
      </c>
      <c r="F8" s="9">
        <f>'Motherwell'!$V$5</f>
        <v/>
      </c>
      <c r="G8" s="9">
        <f>'Motherwell'!$V$6</f>
        <v/>
      </c>
      <c r="H8" s="9">
        <f>'Motherwell'!$V$7</f>
        <v/>
      </c>
      <c r="I8" s="9">
        <f>'Motherwell'!$V$8</f>
        <v/>
      </c>
      <c r="J8" s="9">
        <f>'Motherwell'!$V$9</f>
        <v/>
      </c>
    </row>
    <row r="9">
      <c r="A9" s="6" t="inlineStr">
        <is>
          <t>St Johnstone</t>
        </is>
      </c>
      <c r="B9" s="14">
        <f>'St Johnstone'!$E$33</f>
        <v/>
      </c>
      <c r="C9" s="9">
        <f>'St Johnstone'!$V$2</f>
        <v/>
      </c>
      <c r="D9" s="9">
        <f>'St Johnstone'!$V$3</f>
        <v/>
      </c>
      <c r="E9" s="9">
        <f>'St Johnstone'!$V$4</f>
        <v/>
      </c>
      <c r="F9" s="9">
        <f>'St Johnstone'!$V$5</f>
        <v/>
      </c>
      <c r="G9" s="9">
        <f>'St Johnstone'!$V$6</f>
        <v/>
      </c>
      <c r="H9" s="9">
        <f>'St Johnstone'!$V$7</f>
        <v/>
      </c>
      <c r="I9" s="9">
        <f>'St Johnstone'!$V$8</f>
        <v/>
      </c>
      <c r="J9" s="9">
        <f>'St Johnstone'!$V$9</f>
        <v/>
      </c>
    </row>
    <row r="10">
      <c r="A10" s="6" t="inlineStr">
        <is>
          <t>Kilmarnock</t>
        </is>
      </c>
      <c r="B10" s="14">
        <f>'Kilmarnock'!$E$33</f>
        <v/>
      </c>
      <c r="C10" s="9">
        <f>'Kilmarnock'!$V$2</f>
        <v/>
      </c>
      <c r="D10" s="9">
        <f>'Kilmarnock'!$V$3</f>
        <v/>
      </c>
      <c r="E10" s="9">
        <f>'Kilmarnock'!$V$4</f>
        <v/>
      </c>
      <c r="F10" s="9">
        <f>'Kilmarnock'!$V$5</f>
        <v/>
      </c>
      <c r="G10" s="9">
        <f>'Kilmarnock'!$V$6</f>
        <v/>
      </c>
      <c r="H10" s="9">
        <f>'Kilmarnock'!$V$7</f>
        <v/>
      </c>
      <c r="I10" s="9">
        <f>'Kilmarnock'!$V$8</f>
        <v/>
      </c>
      <c r="J10" s="9">
        <f>'Kilmarnock'!$V$9</f>
        <v/>
      </c>
    </row>
    <row r="11">
      <c r="A11" s="6" t="inlineStr">
        <is>
          <t>Falkirk</t>
        </is>
      </c>
      <c r="B11" s="14">
        <f>'Falkirk'!$E$33</f>
        <v/>
      </c>
      <c r="C11" s="9">
        <f>'Falkirk'!$V$2</f>
        <v/>
      </c>
      <c r="D11" s="9">
        <f>'Falkirk'!$V$3</f>
        <v/>
      </c>
      <c r="E11" s="9">
        <f>'Falkirk'!$V$4</f>
        <v/>
      </c>
      <c r="F11" s="9">
        <f>'Falkirk'!$V$5</f>
        <v/>
      </c>
      <c r="G11" s="9">
        <f>'Falkirk'!$V$6</f>
        <v/>
      </c>
      <c r="H11" s="9">
        <f>'Falkirk'!$V$7</f>
        <v/>
      </c>
      <c r="I11" s="9">
        <f>'Falkirk'!$V$8</f>
        <v/>
      </c>
      <c r="J11" s="9">
        <f>'Falkirk'!$V$9</f>
        <v/>
      </c>
    </row>
    <row r="12">
      <c r="A12" s="6" t="inlineStr">
        <is>
          <t>Aberdeen</t>
        </is>
      </c>
      <c r="B12" s="14">
        <f>'Aberdeen'!$E$33</f>
        <v/>
      </c>
      <c r="C12" s="9">
        <f>'Aberdeen'!$V$2</f>
        <v/>
      </c>
      <c r="D12" s="9">
        <f>'Aberdeen'!$V$3</f>
        <v/>
      </c>
      <c r="E12" s="9">
        <f>'Aberdeen'!$V$4</f>
        <v/>
      </c>
      <c r="F12" s="9">
        <f>'Aberdeen'!$V$5</f>
        <v/>
      </c>
      <c r="G12" s="9">
        <f>'Aberdeen'!$V$6</f>
        <v/>
      </c>
      <c r="H12" s="9">
        <f>'Aberdeen'!$V$7</f>
        <v/>
      </c>
      <c r="I12" s="9">
        <f>'Aberdeen'!$V$8</f>
        <v/>
      </c>
      <c r="J12" s="9">
        <f>'Aberdeen'!$V$9</f>
        <v/>
      </c>
    </row>
    <row r="13">
      <c r="A13" s="6" t="inlineStr">
        <is>
          <t>Hibernian</t>
        </is>
      </c>
      <c r="B13" s="14">
        <f>'Hibernian'!$E$33</f>
        <v/>
      </c>
      <c r="C13" s="9">
        <f>'Hibernian'!$V$2</f>
        <v/>
      </c>
      <c r="D13" s="9">
        <f>'Hibernian'!$V$3</f>
        <v/>
      </c>
      <c r="E13" s="9">
        <f>'Hibernian'!$V$4</f>
        <v/>
      </c>
      <c r="F13" s="9">
        <f>'Hibernian'!$V$5</f>
        <v/>
      </c>
      <c r="G13" s="9">
        <f>'Hibernian'!$V$6</f>
        <v/>
      </c>
      <c r="H13" s="9">
        <f>'Hibernian'!$V$7</f>
        <v/>
      </c>
      <c r="I13" s="9">
        <f>'Hibernian'!$V$8</f>
        <v/>
      </c>
      <c r="J13" s="9">
        <f>'Hibernian'!$V$9</f>
        <v/>
      </c>
    </row>
  </sheetData>
  <conditionalFormatting sqref="B2:J13">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Heart of Midlothian</t>
        </is>
      </c>
      <c r="C2" s="6" t="inlineStr">
        <is>
          <t>Home</t>
        </is>
      </c>
      <c r="D2" s="6" t="n">
        <v>2</v>
      </c>
      <c r="E2" s="6" t="n">
        <v>1</v>
      </c>
      <c r="F2" s="9" t="n">
        <v>1.27</v>
      </c>
      <c r="G2" s="9" t="n">
        <v>1.59</v>
      </c>
      <c r="H2" s="9" t="n">
        <v>2.66</v>
      </c>
      <c r="I2" s="9" t="n">
        <v>1.83</v>
      </c>
      <c r="J2" s="9" t="n">
        <v>1.39</v>
      </c>
      <c r="K2" s="9" t="n">
        <v>0.24</v>
      </c>
      <c r="L2" s="9" t="n">
        <v>1.39</v>
      </c>
      <c r="M2" s="9" t="n">
        <v>0.24</v>
      </c>
      <c r="N2" s="9" t="n">
        <v>1.46</v>
      </c>
      <c r="O2" s="9" t="n">
        <v>0.03</v>
      </c>
      <c r="P2" s="9" t="n">
        <v>1.46</v>
      </c>
      <c r="Q2" s="9" t="n">
        <v>0.03</v>
      </c>
      <c r="R2" s="9">
        <f>(H2-I2)-(F2-G2)</f>
        <v/>
      </c>
      <c r="S2" s="9">
        <f>(H2+I2)-(F2+G2)</f>
        <v/>
      </c>
      <c r="T2" s="9" t="n">
        <v>1.85</v>
      </c>
      <c r="U2" s="9" t="n">
        <v>1.17</v>
      </c>
      <c r="V2" s="9" t="n">
        <v>0.6899999999999999</v>
      </c>
      <c r="W2" s="9" t="n">
        <v>1.85</v>
      </c>
      <c r="X2" s="9" t="n">
        <v>1.17</v>
      </c>
      <c r="Z2" s="12" t="inlineStr">
        <is>
          <t>Expected = the pre-match market xG (what the odds implied) for each side.</t>
        </is>
      </c>
    </row>
    <row r="3">
      <c r="A3" s="8" t="inlineStr">
        <is>
          <t>2026-08-08</t>
        </is>
      </c>
      <c r="B3" s="8" t="inlineStr">
        <is>
          <t>Dundee</t>
        </is>
      </c>
      <c r="C3" s="8" t="inlineStr">
        <is>
          <t>Away</t>
        </is>
      </c>
      <c r="D3" s="8" t="n">
        <v>0</v>
      </c>
      <c r="E3" s="8" t="n">
        <v>2</v>
      </c>
      <c r="F3" s="10" t="n">
        <v>1.41</v>
      </c>
      <c r="G3" s="10" t="n">
        <v>1.34</v>
      </c>
      <c r="H3" s="10" t="n">
        <v>0.71</v>
      </c>
      <c r="I3" s="10" t="n">
        <v>1.83</v>
      </c>
      <c r="J3" s="10" t="n">
        <v>-0.7</v>
      </c>
      <c r="K3" s="10" t="n">
        <v>0.49</v>
      </c>
      <c r="L3" s="10" t="n">
        <v>0.34</v>
      </c>
      <c r="M3" s="10" t="n">
        <v>0.36</v>
      </c>
      <c r="N3" s="10" t="n">
        <v>-0.64</v>
      </c>
      <c r="O3" s="10" t="n">
        <v>0.4</v>
      </c>
      <c r="P3" s="10" t="n">
        <v>0.41</v>
      </c>
      <c r="Q3" s="10" t="n">
        <v>0.21</v>
      </c>
      <c r="R3" s="10">
        <f>(H3-I3)-(F3-G3)</f>
        <v/>
      </c>
      <c r="S3" s="10">
        <f>(H3+I3)-(F3+G3)</f>
        <v/>
      </c>
      <c r="T3" s="10" t="n">
        <v>0.64</v>
      </c>
      <c r="U3" s="10" t="n">
        <v>1.42</v>
      </c>
      <c r="V3" s="10" t="n">
        <v>-0.78</v>
      </c>
      <c r="W3" s="10" t="n">
        <v>2.49</v>
      </c>
      <c r="X3" s="10" t="n">
        <v>2.58</v>
      </c>
      <c r="Z3" s="4" t="inlineStr">
        <is>
          <t>Games vs expected</t>
        </is>
      </c>
      <c r="AA3" s="4" t="inlineStr">
        <is>
          <t>Above</t>
        </is>
      </c>
      <c r="AB3" s="4" t="inlineStr">
        <is>
          <t>Below</t>
        </is>
      </c>
    </row>
    <row r="4">
      <c r="A4" s="6" t="inlineStr">
        <is>
          <t>2026-08-30</t>
        </is>
      </c>
      <c r="B4" s="6" t="inlineStr">
        <is>
          <t>Rangers</t>
        </is>
      </c>
      <c r="C4" s="6" t="inlineStr">
        <is>
          <t>Home</t>
        </is>
      </c>
      <c r="D4" s="6" t="n">
        <v>0</v>
      </c>
      <c r="E4" s="6" t="n">
        <v>1</v>
      </c>
      <c r="F4" s="9" t="n">
        <v>1.14</v>
      </c>
      <c r="G4" s="9" t="n">
        <v>1.88</v>
      </c>
      <c r="H4" s="9" t="n">
        <v>0.35</v>
      </c>
      <c r="I4" s="9" t="n">
        <v>2.1</v>
      </c>
      <c r="J4" s="9" t="n">
        <v>-0.79</v>
      </c>
      <c r="K4" s="9" t="n">
        <v>0.23</v>
      </c>
      <c r="L4" s="9" t="n">
        <v>-0.03</v>
      </c>
      <c r="M4" s="9" t="n">
        <v>0.32</v>
      </c>
      <c r="N4" s="9" t="n">
        <v>-0.88</v>
      </c>
      <c r="O4" s="9" t="n">
        <v>0.19</v>
      </c>
      <c r="P4" s="9" t="n">
        <v>-0.02</v>
      </c>
      <c r="Q4" s="9" t="n">
        <v>0.21</v>
      </c>
      <c r="R4" s="9">
        <f>(H4-I4)-(F4-G4)</f>
        <v/>
      </c>
      <c r="S4" s="9">
        <f>(H4+I4)-(F4+G4)</f>
        <v/>
      </c>
      <c r="T4" s="9" t="n">
        <v>0.31</v>
      </c>
      <c r="U4" s="9" t="n">
        <v>0.91</v>
      </c>
      <c r="V4" s="9" t="n">
        <v>-0.6</v>
      </c>
      <c r="W4" s="9" t="n">
        <v>2.8</v>
      </c>
      <c r="X4" s="9" t="n">
        <v>3.49</v>
      </c>
      <c r="Z4" s="6" t="inlineStr">
        <is>
          <t>xG For vs expected</t>
        </is>
      </c>
      <c r="AA4" s="5">
        <f>COUNTIF($J$2:$J$9,"&gt;0")</f>
        <v/>
      </c>
      <c r="AB4" s="5">
        <f>COUNTIF($J$2:$J$9,"&lt;0")</f>
        <v/>
      </c>
    </row>
    <row r="5">
      <c r="A5" s="8" t="inlineStr">
        <is>
          <t>2026-09-02</t>
        </is>
      </c>
      <c r="B5" s="8" t="inlineStr">
        <is>
          <t>Celtic</t>
        </is>
      </c>
      <c r="C5" s="8" t="inlineStr">
        <is>
          <t>Away</t>
        </is>
      </c>
      <c r="D5" s="8" t="n">
        <v>0</v>
      </c>
      <c r="E5" s="8" t="n">
        <v>3</v>
      </c>
      <c r="F5" s="10" t="n">
        <v>0.8</v>
      </c>
      <c r="G5" s="10" t="n">
        <v>2.74</v>
      </c>
      <c r="H5" s="10" t="n">
        <v>0.68</v>
      </c>
      <c r="I5" s="10" t="n">
        <v>2.67</v>
      </c>
      <c r="J5" s="10" t="n">
        <v>-0.12</v>
      </c>
      <c r="K5" s="10" t="n">
        <v>-0.07000000000000001</v>
      </c>
      <c r="L5" s="10" t="n">
        <v>-0.05</v>
      </c>
      <c r="M5" s="10" t="n">
        <v>0.22</v>
      </c>
      <c r="N5" s="10" t="n">
        <v>-0.14</v>
      </c>
      <c r="O5" s="10" t="n">
        <v>-0.49</v>
      </c>
      <c r="P5" s="10" t="n">
        <v>-0.05</v>
      </c>
      <c r="Q5" s="10" t="n">
        <v>0.03</v>
      </c>
      <c r="R5" s="10">
        <f>(H5-I5)-(F5-G5)</f>
        <v/>
      </c>
      <c r="S5" s="10">
        <f>(H5+I5)-(F5+G5)</f>
        <v/>
      </c>
      <c r="T5" s="10" t="n">
        <v>0.35</v>
      </c>
      <c r="U5" s="10" t="n">
        <v>0.39</v>
      </c>
      <c r="V5" s="10" t="n">
        <v>-0.04</v>
      </c>
      <c r="W5" s="10" t="n">
        <v>3.15</v>
      </c>
      <c r="X5" s="10" t="n">
        <v>3.88</v>
      </c>
      <c r="Z5" s="6" t="inlineStr">
        <is>
          <t>xG Against vs expected</t>
        </is>
      </c>
      <c r="AA5" s="5">
        <f>COUNTIF($K$2:$K$9,"&gt;0")</f>
        <v/>
      </c>
      <c r="AB5" s="5">
        <f>COUNTIF($K$2:$K$9,"&lt;0")</f>
        <v/>
      </c>
    </row>
    <row r="6">
      <c r="A6" s="6" t="inlineStr">
        <is>
          <t>2026-09-05</t>
        </is>
      </c>
      <c r="B6" s="6" t="inlineStr">
        <is>
          <t>Kilmarnock</t>
        </is>
      </c>
      <c r="C6" s="6" t="inlineStr">
        <is>
          <t>Home</t>
        </is>
      </c>
      <c r="D6" s="6" t="n">
        <v>0</v>
      </c>
      <c r="E6" s="6" t="n">
        <v>0</v>
      </c>
      <c r="F6" s="9" t="n">
        <v>1.88</v>
      </c>
      <c r="G6" s="9" t="n">
        <v>1.08</v>
      </c>
      <c r="H6" s="9" t="n">
        <v>1.08</v>
      </c>
      <c r="I6" s="9" t="n">
        <v>1.11</v>
      </c>
      <c r="J6" s="9" t="n">
        <v>-0.8</v>
      </c>
      <c r="K6" s="9" t="n">
        <v>0.03</v>
      </c>
      <c r="L6" s="9" t="n">
        <v>-0.2</v>
      </c>
      <c r="M6" s="9" t="n">
        <v>0.18</v>
      </c>
      <c r="N6" s="9" t="n">
        <v>-1.23</v>
      </c>
      <c r="O6" s="9" t="n">
        <v>0.1</v>
      </c>
      <c r="P6" s="9" t="n">
        <v>-0.29</v>
      </c>
      <c r="Q6" s="9" t="n">
        <v>0.05</v>
      </c>
      <c r="R6" s="9">
        <f>(H6-I6)-(F6-G6)</f>
        <v/>
      </c>
      <c r="S6" s="9">
        <f>(H6+I6)-(F6+G6)</f>
        <v/>
      </c>
      <c r="T6" s="9" t="n">
        <v>1.33</v>
      </c>
      <c r="U6" s="9" t="n">
        <v>1.9</v>
      </c>
      <c r="V6" s="9" t="n">
        <v>-0.57</v>
      </c>
      <c r="W6" s="9" t="n">
        <v>4.48</v>
      </c>
      <c r="X6" s="9" t="n">
        <v>5.78</v>
      </c>
      <c r="Z6" s="6" t="inlineStr">
        <is>
          <t>Goals For vs expected</t>
        </is>
      </c>
      <c r="AA6" s="5">
        <f>SUMPRODUCT(--($D$2:$D$9&gt;$F$2:$F$9))</f>
        <v/>
      </c>
      <c r="AB6" s="5">
        <f>SUMPRODUCT(--($D$2:$D$9&lt;$F$2:$F$9))</f>
        <v/>
      </c>
    </row>
    <row r="7">
      <c r="A7" s="8" t="inlineStr">
        <is>
          <t>2026-09-15</t>
        </is>
      </c>
      <c r="B7" s="8" t="inlineStr">
        <is>
          <t>Motherwell</t>
        </is>
      </c>
      <c r="C7" s="8" t="inlineStr">
        <is>
          <t>Away</t>
        </is>
      </c>
      <c r="D7" s="8" t="n">
        <v>4</v>
      </c>
      <c r="E7" s="8" t="n">
        <v>0</v>
      </c>
      <c r="F7" s="10" t="n">
        <v>1.13</v>
      </c>
      <c r="G7" s="10" t="n">
        <v>1.78</v>
      </c>
      <c r="H7" s="10" t="n">
        <v>0.9</v>
      </c>
      <c r="I7" s="10" t="n">
        <v>0.85</v>
      </c>
      <c r="J7" s="10" t="n">
        <v>-0.23</v>
      </c>
      <c r="K7" s="10" t="n">
        <v>-0.93</v>
      </c>
      <c r="L7" s="10" t="n">
        <v>-0.21</v>
      </c>
      <c r="M7" s="10" t="n">
        <v>-0</v>
      </c>
      <c r="N7" s="10" t="n">
        <v>-0.7</v>
      </c>
      <c r="O7" s="10" t="n">
        <v>-1.15</v>
      </c>
      <c r="P7" s="10" t="n">
        <v>-0.35</v>
      </c>
      <c r="Q7" s="10" t="n">
        <v>-0.15</v>
      </c>
      <c r="R7" s="10">
        <f>(H7-I7)-(F7-G7)</f>
        <v/>
      </c>
      <c r="S7" s="10">
        <f>(H7+I7)-(F7+G7)</f>
        <v/>
      </c>
      <c r="T7" s="10" t="n">
        <v>1.37</v>
      </c>
      <c r="U7" s="10" t="n">
        <v>0.96</v>
      </c>
      <c r="V7" s="10" t="n">
        <v>0.42</v>
      </c>
      <c r="W7" s="10" t="n">
        <v>5.86</v>
      </c>
      <c r="X7" s="10" t="n">
        <v>6.74</v>
      </c>
      <c r="Z7" s="6" t="inlineStr">
        <is>
          <t>Goals Against vs expected</t>
        </is>
      </c>
      <c r="AA7" s="5">
        <f>SUMPRODUCT(--($E$2:$E$9&gt;$G$2:$G$9))</f>
        <v/>
      </c>
      <c r="AB7" s="5">
        <f>SUMPRODUCT(--($E$2:$E$9&lt;$G$2:$G$9))</f>
        <v/>
      </c>
    </row>
    <row r="8">
      <c r="A8" s="6" t="inlineStr">
        <is>
          <t>2026-09-19</t>
        </is>
      </c>
      <c r="B8" s="6" t="inlineStr">
        <is>
          <t>Hibernian</t>
        </is>
      </c>
      <c r="C8" s="6" t="inlineStr">
        <is>
          <t>Away</t>
        </is>
      </c>
      <c r="D8" s="6" t="n">
        <v>1</v>
      </c>
      <c r="E8" s="6" t="n">
        <v>1</v>
      </c>
      <c r="F8" s="9" t="n">
        <v>1.07</v>
      </c>
      <c r="G8" s="9" t="n">
        <v>1.87</v>
      </c>
      <c r="H8" s="9" t="n">
        <v>0.7</v>
      </c>
      <c r="I8" s="9" t="n">
        <v>1.4</v>
      </c>
      <c r="J8" s="9" t="n">
        <v>-0.37</v>
      </c>
      <c r="K8" s="9" t="n">
        <v>-0.47</v>
      </c>
      <c r="L8" s="9" t="n">
        <v>-0.5</v>
      </c>
      <c r="M8" s="9" t="n">
        <v>-0.12</v>
      </c>
      <c r="N8" s="9" t="n">
        <v>-0.79</v>
      </c>
      <c r="O8" s="9" t="n">
        <v>-0.5600000000000001</v>
      </c>
      <c r="P8" s="9" t="n">
        <v>-0.73</v>
      </c>
      <c r="Q8" s="9" t="n">
        <v>-0.25</v>
      </c>
      <c r="R8" s="9">
        <f>(H8-I8)-(F8-G8)</f>
        <v/>
      </c>
      <c r="S8" s="9">
        <f>(H8+I8)-(F8+G8)</f>
        <v/>
      </c>
      <c r="T8" s="9" t="n">
        <v>0.84</v>
      </c>
      <c r="U8" s="9" t="n">
        <v>0.87</v>
      </c>
      <c r="V8" s="9" t="n">
        <v>-0.03</v>
      </c>
      <c r="W8" s="9" t="n">
        <v>6.69</v>
      </c>
      <c r="X8" s="9" t="n">
        <v>7.61</v>
      </c>
      <c r="Z8" s="12" t="inlineStr">
        <is>
          <t>For: Above = beat expectation. Against: Above = conceded more than expected (worse).</t>
        </is>
      </c>
    </row>
    <row r="9">
      <c r="A9" s="8" t="inlineStr">
        <is>
          <t>2026-10-11</t>
        </is>
      </c>
      <c r="B9" s="8" t="inlineStr">
        <is>
          <t>St Johnstone</t>
        </is>
      </c>
      <c r="C9" s="8" t="inlineStr">
        <is>
          <t>Home</t>
        </is>
      </c>
      <c r="D9" s="8" t="n">
        <v>0</v>
      </c>
      <c r="E9" s="8" t="n">
        <v>1</v>
      </c>
      <c r="F9" s="10" t="n">
        <v>1.5</v>
      </c>
      <c r="G9" s="10" t="n">
        <v>1.16</v>
      </c>
      <c r="H9" s="10" t="n">
        <v>1.69</v>
      </c>
      <c r="I9" s="10" t="n">
        <v>1.25</v>
      </c>
      <c r="J9" s="10" t="n">
        <v>0.19</v>
      </c>
      <c r="K9" s="10" t="n">
        <v>0.09</v>
      </c>
      <c r="L9" s="10" t="n">
        <v>-0.35</v>
      </c>
      <c r="M9" s="10" t="n">
        <v>-0.19</v>
      </c>
      <c r="N9" s="10" t="n">
        <v>0.08</v>
      </c>
      <c r="O9" s="10" t="n">
        <v>0.04</v>
      </c>
      <c r="P9" s="10" t="n">
        <v>-0.61</v>
      </c>
      <c r="Q9" s="10" t="n">
        <v>-0.31</v>
      </c>
      <c r="R9" s="10">
        <f>(H9-I9)-(F9-G9)</f>
        <v/>
      </c>
      <c r="S9" s="10">
        <f>(H9+I9)-(F9+G9)</f>
        <v/>
      </c>
      <c r="T9" s="10" t="n">
        <v>1.67</v>
      </c>
      <c r="U9" s="10" t="n">
        <v>1.61</v>
      </c>
      <c r="V9" s="10" t="n">
        <v>0.06</v>
      </c>
      <c r="W9" s="10" t="n">
        <v>8.359999999999999</v>
      </c>
      <c r="X9" s="10" t="n">
        <v>9.210000000000001</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Aberdeen: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16" t="n"/>
      <c r="AH25" s="20" t="n">
        <v>12</v>
      </c>
    </row>
    <row r="26">
      <c r="A26" s="17" t="inlineStr">
        <is>
          <t>Median Total xG Delta</t>
        </is>
      </c>
      <c r="E26" s="19">
        <f>MEDIAN(S2:S9)</f>
        <v/>
      </c>
      <c r="AF26" s="6" t="inlineStr">
        <is>
          <t>2. Rangers</t>
        </is>
      </c>
      <c r="AG26" s="20" t="n">
        <v>4</v>
      </c>
      <c r="AH26" s="16" t="n"/>
    </row>
    <row r="27">
      <c r="A27" s="17" t="inlineStr">
        <is>
          <t>Current form (last 6, For)</t>
        </is>
      </c>
      <c r="E27" s="19">
        <f>L9</f>
        <v/>
      </c>
      <c r="AF27" s="6" t="inlineStr">
        <is>
          <t>3. Heart of Midlothian</t>
        </is>
      </c>
      <c r="AG27" s="21" t="n">
        <v>2.9</v>
      </c>
      <c r="AH27" s="16" t="n"/>
    </row>
    <row r="28">
      <c r="A28" s="17" t="inlineStr">
        <is>
          <t>Current form (last 6, Against)</t>
        </is>
      </c>
      <c r="E28" s="19">
        <f>M9</f>
        <v/>
      </c>
      <c r="AF28" s="6" t="inlineStr">
        <is>
          <t>4. Dundee</t>
        </is>
      </c>
      <c r="AG28" s="16" t="n"/>
      <c r="AH28" s="20" t="n">
        <v>2.38</v>
      </c>
    </row>
    <row r="29">
      <c r="A29" s="17" t="inlineStr">
        <is>
          <t>Current form (last 6, For, Adj)</t>
        </is>
      </c>
      <c r="E29" s="19">
        <f>P9</f>
        <v/>
      </c>
      <c r="AF29" s="6" t="inlineStr">
        <is>
          <t>5. St Johnstone</t>
        </is>
      </c>
      <c r="AG29" s="20" t="n">
        <v>1.95</v>
      </c>
      <c r="AH29" s="16" t="n"/>
    </row>
    <row r="30">
      <c r="A30" s="17" t="inlineStr">
        <is>
          <t>Current form (last 6, Against, Adj)</t>
        </is>
      </c>
      <c r="E30" s="19">
        <f>Q9</f>
        <v/>
      </c>
      <c r="AF30" s="6" t="inlineStr">
        <is>
          <t>6. Dundee United</t>
        </is>
      </c>
      <c r="AG30" s="16" t="n"/>
      <c r="AH30" s="16" t="n"/>
    </row>
    <row r="31">
      <c r="A31" s="17" t="inlineStr">
        <is>
          <t>Total xPts (Actual)</t>
        </is>
      </c>
      <c r="E31" s="19">
        <f>SUM(T2:T9)</f>
        <v/>
      </c>
      <c r="AF31" s="6" t="inlineStr">
        <is>
          <t>7. St Mirren</t>
        </is>
      </c>
      <c r="AG31" s="16" t="n"/>
      <c r="AH31" s="16" t="n"/>
    </row>
    <row r="32">
      <c r="A32" s="17" t="inlineStr">
        <is>
          <t>Total xPts (Market)</t>
        </is>
      </c>
      <c r="E32" s="19">
        <f>SUM(U2:U9)</f>
        <v/>
      </c>
      <c r="AF32" s="22" t="inlineStr">
        <is>
          <t>8. Aberdeen</t>
        </is>
      </c>
      <c r="AG32" s="23" t="n"/>
      <c r="AH32" s="23" t="n"/>
    </row>
    <row r="33">
      <c r="A33" s="17" t="inlineStr">
        <is>
          <t>Avg xPts Delta</t>
        </is>
      </c>
      <c r="E33" s="19">
        <f>AVERAGE(V2:V9)</f>
        <v/>
      </c>
      <c r="AF33" s="6" t="inlineStr">
        <is>
          <t>9. Motherwell</t>
        </is>
      </c>
      <c r="AG33" s="16" t="n"/>
      <c r="AH33" s="21" t="n">
        <v>4</v>
      </c>
    </row>
    <row r="34">
      <c r="AF34" s="6" t="inlineStr">
        <is>
          <t>10. Hibernian</t>
        </is>
      </c>
      <c r="AG34" s="16" t="n"/>
      <c r="AH34" s="24" t="n">
        <v>4.5</v>
      </c>
    </row>
    <row r="35">
      <c r="A35" s="11" t="inlineStr">
        <is>
          <t>Home / Away split</t>
        </is>
      </c>
      <c r="AF35" s="6" t="inlineStr">
        <is>
          <t>11. Falkirk</t>
        </is>
      </c>
      <c r="AG35" s="16" t="n"/>
      <c r="AH35" s="16"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24" t="n">
        <v>1.65</v>
      </c>
      <c r="AH36" s="16" t="n"/>
    </row>
    <row r="37">
      <c r="A37" s="17" t="inlineStr">
        <is>
          <t>Home</t>
        </is>
      </c>
      <c r="B37" s="17" t="n">
        <v>4</v>
      </c>
      <c r="C37" s="17" t="n">
        <v>2</v>
      </c>
      <c r="D37" s="17" t="n">
        <v>3</v>
      </c>
      <c r="E37" s="26" t="n">
        <v>-0.15</v>
      </c>
      <c r="F37" s="26" t="n">
        <v>-0.36</v>
      </c>
      <c r="G37" s="26" t="n">
        <v>0.15</v>
      </c>
      <c r="H37" s="26" t="n">
        <v>-0.14</v>
      </c>
    </row>
    <row r="38">
      <c r="A38" s="17" t="inlineStr">
        <is>
          <t>Away</t>
        </is>
      </c>
      <c r="B38" s="17" t="n">
        <v>4</v>
      </c>
      <c r="C38" s="17" t="n">
        <v>5</v>
      </c>
      <c r="D38" s="17" t="n">
        <v>6</v>
      </c>
      <c r="E38" s="26" t="n">
        <v>-0.11</v>
      </c>
      <c r="F38" s="26" t="n">
        <v>0.03</v>
      </c>
      <c r="G38" s="26" t="n">
        <v>-0.6</v>
      </c>
      <c r="H38" s="26" t="n">
        <v>-0.52</v>
      </c>
      <c r="AF38" s="27" t="inlineStr">
        <is>
          <t>Won</t>
        </is>
      </c>
    </row>
    <row r="39">
      <c r="A39" s="28" t="inlineStr">
        <is>
          <t>Total</t>
        </is>
      </c>
      <c r="B39" s="28" t="n">
        <v>8</v>
      </c>
      <c r="C39" s="28" t="n">
        <v>7</v>
      </c>
      <c r="D39" s="28" t="n">
        <v>9</v>
      </c>
      <c r="E39" s="29" t="n">
        <v>-0.13</v>
      </c>
      <c r="F39" s="29" t="n">
        <v>0.03</v>
      </c>
      <c r="G39" s="29" t="n">
        <v>-0.22</v>
      </c>
      <c r="H39" s="29" t="n">
        <v>-0.39</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1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2026-08-03</t>
        </is>
      </c>
      <c r="B2" s="6" t="inlineStr">
        <is>
          <t>Dundee</t>
        </is>
      </c>
      <c r="C2" s="6" t="inlineStr">
        <is>
          <t>Home</t>
        </is>
      </c>
      <c r="D2" s="6" t="n">
        <v>1</v>
      </c>
      <c r="E2" s="6" t="n">
        <v>0</v>
      </c>
      <c r="F2" s="9" t="n">
        <v>2.83</v>
      </c>
      <c r="G2" s="9" t="n">
        <v>0.8100000000000001</v>
      </c>
      <c r="H2" s="9" t="n">
        <v>2.25</v>
      </c>
      <c r="I2" s="9" t="n">
        <v>0.49</v>
      </c>
      <c r="J2" s="9" t="n">
        <v>-0.58</v>
      </c>
      <c r="K2" s="9" t="n">
        <v>-0.32</v>
      </c>
      <c r="L2" s="9" t="n">
        <v>-0.58</v>
      </c>
      <c r="M2" s="9" t="n">
        <v>-0.32</v>
      </c>
      <c r="N2" s="9" t="n">
        <v>-0.51</v>
      </c>
      <c r="O2" s="9" t="n">
        <v>-0.52</v>
      </c>
      <c r="P2" s="9" t="n">
        <v>-0.51</v>
      </c>
      <c r="Q2" s="9" t="n">
        <v>-0.52</v>
      </c>
      <c r="R2" s="9">
        <f>(H2-I2)-(F2-G2)</f>
        <v/>
      </c>
      <c r="S2" s="9">
        <f>(H2+I2)-(F2+G2)</f>
        <v/>
      </c>
      <c r="T2" s="9" t="n">
        <v>2.49</v>
      </c>
      <c r="U2" s="9" t="n">
        <v>2.5</v>
      </c>
      <c r="V2" s="9" t="n">
        <v>-0.01</v>
      </c>
      <c r="W2" s="9" t="n">
        <v>2.49</v>
      </c>
      <c r="X2" s="9" t="n">
        <v>2.5</v>
      </c>
      <c r="Z2" s="12" t="inlineStr">
        <is>
          <t>Expected = the pre-match market xG (what the odds implied) for each side.</t>
        </is>
      </c>
    </row>
    <row r="3">
      <c r="A3" s="8" t="inlineStr">
        <is>
          <t>2026-08-09</t>
        </is>
      </c>
      <c r="B3" s="8" t="inlineStr">
        <is>
          <t>Kilmarnock</t>
        </is>
      </c>
      <c r="C3" s="8" t="inlineStr">
        <is>
          <t>Away</t>
        </is>
      </c>
      <c r="D3" s="8" t="n">
        <v>5</v>
      </c>
      <c r="E3" s="8" t="n">
        <v>1</v>
      </c>
      <c r="F3" s="10" t="n">
        <v>2.4</v>
      </c>
      <c r="G3" s="10" t="n">
        <v>0.98</v>
      </c>
      <c r="H3" s="10" t="n">
        <v>5.44</v>
      </c>
      <c r="I3" s="10" t="n">
        <v>0.98</v>
      </c>
      <c r="J3" s="10" t="n">
        <v>3.04</v>
      </c>
      <c r="K3" s="10" t="n">
        <v>0</v>
      </c>
      <c r="L3" s="10" t="n">
        <v>1.23</v>
      </c>
      <c r="M3" s="10" t="n">
        <v>-0.16</v>
      </c>
      <c r="N3" s="10" t="n">
        <v>3.16</v>
      </c>
      <c r="O3" s="10" t="n">
        <v>0.07000000000000001</v>
      </c>
      <c r="P3" s="10" t="n">
        <v>1.33</v>
      </c>
      <c r="Q3" s="10" t="n">
        <v>-0.22</v>
      </c>
      <c r="R3" s="10">
        <f>(H3-I3)-(F3-G3)</f>
        <v/>
      </c>
      <c r="S3" s="10">
        <f>(H3+I3)-(F3+G3)</f>
        <v/>
      </c>
      <c r="T3" s="10" t="n">
        <v>2.82</v>
      </c>
      <c r="U3" s="10" t="n">
        <v>2.24</v>
      </c>
      <c r="V3" s="10" t="n">
        <v>0.58</v>
      </c>
      <c r="W3" s="10" t="n">
        <v>5.3</v>
      </c>
      <c r="X3" s="10" t="n">
        <v>4.74</v>
      </c>
      <c r="Z3" s="4" t="inlineStr">
        <is>
          <t>Games vs expected</t>
        </is>
      </c>
      <c r="AA3" s="4" t="inlineStr">
        <is>
          <t>Above</t>
        </is>
      </c>
      <c r="AB3" s="4" t="inlineStr">
        <is>
          <t>Below</t>
        </is>
      </c>
    </row>
    <row r="4">
      <c r="A4" s="6" t="inlineStr">
        <is>
          <t>2026-08-29</t>
        </is>
      </c>
      <c r="B4" s="6" t="inlineStr">
        <is>
          <t>Falkirk</t>
        </is>
      </c>
      <c r="C4" s="6" t="inlineStr">
        <is>
          <t>Home</t>
        </is>
      </c>
      <c r="D4" s="6" t="n">
        <v>2</v>
      </c>
      <c r="E4" s="6" t="n">
        <v>1</v>
      </c>
      <c r="F4" s="9" t="n">
        <v>2.78</v>
      </c>
      <c r="G4" s="9" t="n">
        <v>0.82</v>
      </c>
      <c r="H4" s="9" t="n">
        <v>3.45</v>
      </c>
      <c r="I4" s="9" t="n">
        <v>0.57</v>
      </c>
      <c r="J4" s="9" t="n">
        <v>0.67</v>
      </c>
      <c r="K4" s="9" t="n">
        <v>-0.25</v>
      </c>
      <c r="L4" s="9" t="n">
        <v>1.04</v>
      </c>
      <c r="M4" s="9" t="n">
        <v>-0.19</v>
      </c>
      <c r="N4" s="9" t="n">
        <v>0.61</v>
      </c>
      <c r="O4" s="9" t="n">
        <v>-0.27</v>
      </c>
      <c r="P4" s="9" t="n">
        <v>1.09</v>
      </c>
      <c r="Q4" s="9" t="n">
        <v>-0.24</v>
      </c>
      <c r="R4" s="9">
        <f>(H4-I4)-(F4-G4)</f>
        <v/>
      </c>
      <c r="S4" s="9">
        <f>(H4+I4)-(F4+G4)</f>
        <v/>
      </c>
      <c r="T4" s="9" t="n">
        <v>2.76</v>
      </c>
      <c r="U4" s="9" t="n">
        <v>2.48</v>
      </c>
      <c r="V4" s="9" t="n">
        <v>0.28</v>
      </c>
      <c r="W4" s="9" t="n">
        <v>8.06</v>
      </c>
      <c r="X4" s="9" t="n">
        <v>7.22</v>
      </c>
      <c r="Z4" s="6" t="inlineStr">
        <is>
          <t>xG For vs expected</t>
        </is>
      </c>
      <c r="AA4" s="5">
        <f>COUNTIF($J$2:$J$9,"&gt;0")</f>
        <v/>
      </c>
      <c r="AB4" s="5">
        <f>COUNTIF($J$2:$J$9,"&lt;0")</f>
        <v/>
      </c>
    </row>
    <row r="5">
      <c r="A5" s="8" t="inlineStr">
        <is>
          <t>2026-09-02</t>
        </is>
      </c>
      <c r="B5" s="8" t="inlineStr">
        <is>
          <t>Aberdeen</t>
        </is>
      </c>
      <c r="C5" s="8" t="inlineStr">
        <is>
          <t>Home</t>
        </is>
      </c>
      <c r="D5" s="8" t="n">
        <v>3</v>
      </c>
      <c r="E5" s="8" t="n">
        <v>0</v>
      </c>
      <c r="F5" s="10" t="n">
        <v>2.74</v>
      </c>
      <c r="G5" s="10" t="n">
        <v>0.8</v>
      </c>
      <c r="H5" s="10" t="n">
        <v>2.67</v>
      </c>
      <c r="I5" s="10" t="n">
        <v>0.68</v>
      </c>
      <c r="J5" s="10" t="n">
        <v>-0.07000000000000001</v>
      </c>
      <c r="K5" s="10" t="n">
        <v>-0.12</v>
      </c>
      <c r="L5" s="10" t="n">
        <v>0.77</v>
      </c>
      <c r="M5" s="10" t="n">
        <v>-0.17</v>
      </c>
      <c r="N5" s="10" t="n">
        <v>-0.02</v>
      </c>
      <c r="O5" s="10" t="n">
        <v>0.07000000000000001</v>
      </c>
      <c r="P5" s="10" t="n">
        <v>0.8100000000000001</v>
      </c>
      <c r="Q5" s="10" t="n">
        <v>-0.16</v>
      </c>
      <c r="R5" s="10">
        <f>(H5-I5)-(F5-G5)</f>
        <v/>
      </c>
      <c r="S5" s="10">
        <f>(H5+I5)-(F5+G5)</f>
        <v/>
      </c>
      <c r="T5" s="10" t="n">
        <v>2.52</v>
      </c>
      <c r="U5" s="10" t="n">
        <v>2.48</v>
      </c>
      <c r="V5" s="10" t="n">
        <v>0.04</v>
      </c>
      <c r="W5" s="10" t="n">
        <v>10.58</v>
      </c>
      <c r="X5" s="10" t="n">
        <v>9.69</v>
      </c>
      <c r="Z5" s="6" t="inlineStr">
        <is>
          <t>xG Against vs expected</t>
        </is>
      </c>
      <c r="AA5" s="5">
        <f>COUNTIF($K$2:$K$9,"&gt;0")</f>
        <v/>
      </c>
      <c r="AB5" s="5">
        <f>COUNTIF($K$2:$K$9,"&lt;0")</f>
        <v/>
      </c>
    </row>
    <row r="6">
      <c r="A6" s="6" t="inlineStr">
        <is>
          <t>2026-09-05</t>
        </is>
      </c>
      <c r="B6" s="6" t="inlineStr">
        <is>
          <t>St Mirren</t>
        </is>
      </c>
      <c r="C6" s="6" t="inlineStr">
        <is>
          <t>Away</t>
        </is>
      </c>
      <c r="D6" s="6" t="n">
        <v>2</v>
      </c>
      <c r="E6" s="6" t="n">
        <v>1</v>
      </c>
      <c r="F6" s="9" t="n">
        <v>2.25</v>
      </c>
      <c r="G6" s="9" t="n">
        <v>1.03</v>
      </c>
      <c r="H6" s="9" t="n">
        <v>3.19</v>
      </c>
      <c r="I6" s="9" t="n">
        <v>1.95</v>
      </c>
      <c r="J6" s="9" t="n">
        <v>0.9399999999999999</v>
      </c>
      <c r="K6" s="9" t="n">
        <v>0.92</v>
      </c>
      <c r="L6" s="9" t="n">
        <v>0.8</v>
      </c>
      <c r="M6" s="9" t="n">
        <v>0.05</v>
      </c>
      <c r="N6" s="9" t="n">
        <v>0.8100000000000001</v>
      </c>
      <c r="O6" s="9" t="n">
        <v>0.75</v>
      </c>
      <c r="P6" s="9" t="n">
        <v>0.8100000000000001</v>
      </c>
      <c r="Q6" s="9" t="n">
        <v>0.02</v>
      </c>
      <c r="R6" s="9">
        <f>(H6-I6)-(F6-G6)</f>
        <v/>
      </c>
      <c r="S6" s="9">
        <f>(H6+I6)-(F6+G6)</f>
        <v/>
      </c>
      <c r="T6" s="9" t="n">
        <v>2.03</v>
      </c>
      <c r="U6" s="9" t="n">
        <v>2.13</v>
      </c>
      <c r="V6" s="9" t="n">
        <v>-0.1</v>
      </c>
      <c r="W6" s="9" t="n">
        <v>12.61</v>
      </c>
      <c r="X6" s="9" t="n">
        <v>11.83</v>
      </c>
      <c r="Z6" s="6" t="inlineStr">
        <is>
          <t>Goals For vs expected</t>
        </is>
      </c>
      <c r="AA6" s="5">
        <f>SUMPRODUCT(--($D$2:$D$9&gt;$F$2:$F$9))</f>
        <v/>
      </c>
      <c r="AB6" s="5">
        <f>SUMPRODUCT(--($D$2:$D$9&lt;$F$2:$F$9))</f>
        <v/>
      </c>
    </row>
    <row r="7">
      <c r="A7" s="8" t="inlineStr">
        <is>
          <t>2026-09-09</t>
        </is>
      </c>
      <c r="B7" s="8" t="inlineStr">
        <is>
          <t>St Johnstone</t>
        </is>
      </c>
      <c r="C7" s="8" t="inlineStr">
        <is>
          <t>Away</t>
        </is>
      </c>
      <c r="D7" s="8" t="n">
        <v>1</v>
      </c>
      <c r="E7" s="8" t="n">
        <v>0</v>
      </c>
      <c r="F7" s="10" t="n">
        <v>2.24</v>
      </c>
      <c r="G7" s="10" t="n">
        <v>1.05</v>
      </c>
      <c r="H7" s="10" t="n">
        <v>1.8</v>
      </c>
      <c r="I7" s="10" t="n">
        <v>0.6899999999999999</v>
      </c>
      <c r="J7" s="10" t="n">
        <v>-0.44</v>
      </c>
      <c r="K7" s="10" t="n">
        <v>-0.36</v>
      </c>
      <c r="L7" s="10" t="n">
        <v>0.59</v>
      </c>
      <c r="M7" s="10" t="n">
        <v>-0.02</v>
      </c>
      <c r="N7" s="10" t="n">
        <v>-0.64</v>
      </c>
      <c r="O7" s="10" t="n">
        <v>-0.48</v>
      </c>
      <c r="P7" s="10" t="n">
        <v>0.57</v>
      </c>
      <c r="Q7" s="10" t="n">
        <v>-0.06</v>
      </c>
      <c r="R7" s="10">
        <f>(H7-I7)-(F7-G7)</f>
        <v/>
      </c>
      <c r="S7" s="10">
        <f>(H7+I7)-(F7+G7)</f>
        <v/>
      </c>
      <c r="T7" s="10" t="n">
        <v>2.14</v>
      </c>
      <c r="U7" s="10" t="n">
        <v>2.12</v>
      </c>
      <c r="V7" s="10" t="n">
        <v>0.03</v>
      </c>
      <c r="W7" s="10" t="n">
        <v>14.75</v>
      </c>
      <c r="X7" s="10" t="n">
        <v>13.95</v>
      </c>
      <c r="Z7" s="6" t="inlineStr">
        <is>
          <t>Goals Against vs expected</t>
        </is>
      </c>
      <c r="AA7" s="5">
        <f>SUMPRODUCT(--($E$2:$E$9&gt;$G$2:$G$9))</f>
        <v/>
      </c>
      <c r="AB7" s="5">
        <f>SUMPRODUCT(--($E$2:$E$9&lt;$G$2:$G$9))</f>
        <v/>
      </c>
    </row>
    <row r="8">
      <c r="A8" s="6" t="inlineStr">
        <is>
          <t>2026-09-20</t>
        </is>
      </c>
      <c r="B8" s="6" t="inlineStr">
        <is>
          <t>Rangers</t>
        </is>
      </c>
      <c r="C8" s="6" t="inlineStr">
        <is>
          <t>Home</t>
        </is>
      </c>
      <c r="D8" s="6" t="n">
        <v>0</v>
      </c>
      <c r="E8" s="6" t="n">
        <v>1</v>
      </c>
      <c r="F8" s="9" t="n">
        <v>1.73</v>
      </c>
      <c r="G8" s="9" t="n">
        <v>1.44</v>
      </c>
      <c r="H8" s="9" t="n">
        <v>0.39</v>
      </c>
      <c r="I8" s="9" t="n">
        <v>1.75</v>
      </c>
      <c r="J8" s="9" t="n">
        <v>-1.34</v>
      </c>
      <c r="K8" s="9" t="n">
        <v>0.31</v>
      </c>
      <c r="L8" s="9" t="n">
        <v>0.47</v>
      </c>
      <c r="M8" s="9" t="n">
        <v>0.08</v>
      </c>
      <c r="N8" s="9" t="n">
        <v>-1.51</v>
      </c>
      <c r="O8" s="9" t="n">
        <v>0.29</v>
      </c>
      <c r="P8" s="9" t="n">
        <v>0.4</v>
      </c>
      <c r="Q8" s="9" t="n">
        <v>0.07000000000000001</v>
      </c>
      <c r="R8" s="9">
        <f>(H8-I8)-(F8-G8)</f>
        <v/>
      </c>
      <c r="S8" s="9">
        <f>(H8+I8)-(F8+G8)</f>
        <v/>
      </c>
      <c r="T8" s="9" t="n">
        <v>0.44</v>
      </c>
      <c r="U8" s="9" t="n">
        <v>1.57</v>
      </c>
      <c r="V8" s="9" t="n">
        <v>-1.13</v>
      </c>
      <c r="W8" s="9" t="n">
        <v>15.2</v>
      </c>
      <c r="X8" s="9" t="n">
        <v>15.51</v>
      </c>
      <c r="Z8" s="12" t="inlineStr">
        <is>
          <t>For: Above = beat expectation. Against: Above = conceded more than expected (worse).</t>
        </is>
      </c>
    </row>
    <row r="9">
      <c r="A9" s="8" t="inlineStr">
        <is>
          <t>2026-10-11</t>
        </is>
      </c>
      <c r="B9" s="8" t="inlineStr">
        <is>
          <t>Motherwell</t>
        </is>
      </c>
      <c r="C9" s="8" t="inlineStr">
        <is>
          <t>Away</t>
        </is>
      </c>
      <c r="D9" s="8" t="n">
        <v>2</v>
      </c>
      <c r="E9" s="8" t="n">
        <v>0</v>
      </c>
      <c r="F9" s="10" t="n">
        <v>2.19</v>
      </c>
      <c r="G9" s="10" t="n">
        <v>1.16</v>
      </c>
      <c r="H9" s="10" t="n">
        <v>2.85</v>
      </c>
      <c r="I9" s="10" t="n">
        <v>1.05</v>
      </c>
      <c r="J9" s="10" t="n">
        <v>0.66</v>
      </c>
      <c r="K9" s="10" t="n">
        <v>-0.11</v>
      </c>
      <c r="L9" s="10" t="n">
        <v>0.07000000000000001</v>
      </c>
      <c r="M9" s="10" t="n">
        <v>0.06</v>
      </c>
      <c r="N9" s="10" t="n">
        <v>0.32</v>
      </c>
      <c r="O9" s="10" t="n">
        <v>-0.21</v>
      </c>
      <c r="P9" s="10" t="n">
        <v>-0.07000000000000001</v>
      </c>
      <c r="Q9" s="10" t="n">
        <v>0.02</v>
      </c>
      <c r="R9" s="10">
        <f>(H9-I9)-(F9-G9)</f>
        <v/>
      </c>
      <c r="S9" s="10">
        <f>(H9+I9)-(F9+G9)</f>
        <v/>
      </c>
      <c r="T9" s="10" t="n">
        <v>2.38</v>
      </c>
      <c r="U9" s="10" t="n">
        <v>2.02</v>
      </c>
      <c r="V9" s="10" t="n">
        <v>0.36</v>
      </c>
      <c r="W9" s="10" t="n">
        <v>17.57</v>
      </c>
      <c r="X9" s="10" t="n">
        <v>17.53</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Celtic: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22" t="inlineStr">
        <is>
          <t>1. Celtic</t>
        </is>
      </c>
      <c r="AG25" s="23" t="n"/>
      <c r="AH25" s="23" t="n"/>
    </row>
    <row r="26">
      <c r="A26" s="17" t="inlineStr">
        <is>
          <t>Median Total xG Delta</t>
        </is>
      </c>
      <c r="E26" s="19">
        <f>MEDIAN(S2:S9)</f>
        <v/>
      </c>
      <c r="AF26" s="6" t="inlineStr">
        <is>
          <t>2. Rangers</t>
        </is>
      </c>
      <c r="AG26" s="20" t="n">
        <v>2.1</v>
      </c>
      <c r="AH26" s="16" t="n"/>
    </row>
    <row r="27">
      <c r="A27" s="17" t="inlineStr">
        <is>
          <t>Current form (last 6, For)</t>
        </is>
      </c>
      <c r="E27" s="19">
        <f>L9</f>
        <v/>
      </c>
      <c r="AF27" s="6" t="inlineStr">
        <is>
          <t>3. Heart of Midlothian</t>
        </is>
      </c>
      <c r="AG27" s="16" t="n"/>
      <c r="AH27" s="16" t="n"/>
    </row>
    <row r="28">
      <c r="A28" s="17" t="inlineStr">
        <is>
          <t>Current form (last 6, Against)</t>
        </is>
      </c>
      <c r="E28" s="19">
        <f>M9</f>
        <v/>
      </c>
      <c r="AF28" s="6" t="inlineStr">
        <is>
          <t>4. Dundee</t>
        </is>
      </c>
      <c r="AG28" s="21" t="n">
        <v>1.11</v>
      </c>
      <c r="AH28" s="16" t="n"/>
    </row>
    <row r="29">
      <c r="A29" s="17" t="inlineStr">
        <is>
          <t>Current form (last 6, For, Adj)</t>
        </is>
      </c>
      <c r="E29" s="19">
        <f>P9</f>
        <v/>
      </c>
      <c r="AF29" s="6" t="inlineStr">
        <is>
          <t>5. St Johnstone</t>
        </is>
      </c>
      <c r="AG29" s="16" t="n"/>
      <c r="AH29" s="21" t="n">
        <v>1.5</v>
      </c>
    </row>
    <row r="30">
      <c r="A30" s="17" t="inlineStr">
        <is>
          <t>Current form (last 6, Against, Adj)</t>
        </is>
      </c>
      <c r="E30" s="19">
        <f>Q9</f>
        <v/>
      </c>
      <c r="AF30" s="6" t="inlineStr">
        <is>
          <t>6. Dundee United</t>
        </is>
      </c>
      <c r="AG30" s="16" t="n"/>
      <c r="AH30" s="16" t="n"/>
    </row>
    <row r="31">
      <c r="A31" s="17" t="inlineStr">
        <is>
          <t>Total xPts (Actual)</t>
        </is>
      </c>
      <c r="E31" s="19">
        <f>SUM(T2:T9)</f>
        <v/>
      </c>
      <c r="AF31" s="6" t="inlineStr">
        <is>
          <t>7. St Mirren</t>
        </is>
      </c>
      <c r="AG31" s="16" t="n"/>
      <c r="AH31" s="21" t="n">
        <v>1.36</v>
      </c>
    </row>
    <row r="32">
      <c r="A32" s="17" t="inlineStr">
        <is>
          <t>Total xPts (Market)</t>
        </is>
      </c>
      <c r="E32" s="19">
        <f>SUM(U2:U9)</f>
        <v/>
      </c>
      <c r="AF32" s="6" t="inlineStr">
        <is>
          <t>8. Aberdeen</t>
        </is>
      </c>
      <c r="AG32" s="21" t="n">
        <v>1.2</v>
      </c>
      <c r="AH32" s="16" t="n"/>
    </row>
    <row r="33">
      <c r="A33" s="17" t="inlineStr">
        <is>
          <t>Avg xPts Delta</t>
        </is>
      </c>
      <c r="E33" s="19">
        <f>AVERAGE(V2:V9)</f>
        <v/>
      </c>
      <c r="AF33" s="6" t="inlineStr">
        <is>
          <t>9. Motherwell</t>
        </is>
      </c>
      <c r="AG33" s="16" t="n"/>
      <c r="AH33" s="21" t="n">
        <v>1.5</v>
      </c>
    </row>
    <row r="34">
      <c r="AF34" s="6" t="inlineStr">
        <is>
          <t>10. Hibernian</t>
        </is>
      </c>
      <c r="AG34" s="16" t="n"/>
      <c r="AH34" s="16" t="n"/>
    </row>
    <row r="35">
      <c r="A35" s="11" t="inlineStr">
        <is>
          <t>Home / Away split</t>
        </is>
      </c>
      <c r="AF35" s="6" t="inlineStr">
        <is>
          <t>11. Falkirk</t>
        </is>
      </c>
      <c r="AG35" s="21" t="n">
        <v>1.2</v>
      </c>
      <c r="AH35" s="16"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16" t="n"/>
      <c r="AH36" s="21" t="n">
        <v>1.33</v>
      </c>
    </row>
    <row r="37">
      <c r="A37" s="17" t="inlineStr">
        <is>
          <t>Home</t>
        </is>
      </c>
      <c r="B37" s="17" t="n">
        <v>4</v>
      </c>
      <c r="C37" s="17" t="n">
        <v>6</v>
      </c>
      <c r="D37" s="17" t="n">
        <v>2</v>
      </c>
      <c r="E37" s="26" t="n">
        <v>-0.23</v>
      </c>
      <c r="F37" s="26" t="n">
        <v>-0.11</v>
      </c>
      <c r="G37" s="26" t="n">
        <v>-0.43</v>
      </c>
      <c r="H37" s="26" t="n">
        <v>-0.55</v>
      </c>
    </row>
    <row r="38">
      <c r="A38" s="17" t="inlineStr">
        <is>
          <t>Away</t>
        </is>
      </c>
      <c r="B38" s="17" t="n">
        <v>4</v>
      </c>
      <c r="C38" s="17" t="n">
        <v>10</v>
      </c>
      <c r="D38" s="17" t="n">
        <v>2</v>
      </c>
      <c r="E38" s="26" t="n">
        <v>0.9399999999999999</v>
      </c>
      <c r="F38" s="26" t="n">
        <v>0.4</v>
      </c>
      <c r="G38" s="26" t="n">
        <v>1.16</v>
      </c>
      <c r="H38" s="26" t="n">
        <v>1.21</v>
      </c>
      <c r="AF38" s="27" t="inlineStr">
        <is>
          <t>Won</t>
        </is>
      </c>
    </row>
    <row r="39">
      <c r="A39" s="28" t="inlineStr">
        <is>
          <t>Total</t>
        </is>
      </c>
      <c r="B39" s="28" t="n">
        <v>8</v>
      </c>
      <c r="C39" s="28" t="n">
        <v>16</v>
      </c>
      <c r="D39" s="28" t="n">
        <v>4</v>
      </c>
      <c r="E39" s="29" t="n">
        <v>0.35</v>
      </c>
      <c r="F39" s="29" t="n">
        <v>0.04</v>
      </c>
      <c r="G39" s="29" t="n">
        <v>0.37</v>
      </c>
      <c r="H39" s="29" t="n">
        <v>0.11</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2026-08-03</t>
        </is>
      </c>
      <c r="B2" s="6" t="inlineStr">
        <is>
          <t>Celtic</t>
        </is>
      </c>
      <c r="C2" s="6" t="inlineStr">
        <is>
          <t>Away</t>
        </is>
      </c>
      <c r="D2" s="6" t="n">
        <v>0</v>
      </c>
      <c r="E2" s="6" t="n">
        <v>1</v>
      </c>
      <c r="F2" s="9" t="n">
        <v>0.8100000000000001</v>
      </c>
      <c r="G2" s="9" t="n">
        <v>2.83</v>
      </c>
      <c r="H2" s="9" t="n">
        <v>0.49</v>
      </c>
      <c r="I2" s="9" t="n">
        <v>2.25</v>
      </c>
      <c r="J2" s="9" t="n">
        <v>-0.32</v>
      </c>
      <c r="K2" s="9" t="n">
        <v>-0.58</v>
      </c>
      <c r="L2" s="9" t="n">
        <v>-0.32</v>
      </c>
      <c r="M2" s="9" t="n">
        <v>-0.58</v>
      </c>
      <c r="N2" s="9" t="n">
        <v>-0.37</v>
      </c>
      <c r="O2" s="9" t="n">
        <v>-1.08</v>
      </c>
      <c r="P2" s="9" t="n">
        <v>-0.37</v>
      </c>
      <c r="Q2" s="9" t="n">
        <v>-1.08</v>
      </c>
      <c r="R2" s="9">
        <f>(H2-I2)-(F2-G2)</f>
        <v/>
      </c>
      <c r="S2" s="9">
        <f>(H2+I2)-(F2+G2)</f>
        <v/>
      </c>
      <c r="T2" s="9" t="n">
        <v>0.35</v>
      </c>
      <c r="U2" s="9" t="n">
        <v>0.37</v>
      </c>
      <c r="V2" s="9" t="n">
        <v>-0.01</v>
      </c>
      <c r="W2" s="9" t="n">
        <v>0.35</v>
      </c>
      <c r="X2" s="9" t="n">
        <v>0.37</v>
      </c>
      <c r="Z2" s="12" t="inlineStr">
        <is>
          <t>Expected = the pre-match market xG (what the odds implied) for each side.</t>
        </is>
      </c>
    </row>
    <row r="3">
      <c r="A3" s="8" t="inlineStr">
        <is>
          <t>2026-08-08</t>
        </is>
      </c>
      <c r="B3" s="8" t="inlineStr">
        <is>
          <t>Aberdeen</t>
        </is>
      </c>
      <c r="C3" s="8" t="inlineStr">
        <is>
          <t>Home</t>
        </is>
      </c>
      <c r="D3" s="8" t="n">
        <v>2</v>
      </c>
      <c r="E3" s="8" t="n">
        <v>0</v>
      </c>
      <c r="F3" s="10" t="n">
        <v>1.34</v>
      </c>
      <c r="G3" s="10" t="n">
        <v>1.41</v>
      </c>
      <c r="H3" s="10" t="n">
        <v>1.83</v>
      </c>
      <c r="I3" s="10" t="n">
        <v>0.71</v>
      </c>
      <c r="J3" s="10" t="n">
        <v>0.49</v>
      </c>
      <c r="K3" s="10" t="n">
        <v>-0.7</v>
      </c>
      <c r="L3" s="10" t="n">
        <v>0.08</v>
      </c>
      <c r="M3" s="10" t="n">
        <v>-0.64</v>
      </c>
      <c r="N3" s="10" t="n">
        <v>0.61</v>
      </c>
      <c r="O3" s="10" t="n">
        <v>-0.6</v>
      </c>
      <c r="P3" s="10" t="n">
        <v>0.12</v>
      </c>
      <c r="Q3" s="10" t="n">
        <v>-0.84</v>
      </c>
      <c r="R3" s="10">
        <f>(H3-I3)-(F3-G3)</f>
        <v/>
      </c>
      <c r="S3" s="10">
        <f>(H3+I3)-(F3+G3)</f>
        <v/>
      </c>
      <c r="T3" s="10" t="n">
        <v>2.14</v>
      </c>
      <c r="U3" s="10" t="n">
        <v>1.33</v>
      </c>
      <c r="V3" s="10" t="n">
        <v>0.8100000000000001</v>
      </c>
      <c r="W3" s="10" t="n">
        <v>2.5</v>
      </c>
      <c r="X3" s="10" t="n">
        <v>1.7</v>
      </c>
      <c r="Z3" s="4" t="inlineStr">
        <is>
          <t>Games vs expected</t>
        </is>
      </c>
      <c r="AA3" s="4" t="inlineStr">
        <is>
          <t>Above</t>
        </is>
      </c>
      <c r="AB3" s="4" t="inlineStr">
        <is>
          <t>Below</t>
        </is>
      </c>
    </row>
    <row r="4">
      <c r="A4" s="6" t="inlineStr">
        <is>
          <t>2026-08-22</t>
        </is>
      </c>
      <c r="B4" s="6" t="inlineStr">
        <is>
          <t>Dundee United</t>
        </is>
      </c>
      <c r="C4" s="6" t="inlineStr">
        <is>
          <t>Away</t>
        </is>
      </c>
      <c r="D4" s="6" t="n">
        <v>2</v>
      </c>
      <c r="E4" s="6" t="n">
        <v>0</v>
      </c>
      <c r="F4" s="9" t="n">
        <v>1.23</v>
      </c>
      <c r="G4" s="9" t="n">
        <v>1.54</v>
      </c>
      <c r="H4" s="9" t="n">
        <v>1.43</v>
      </c>
      <c r="I4" s="9" t="n">
        <v>1.19</v>
      </c>
      <c r="J4" s="9" t="n">
        <v>0.2</v>
      </c>
      <c r="K4" s="9" t="n">
        <v>-0.35</v>
      </c>
      <c r="L4" s="9" t="n">
        <v>0.12</v>
      </c>
      <c r="M4" s="9" t="n">
        <v>-0.54</v>
      </c>
      <c r="N4" s="9" t="n">
        <v>0.41</v>
      </c>
      <c r="O4" s="9" t="n">
        <v>-0.73</v>
      </c>
      <c r="P4" s="9" t="n">
        <v>0.22</v>
      </c>
      <c r="Q4" s="9" t="n">
        <v>-0.8</v>
      </c>
      <c r="R4" s="9">
        <f>(H4-I4)-(F4-G4)</f>
        <v/>
      </c>
      <c r="S4" s="9">
        <f>(H4+I4)-(F4+G4)</f>
        <v/>
      </c>
      <c r="T4" s="9" t="n">
        <v>1.54</v>
      </c>
      <c r="U4" s="9" t="n">
        <v>1.16</v>
      </c>
      <c r="V4" s="9" t="n">
        <v>0.38</v>
      </c>
      <c r="W4" s="9" t="n">
        <v>4.04</v>
      </c>
      <c r="X4" s="9" t="n">
        <v>2.86</v>
      </c>
      <c r="Z4" s="6" t="inlineStr">
        <is>
          <t>xG For vs expected</t>
        </is>
      </c>
      <c r="AA4" s="5">
        <f>COUNTIF($J$2:$J$9,"&gt;0")</f>
        <v/>
      </c>
      <c r="AB4" s="5">
        <f>COUNTIF($J$2:$J$9,"&lt;0")</f>
        <v/>
      </c>
    </row>
    <row r="5">
      <c r="A5" s="8" t="inlineStr">
        <is>
          <t>2026-08-30</t>
        </is>
      </c>
      <c r="B5" s="8" t="inlineStr">
        <is>
          <t>Hibernian</t>
        </is>
      </c>
      <c r="C5" s="8" t="inlineStr">
        <is>
          <t>Home</t>
        </is>
      </c>
      <c r="D5" s="8" t="n">
        <v>1</v>
      </c>
      <c r="E5" s="8" t="n">
        <v>2</v>
      </c>
      <c r="F5" s="10" t="n">
        <v>1.22</v>
      </c>
      <c r="G5" s="10" t="n">
        <v>1.51</v>
      </c>
      <c r="H5" s="10" t="n">
        <v>1.01</v>
      </c>
      <c r="I5" s="10" t="n">
        <v>2.33</v>
      </c>
      <c r="J5" s="10" t="n">
        <v>-0.21</v>
      </c>
      <c r="K5" s="10" t="n">
        <v>0.82</v>
      </c>
      <c r="L5" s="10" t="n">
        <v>0.04</v>
      </c>
      <c r="M5" s="10" t="n">
        <v>-0.2</v>
      </c>
      <c r="N5" s="10" t="n">
        <v>-0.61</v>
      </c>
      <c r="O5" s="10" t="n">
        <v>0.91</v>
      </c>
      <c r="P5" s="10" t="n">
        <v>0.01</v>
      </c>
      <c r="Q5" s="10" t="n">
        <v>-0.37</v>
      </c>
      <c r="R5" s="10">
        <f>(H5-I5)-(F5-G5)</f>
        <v/>
      </c>
      <c r="S5" s="10">
        <f>(H5+I5)-(F5+G5)</f>
        <v/>
      </c>
      <c r="T5" s="10" t="n">
        <v>0.63</v>
      </c>
      <c r="U5" s="10" t="n">
        <v>1.17</v>
      </c>
      <c r="V5" s="10" t="n">
        <v>-0.54</v>
      </c>
      <c r="W5" s="10" t="n">
        <v>4.66</v>
      </c>
      <c r="X5" s="10" t="n">
        <v>4.03</v>
      </c>
      <c r="Z5" s="6" t="inlineStr">
        <is>
          <t>xG Against vs expected</t>
        </is>
      </c>
      <c r="AA5" s="5">
        <f>COUNTIF($K$2:$K$9,"&gt;0")</f>
        <v/>
      </c>
      <c r="AB5" s="5">
        <f>COUNTIF($K$2:$K$9,"&lt;0")</f>
        <v/>
      </c>
    </row>
    <row r="6">
      <c r="A6" s="6" t="inlineStr">
        <is>
          <t>2026-09-02</t>
        </is>
      </c>
      <c r="B6" s="6" t="inlineStr">
        <is>
          <t>St Johnstone</t>
        </is>
      </c>
      <c r="C6" s="6" t="inlineStr">
        <is>
          <t>Home</t>
        </is>
      </c>
      <c r="D6" s="6" t="n">
        <v>1</v>
      </c>
      <c r="E6" s="6" t="n">
        <v>1</v>
      </c>
      <c r="F6" s="9" t="n">
        <v>1.37</v>
      </c>
      <c r="G6" s="9" t="n">
        <v>1.37</v>
      </c>
      <c r="H6" s="9" t="n">
        <v>2.04</v>
      </c>
      <c r="I6" s="9" t="n">
        <v>1.07</v>
      </c>
      <c r="J6" s="9" t="n">
        <v>0.67</v>
      </c>
      <c r="K6" s="9" t="n">
        <v>-0.3</v>
      </c>
      <c r="L6" s="9" t="n">
        <v>0.17</v>
      </c>
      <c r="M6" s="9" t="n">
        <v>-0.22</v>
      </c>
      <c r="N6" s="9" t="n">
        <v>0.63</v>
      </c>
      <c r="O6" s="9" t="n">
        <v>-0.41</v>
      </c>
      <c r="P6" s="9" t="n">
        <v>0.13</v>
      </c>
      <c r="Q6" s="9" t="n">
        <v>-0.38</v>
      </c>
      <c r="R6" s="9">
        <f>(H6-I6)-(F6-G6)</f>
        <v/>
      </c>
      <c r="S6" s="9">
        <f>(H6+I6)-(F6+G6)</f>
        <v/>
      </c>
      <c r="T6" s="9" t="n">
        <v>2</v>
      </c>
      <c r="U6" s="9" t="n">
        <v>1.37</v>
      </c>
      <c r="V6" s="9" t="n">
        <v>0.63</v>
      </c>
      <c r="W6" s="9" t="n">
        <v>6.67</v>
      </c>
      <c r="X6" s="9" t="n">
        <v>5.4</v>
      </c>
      <c r="Z6" s="6" t="inlineStr">
        <is>
          <t>Goals For vs expected</t>
        </is>
      </c>
      <c r="AA6" s="5">
        <f>SUMPRODUCT(--($D$2:$D$9&gt;$F$2:$F$9))</f>
        <v/>
      </c>
      <c r="AB6" s="5">
        <f>SUMPRODUCT(--($D$2:$D$9&lt;$F$2:$F$9))</f>
        <v/>
      </c>
    </row>
    <row r="7">
      <c r="A7" s="8" t="inlineStr">
        <is>
          <t>2026-09-06</t>
        </is>
      </c>
      <c r="B7" s="8" t="inlineStr">
        <is>
          <t>Heart of Midlothian</t>
        </is>
      </c>
      <c r="C7" s="8" t="inlineStr">
        <is>
          <t>Away</t>
        </is>
      </c>
      <c r="D7" s="8" t="n">
        <v>1</v>
      </c>
      <c r="E7" s="8" t="n">
        <v>2</v>
      </c>
      <c r="F7" s="10" t="n">
        <v>0.96</v>
      </c>
      <c r="G7" s="10" t="n">
        <v>2.12</v>
      </c>
      <c r="H7" s="10" t="n">
        <v>0.42</v>
      </c>
      <c r="I7" s="10" t="n">
        <v>1.92</v>
      </c>
      <c r="J7" s="10" t="n">
        <v>-0.54</v>
      </c>
      <c r="K7" s="10" t="n">
        <v>-0.2</v>
      </c>
      <c r="L7" s="10" t="n">
        <v>0.05</v>
      </c>
      <c r="M7" s="10" t="n">
        <v>-0.22</v>
      </c>
      <c r="N7" s="10" t="n">
        <v>-0.74</v>
      </c>
      <c r="O7" s="10" t="n">
        <v>-0.48</v>
      </c>
      <c r="P7" s="10" t="n">
        <v>-0.01</v>
      </c>
      <c r="Q7" s="10" t="n">
        <v>-0.4</v>
      </c>
      <c r="R7" s="10">
        <f>(H7-I7)-(F7-G7)</f>
        <v/>
      </c>
      <c r="S7" s="10">
        <f>(H7+I7)-(F7+G7)</f>
        <v/>
      </c>
      <c r="T7" s="10" t="n">
        <v>0.41</v>
      </c>
      <c r="U7" s="10" t="n">
        <v>0.68</v>
      </c>
      <c r="V7" s="10" t="n">
        <v>-0.28</v>
      </c>
      <c r="W7" s="10" t="n">
        <v>7.07</v>
      </c>
      <c r="X7" s="10" t="n">
        <v>6.08</v>
      </c>
      <c r="Z7" s="6" t="inlineStr">
        <is>
          <t>Goals Against vs expected</t>
        </is>
      </c>
      <c r="AA7" s="5">
        <f>SUMPRODUCT(--($E$2:$E$9&gt;$G$2:$G$9))</f>
        <v/>
      </c>
      <c r="AB7" s="5">
        <f>SUMPRODUCT(--($E$2:$E$9&lt;$G$2:$G$9))</f>
        <v/>
      </c>
    </row>
    <row r="8">
      <c r="A8" s="6" t="inlineStr">
        <is>
          <t>2026-09-19</t>
        </is>
      </c>
      <c r="B8" s="6" t="inlineStr">
        <is>
          <t>Motherwell</t>
        </is>
      </c>
      <c r="C8" s="6" t="inlineStr">
        <is>
          <t>Home</t>
        </is>
      </c>
      <c r="D8" s="6" t="n">
        <v>2</v>
      </c>
      <c r="E8" s="6" t="n">
        <v>1</v>
      </c>
      <c r="F8" s="9" t="n">
        <v>1.31</v>
      </c>
      <c r="G8" s="9" t="n">
        <v>1.54</v>
      </c>
      <c r="H8" s="9" t="n">
        <v>1.38</v>
      </c>
      <c r="I8" s="9" t="n">
        <v>1.1</v>
      </c>
      <c r="J8" s="9" t="n">
        <v>0.07000000000000001</v>
      </c>
      <c r="K8" s="9" t="n">
        <v>-0.44</v>
      </c>
      <c r="L8" s="9" t="n">
        <v>0.11</v>
      </c>
      <c r="M8" s="9" t="n">
        <v>-0.19</v>
      </c>
      <c r="N8" s="9" t="n">
        <v>-0.35</v>
      </c>
      <c r="O8" s="9" t="n">
        <v>-0.59</v>
      </c>
      <c r="P8" s="9" t="n">
        <v>-0.01</v>
      </c>
      <c r="Q8" s="9" t="n">
        <v>-0.32</v>
      </c>
      <c r="R8" s="9">
        <f>(H8-I8)-(F8-G8)</f>
        <v/>
      </c>
      <c r="S8" s="9">
        <f>(H8+I8)-(F8+G8)</f>
        <v/>
      </c>
      <c r="T8" s="9" t="n">
        <v>1.57</v>
      </c>
      <c r="U8" s="9" t="n">
        <v>1.22</v>
      </c>
      <c r="V8" s="9" t="n">
        <v>0.34</v>
      </c>
      <c r="W8" s="9" t="n">
        <v>8.640000000000001</v>
      </c>
      <c r="X8" s="9" t="n">
        <v>7.31</v>
      </c>
      <c r="Z8" s="12" t="inlineStr">
        <is>
          <t>For: Above = beat expectation. Against: Above = conceded more than expected (worse).</t>
        </is>
      </c>
    </row>
    <row r="9">
      <c r="A9" s="8" t="inlineStr">
        <is>
          <t>2026-10-10</t>
        </is>
      </c>
      <c r="B9" s="8" t="inlineStr">
        <is>
          <t>Falkirk</t>
        </is>
      </c>
      <c r="C9" s="8" t="inlineStr">
        <is>
          <t>Away</t>
        </is>
      </c>
      <c r="D9" s="8" t="n">
        <v>2</v>
      </c>
      <c r="E9" s="8" t="n">
        <v>1</v>
      </c>
      <c r="F9" s="10" t="n">
        <v>1.19</v>
      </c>
      <c r="G9" s="10" t="n">
        <v>1.66</v>
      </c>
      <c r="H9" s="10" t="n">
        <v>1.9</v>
      </c>
      <c r="I9" s="10" t="n">
        <v>2.31</v>
      </c>
      <c r="J9" s="10" t="n">
        <v>0.71</v>
      </c>
      <c r="K9" s="10" t="n">
        <v>0.65</v>
      </c>
      <c r="L9" s="10" t="n">
        <v>0.15</v>
      </c>
      <c r="M9" s="10" t="n">
        <v>0.03</v>
      </c>
      <c r="N9" s="10" t="n">
        <v>0.66</v>
      </c>
      <c r="O9" s="10" t="n">
        <v>0.77</v>
      </c>
      <c r="P9" s="10" t="n">
        <v>-0</v>
      </c>
      <c r="Q9" s="10" t="n">
        <v>-0.09</v>
      </c>
      <c r="R9" s="10">
        <f>(H9-I9)-(F9-G9)</f>
        <v/>
      </c>
      <c r="S9" s="10">
        <f>(H9+I9)-(F9+G9)</f>
        <v/>
      </c>
      <c r="T9" s="10" t="n">
        <v>1.17</v>
      </c>
      <c r="U9" s="10" t="n">
        <v>1.06</v>
      </c>
      <c r="V9" s="10" t="n">
        <v>0.11</v>
      </c>
      <c r="W9" s="10" t="n">
        <v>9.81</v>
      </c>
      <c r="X9" s="10" t="n">
        <v>8.369999999999999</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Dundee: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16" t="n"/>
      <c r="AH25" s="20" t="n">
        <v>17</v>
      </c>
    </row>
    <row r="26">
      <c r="A26" s="17" t="inlineStr">
        <is>
          <t>Median Total xG Delta</t>
        </is>
      </c>
      <c r="E26" s="19">
        <f>MEDIAN(S2:S9)</f>
        <v/>
      </c>
      <c r="AF26" s="6" t="inlineStr">
        <is>
          <t>2. Rangers</t>
        </is>
      </c>
      <c r="AG26" s="16" t="n"/>
      <c r="AH26" s="16" t="n"/>
    </row>
    <row r="27">
      <c r="A27" s="17" t="inlineStr">
        <is>
          <t>Current form (last 6, For)</t>
        </is>
      </c>
      <c r="E27" s="19">
        <f>L9</f>
        <v/>
      </c>
      <c r="AF27" s="6" t="inlineStr">
        <is>
          <t>3. Heart of Midlothian</t>
        </is>
      </c>
      <c r="AG27" s="16" t="n"/>
      <c r="AH27" s="20" t="n">
        <v>7</v>
      </c>
    </row>
    <row r="28">
      <c r="A28" s="17" t="inlineStr">
        <is>
          <t>Current form (last 6, Against)</t>
        </is>
      </c>
      <c r="E28" s="19">
        <f>M9</f>
        <v/>
      </c>
      <c r="AF28" s="22" t="inlineStr">
        <is>
          <t>4. Dundee</t>
        </is>
      </c>
      <c r="AG28" s="23" t="n"/>
      <c r="AH28" s="23" t="n"/>
    </row>
    <row r="29">
      <c r="A29" s="17" t="inlineStr">
        <is>
          <t>Current form (last 6, For, Adj)</t>
        </is>
      </c>
      <c r="E29" s="19">
        <f>P9</f>
        <v/>
      </c>
      <c r="AF29" s="6" t="inlineStr">
        <is>
          <t>5. St Johnstone</t>
        </is>
      </c>
      <c r="AG29" s="24" t="n">
        <v>2.63</v>
      </c>
      <c r="AH29" s="16" t="n"/>
    </row>
    <row r="30">
      <c r="A30" s="17" t="inlineStr">
        <is>
          <t>Current form (last 6, Against, Adj)</t>
        </is>
      </c>
      <c r="E30" s="19">
        <f>Q9</f>
        <v/>
      </c>
      <c r="AF30" s="6" t="inlineStr">
        <is>
          <t>6. Dundee United</t>
        </is>
      </c>
      <c r="AG30" s="16" t="n"/>
      <c r="AH30" s="21" t="n">
        <v>3.75</v>
      </c>
    </row>
    <row r="31">
      <c r="A31" s="17" t="inlineStr">
        <is>
          <t>Total xPts (Actual)</t>
        </is>
      </c>
      <c r="E31" s="19">
        <f>SUM(T2:T9)</f>
        <v/>
      </c>
      <c r="AF31" s="6" t="inlineStr">
        <is>
          <t>7. St Mirren</t>
        </is>
      </c>
      <c r="AG31" s="16" t="n"/>
      <c r="AH31" s="16" t="n"/>
    </row>
    <row r="32">
      <c r="A32" s="17" t="inlineStr">
        <is>
          <t>Total xPts (Market)</t>
        </is>
      </c>
      <c r="E32" s="19">
        <f>SUM(U2:U9)</f>
        <v/>
      </c>
      <c r="AF32" s="6" t="inlineStr">
        <is>
          <t>8. Aberdeen</t>
        </is>
      </c>
      <c r="AG32" s="21" t="n">
        <v>2.88</v>
      </c>
      <c r="AH32" s="16" t="n"/>
    </row>
    <row r="33">
      <c r="A33" s="17" t="inlineStr">
        <is>
          <t>Avg xPts Delta</t>
        </is>
      </c>
      <c r="E33" s="19">
        <f>AVERAGE(V2:V9)</f>
        <v/>
      </c>
      <c r="AF33" s="6" t="inlineStr">
        <is>
          <t>9. Motherwell</t>
        </is>
      </c>
      <c r="AG33" s="21" t="n">
        <v>2.9</v>
      </c>
      <c r="AH33" s="16" t="n"/>
    </row>
    <row r="34">
      <c r="AF34" s="6" t="inlineStr">
        <is>
          <t>10. Hibernian</t>
        </is>
      </c>
      <c r="AG34" s="20" t="n">
        <v>3.3</v>
      </c>
      <c r="AH34" s="16" t="n"/>
    </row>
    <row r="35">
      <c r="A35" s="11" t="inlineStr">
        <is>
          <t>Home / Away split</t>
        </is>
      </c>
      <c r="AF35" s="6" t="inlineStr">
        <is>
          <t>11. Falkirk</t>
        </is>
      </c>
      <c r="AG35" s="16" t="n"/>
      <c r="AH35" s="21" t="n">
        <v>3.8</v>
      </c>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16" t="n"/>
      <c r="AH36" s="16" t="n"/>
    </row>
    <row r="37">
      <c r="A37" s="17" t="inlineStr">
        <is>
          <t>Home</t>
        </is>
      </c>
      <c r="B37" s="17" t="n">
        <v>4</v>
      </c>
      <c r="C37" s="17" t="n">
        <v>6</v>
      </c>
      <c r="D37" s="17" t="n">
        <v>4</v>
      </c>
      <c r="E37" s="26" t="n">
        <v>0.41</v>
      </c>
      <c r="F37" s="26" t="n">
        <v>0.74</v>
      </c>
      <c r="G37" s="26" t="n">
        <v>0.1</v>
      </c>
      <c r="H37" s="26" t="n">
        <v>0.07000000000000001</v>
      </c>
    </row>
    <row r="38">
      <c r="A38" s="17" t="inlineStr">
        <is>
          <t>Away</t>
        </is>
      </c>
      <c r="B38" s="17" t="n">
        <v>4</v>
      </c>
      <c r="C38" s="17" t="n">
        <v>5</v>
      </c>
      <c r="D38" s="17" t="n">
        <v>4</v>
      </c>
      <c r="E38" s="26" t="n">
        <v>0.13</v>
      </c>
      <c r="F38" s="26" t="n">
        <v>0.16</v>
      </c>
      <c r="G38" s="26" t="n">
        <v>-0.1</v>
      </c>
      <c r="H38" s="26" t="n">
        <v>-0.44</v>
      </c>
      <c r="AF38" s="27" t="inlineStr">
        <is>
          <t>Won</t>
        </is>
      </c>
    </row>
    <row r="39">
      <c r="A39" s="28" t="inlineStr">
        <is>
          <t>Total</t>
        </is>
      </c>
      <c r="B39" s="28" t="n">
        <v>8</v>
      </c>
      <c r="C39" s="28" t="n">
        <v>11</v>
      </c>
      <c r="D39" s="28" t="n">
        <v>8</v>
      </c>
      <c r="E39" s="29" t="n">
        <v>0.27</v>
      </c>
      <c r="F39" s="29" t="n">
        <v>0.39</v>
      </c>
      <c r="G39" s="29" t="n">
        <v>-0</v>
      </c>
      <c r="H39" s="29" t="n">
        <v>-0.17</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2026-07-31</t>
        </is>
      </c>
      <c r="B2" s="6" t="inlineStr">
        <is>
          <t>Rangers</t>
        </is>
      </c>
      <c r="C2" s="6" t="inlineStr">
        <is>
          <t>Home</t>
        </is>
      </c>
      <c r="D2" s="6" t="n">
        <v>1</v>
      </c>
      <c r="E2" s="6" t="n">
        <v>1</v>
      </c>
      <c r="F2" s="9" t="n">
        <v>1.05</v>
      </c>
      <c r="G2" s="9" t="n">
        <v>2.21</v>
      </c>
      <c r="H2" s="9" t="n">
        <v>1.64</v>
      </c>
      <c r="I2" s="9" t="n">
        <v>1.46</v>
      </c>
      <c r="J2" s="9" t="n">
        <v>0.59</v>
      </c>
      <c r="K2" s="9" t="n">
        <v>-0.75</v>
      </c>
      <c r="L2" s="9" t="n">
        <v>0.59</v>
      </c>
      <c r="M2" s="9" t="n">
        <v>-0.75</v>
      </c>
      <c r="N2" s="9" t="n">
        <v>0.7</v>
      </c>
      <c r="O2" s="9" t="n">
        <v>-0.93</v>
      </c>
      <c r="P2" s="9" t="n">
        <v>0.7</v>
      </c>
      <c r="Q2" s="9" t="n">
        <v>-0.93</v>
      </c>
      <c r="R2" s="9">
        <f>(H2-I2)-(F2-G2)</f>
        <v/>
      </c>
      <c r="S2" s="9">
        <f>(H2+I2)-(F2+G2)</f>
        <v/>
      </c>
      <c r="T2" s="9" t="n">
        <v>1.5</v>
      </c>
      <c r="U2" s="9" t="n">
        <v>0.7</v>
      </c>
      <c r="V2" s="9" t="n">
        <v>0.8</v>
      </c>
      <c r="W2" s="9" t="n">
        <v>1.5</v>
      </c>
      <c r="X2" s="9" t="n">
        <v>0.7</v>
      </c>
      <c r="Z2" s="12" t="inlineStr">
        <is>
          <t>Expected = the pre-match market xG (what the odds implied) for each side.</t>
        </is>
      </c>
    </row>
    <row r="3">
      <c r="A3" s="8" t="inlineStr">
        <is>
          <t>2026-08-09</t>
        </is>
      </c>
      <c r="B3" s="8" t="inlineStr">
        <is>
          <t>Heart of Midlothian</t>
        </is>
      </c>
      <c r="C3" s="8" t="inlineStr">
        <is>
          <t>Away</t>
        </is>
      </c>
      <c r="D3" s="8" t="n">
        <v>0</v>
      </c>
      <c r="E3" s="8" t="n">
        <v>4</v>
      </c>
      <c r="F3" s="10" t="n">
        <v>0.98</v>
      </c>
      <c r="G3" s="10" t="n">
        <v>1.92</v>
      </c>
      <c r="H3" s="10" t="n">
        <v>0.58</v>
      </c>
      <c r="I3" s="10" t="n">
        <v>2.15</v>
      </c>
      <c r="J3" s="10" t="n">
        <v>-0.4</v>
      </c>
      <c r="K3" s="10" t="n">
        <v>0.23</v>
      </c>
      <c r="L3" s="10" t="n">
        <v>0.1</v>
      </c>
      <c r="M3" s="10" t="n">
        <v>-0.26</v>
      </c>
      <c r="N3" s="10" t="n">
        <v>-0.58</v>
      </c>
      <c r="O3" s="10" t="n">
        <v>0.01</v>
      </c>
      <c r="P3" s="10" t="n">
        <v>0.06</v>
      </c>
      <c r="Q3" s="10" t="n">
        <v>-0.46</v>
      </c>
      <c r="R3" s="10">
        <f>(H3-I3)-(F3-G3)</f>
        <v/>
      </c>
      <c r="S3" s="10">
        <f>(H3+I3)-(F3+G3)</f>
        <v/>
      </c>
      <c r="T3" s="10" t="n">
        <v>0.43</v>
      </c>
      <c r="U3" s="10" t="n">
        <v>0.78</v>
      </c>
      <c r="V3" s="10" t="n">
        <v>-0.34</v>
      </c>
      <c r="W3" s="10" t="n">
        <v>1.93</v>
      </c>
      <c r="X3" s="10" t="n">
        <v>1.48</v>
      </c>
      <c r="Z3" s="4" t="inlineStr">
        <is>
          <t>Games vs expected</t>
        </is>
      </c>
      <c r="AA3" s="4" t="inlineStr">
        <is>
          <t>Above</t>
        </is>
      </c>
      <c r="AB3" s="4" t="inlineStr">
        <is>
          <t>Below</t>
        </is>
      </c>
    </row>
    <row r="4">
      <c r="A4" s="6" t="inlineStr">
        <is>
          <t>2026-08-22</t>
        </is>
      </c>
      <c r="B4" s="6" t="inlineStr">
        <is>
          <t>Dundee</t>
        </is>
      </c>
      <c r="C4" s="6" t="inlineStr">
        <is>
          <t>Home</t>
        </is>
      </c>
      <c r="D4" s="6" t="n">
        <v>0</v>
      </c>
      <c r="E4" s="6" t="n">
        <v>2</v>
      </c>
      <c r="F4" s="9" t="n">
        <v>1.54</v>
      </c>
      <c r="G4" s="9" t="n">
        <v>1.23</v>
      </c>
      <c r="H4" s="9" t="n">
        <v>1.19</v>
      </c>
      <c r="I4" s="9" t="n">
        <v>1.43</v>
      </c>
      <c r="J4" s="9" t="n">
        <v>-0.35</v>
      </c>
      <c r="K4" s="9" t="n">
        <v>0.2</v>
      </c>
      <c r="L4" s="9" t="n">
        <v>-0.05</v>
      </c>
      <c r="M4" s="9" t="n">
        <v>-0.11</v>
      </c>
      <c r="N4" s="9" t="n">
        <v>-0.24</v>
      </c>
      <c r="O4" s="9" t="n">
        <v>0.08</v>
      </c>
      <c r="P4" s="9" t="n">
        <v>-0.04</v>
      </c>
      <c r="Q4" s="9" t="n">
        <v>-0.28</v>
      </c>
      <c r="R4" s="9">
        <f>(H4-I4)-(F4-G4)</f>
        <v/>
      </c>
      <c r="S4" s="9">
        <f>(H4+I4)-(F4+G4)</f>
        <v/>
      </c>
      <c r="T4" s="9" t="n">
        <v>1.2</v>
      </c>
      <c r="U4" s="9" t="n">
        <v>1.59</v>
      </c>
      <c r="V4" s="9" t="n">
        <v>-0.39</v>
      </c>
      <c r="W4" s="9" t="n">
        <v>3.13</v>
      </c>
      <c r="X4" s="9" t="n">
        <v>3.07</v>
      </c>
      <c r="Z4" s="6" t="inlineStr">
        <is>
          <t>xG For vs expected</t>
        </is>
      </c>
      <c r="AA4" s="5">
        <f>COUNTIF($J$2:$J$9,"&gt;0")</f>
        <v/>
      </c>
      <c r="AB4" s="5">
        <f>COUNTIF($J$2:$J$9,"&lt;0")</f>
        <v/>
      </c>
    </row>
    <row r="5">
      <c r="A5" s="8" t="inlineStr">
        <is>
          <t>2026-08-29</t>
        </is>
      </c>
      <c r="B5" s="8" t="inlineStr">
        <is>
          <t>Kilmarnock</t>
        </is>
      </c>
      <c r="C5" s="8" t="inlineStr">
        <is>
          <t>Away</t>
        </is>
      </c>
      <c r="D5" s="8" t="n">
        <v>4</v>
      </c>
      <c r="E5" s="8" t="n">
        <v>0</v>
      </c>
      <c r="F5" s="10" t="n">
        <v>1.35</v>
      </c>
      <c r="G5" s="10" t="n">
        <v>1.46</v>
      </c>
      <c r="H5" s="10" t="n">
        <v>3.42</v>
      </c>
      <c r="I5" s="10" t="n">
        <v>1.13</v>
      </c>
      <c r="J5" s="10" t="n">
        <v>2.07</v>
      </c>
      <c r="K5" s="10" t="n">
        <v>-0.33</v>
      </c>
      <c r="L5" s="10" t="n">
        <v>0.48</v>
      </c>
      <c r="M5" s="10" t="n">
        <v>-0.16</v>
      </c>
      <c r="N5" s="10" t="n">
        <v>2.05</v>
      </c>
      <c r="O5" s="10" t="n">
        <v>-0.32</v>
      </c>
      <c r="P5" s="10" t="n">
        <v>0.48</v>
      </c>
      <c r="Q5" s="10" t="n">
        <v>-0.29</v>
      </c>
      <c r="R5" s="10">
        <f>(H5-I5)-(F5-G5)</f>
        <v/>
      </c>
      <c r="S5" s="10">
        <f>(H5+I5)-(F5+G5)</f>
        <v/>
      </c>
      <c r="T5" s="10" t="n">
        <v>2.52</v>
      </c>
      <c r="U5" s="10" t="n">
        <v>1.3</v>
      </c>
      <c r="V5" s="10" t="n">
        <v>1.22</v>
      </c>
      <c r="W5" s="10" t="n">
        <v>5.65</v>
      </c>
      <c r="X5" s="10" t="n">
        <v>4.37</v>
      </c>
      <c r="Z5" s="6" t="inlineStr">
        <is>
          <t>xG Against vs expected</t>
        </is>
      </c>
      <c r="AA5" s="5">
        <f>COUNTIF($K$2:$K$9,"&gt;0")</f>
        <v/>
      </c>
      <c r="AB5" s="5">
        <f>COUNTIF($K$2:$K$9,"&lt;0")</f>
        <v/>
      </c>
    </row>
    <row r="6">
      <c r="A6" s="6" t="inlineStr">
        <is>
          <t>2026-09-02</t>
        </is>
      </c>
      <c r="B6" s="6" t="inlineStr">
        <is>
          <t>Motherwell</t>
        </is>
      </c>
      <c r="C6" s="6" t="inlineStr">
        <is>
          <t>Away</t>
        </is>
      </c>
      <c r="D6" s="6" t="n">
        <v>0</v>
      </c>
      <c r="E6" s="6" t="n">
        <v>3</v>
      </c>
      <c r="F6" s="9" t="n">
        <v>1.19</v>
      </c>
      <c r="G6" s="9" t="n">
        <v>1.72</v>
      </c>
      <c r="H6" s="9" t="n">
        <v>0.16</v>
      </c>
      <c r="I6" s="9" t="n">
        <v>2.37</v>
      </c>
      <c r="J6" s="9" t="n">
        <v>-1.03</v>
      </c>
      <c r="K6" s="9" t="n">
        <v>0.65</v>
      </c>
      <c r="L6" s="9" t="n">
        <v>0.18</v>
      </c>
      <c r="M6" s="9" t="n">
        <v>-0</v>
      </c>
      <c r="N6" s="9" t="n">
        <v>-1.61</v>
      </c>
      <c r="O6" s="9" t="n">
        <v>0.66</v>
      </c>
      <c r="P6" s="9" t="n">
        <v>0.06</v>
      </c>
      <c r="Q6" s="9" t="n">
        <v>-0.1</v>
      </c>
      <c r="R6" s="9">
        <f>(H6-I6)-(F6-G6)</f>
        <v/>
      </c>
      <c r="S6" s="9">
        <f>(H6+I6)-(F6+G6)</f>
        <v/>
      </c>
      <c r="T6" s="9" t="n">
        <v>0.16</v>
      </c>
      <c r="U6" s="9" t="n">
        <v>1.03</v>
      </c>
      <c r="V6" s="9" t="n">
        <v>-0.87</v>
      </c>
      <c r="W6" s="9" t="n">
        <v>5.82</v>
      </c>
      <c r="X6" s="9" t="n">
        <v>5.4</v>
      </c>
      <c r="Z6" s="6" t="inlineStr">
        <is>
          <t>Goals For vs expected</t>
        </is>
      </c>
      <c r="AA6" s="5">
        <f>SUMPRODUCT(--($D$2:$D$9&gt;$F$2:$F$9))</f>
        <v/>
      </c>
      <c r="AB6" s="5">
        <f>SUMPRODUCT(--($D$2:$D$9&lt;$F$2:$F$9))</f>
        <v/>
      </c>
    </row>
    <row r="7">
      <c r="A7" s="8" t="inlineStr">
        <is>
          <t>2026-09-05</t>
        </is>
      </c>
      <c r="B7" s="8" t="inlineStr">
        <is>
          <t>Falkirk</t>
        </is>
      </c>
      <c r="C7" s="8" t="inlineStr">
        <is>
          <t>Home</t>
        </is>
      </c>
      <c r="D7" s="8" t="n">
        <v>1</v>
      </c>
      <c r="E7" s="8" t="n">
        <v>1</v>
      </c>
      <c r="F7" s="10" t="n">
        <v>1.74</v>
      </c>
      <c r="G7" s="10" t="n">
        <v>1.16</v>
      </c>
      <c r="H7" s="10" t="n">
        <v>2.65</v>
      </c>
      <c r="I7" s="10" t="n">
        <v>1.22</v>
      </c>
      <c r="J7" s="10" t="n">
        <v>0.91</v>
      </c>
      <c r="K7" s="10" t="n">
        <v>0.06</v>
      </c>
      <c r="L7" s="10" t="n">
        <v>0.3</v>
      </c>
      <c r="M7" s="10" t="n">
        <v>0.01</v>
      </c>
      <c r="N7" s="10" t="n">
        <v>0.88</v>
      </c>
      <c r="O7" s="10" t="n">
        <v>0.09</v>
      </c>
      <c r="P7" s="10" t="n">
        <v>0.2</v>
      </c>
      <c r="Q7" s="10" t="n">
        <v>-0.07000000000000001</v>
      </c>
      <c r="R7" s="10">
        <f>(H7-I7)-(F7-G7)</f>
        <v/>
      </c>
      <c r="S7" s="10">
        <f>(H7+I7)-(F7+G7)</f>
        <v/>
      </c>
      <c r="T7" s="10" t="n">
        <v>2.2</v>
      </c>
      <c r="U7" s="10" t="n">
        <v>1.76</v>
      </c>
      <c r="V7" s="10" t="n">
        <v>0.44</v>
      </c>
      <c r="W7" s="10" t="n">
        <v>8.02</v>
      </c>
      <c r="X7" s="10" t="n">
        <v>7.16</v>
      </c>
      <c r="Z7" s="6" t="inlineStr">
        <is>
          <t>Goals Against vs expected</t>
        </is>
      </c>
      <c r="AA7" s="5">
        <f>SUMPRODUCT(--($E$2:$E$9&gt;$G$2:$G$9))</f>
        <v/>
      </c>
      <c r="AB7" s="5">
        <f>SUMPRODUCT(--($E$2:$E$9&lt;$G$2:$G$9))</f>
        <v/>
      </c>
    </row>
    <row r="8">
      <c r="A8" s="6" t="inlineStr">
        <is>
          <t>2026-09-19</t>
        </is>
      </c>
      <c r="B8" s="6" t="inlineStr">
        <is>
          <t>St Mirren</t>
        </is>
      </c>
      <c r="C8" s="6" t="inlineStr">
        <is>
          <t>Away</t>
        </is>
      </c>
      <c r="D8" s="6" t="n">
        <v>3</v>
      </c>
      <c r="E8" s="6" t="n">
        <v>0</v>
      </c>
      <c r="F8" s="9" t="n">
        <v>1.42</v>
      </c>
      <c r="G8" s="9" t="n">
        <v>1.59</v>
      </c>
      <c r="H8" s="9" t="n">
        <v>1.6</v>
      </c>
      <c r="I8" s="9" t="n">
        <v>0.99</v>
      </c>
      <c r="J8" s="9" t="n">
        <v>0.18</v>
      </c>
      <c r="K8" s="9" t="n">
        <v>-0.6</v>
      </c>
      <c r="L8" s="9" t="n">
        <v>0.23</v>
      </c>
      <c r="M8" s="9" t="n">
        <v>0.03</v>
      </c>
      <c r="N8" s="9" t="n">
        <v>-0.06</v>
      </c>
      <c r="O8" s="9" t="n">
        <v>-0.98</v>
      </c>
      <c r="P8" s="9" t="n">
        <v>0.07000000000000001</v>
      </c>
      <c r="Q8" s="9" t="n">
        <v>-0.08</v>
      </c>
      <c r="R8" s="9">
        <f>(H8-I8)-(F8-G8)</f>
        <v/>
      </c>
      <c r="S8" s="9">
        <f>(H8+I8)-(F8+G8)</f>
        <v/>
      </c>
      <c r="T8" s="9" t="n">
        <v>1.8</v>
      </c>
      <c r="U8" s="9" t="n">
        <v>1.27</v>
      </c>
      <c r="V8" s="9" t="n">
        <v>0.53</v>
      </c>
      <c r="W8" s="9" t="n">
        <v>9.82</v>
      </c>
      <c r="X8" s="9" t="n">
        <v>8.43</v>
      </c>
      <c r="Z8" s="12" t="inlineStr">
        <is>
          <t>For: Above = beat expectation. Against: Above = conceded more than expected (worse).</t>
        </is>
      </c>
    </row>
    <row r="9">
      <c r="A9" s="8" t="inlineStr">
        <is>
          <t>2026-10-10</t>
        </is>
      </c>
      <c r="B9" s="8" t="inlineStr">
        <is>
          <t>Hibernian</t>
        </is>
      </c>
      <c r="C9" s="8" t="inlineStr">
        <is>
          <t>Home</t>
        </is>
      </c>
      <c r="D9" s="8" t="n">
        <v>1</v>
      </c>
      <c r="E9" s="8" t="n">
        <v>0</v>
      </c>
      <c r="F9" s="10" t="n">
        <v>1.47</v>
      </c>
      <c r="G9" s="10" t="n">
        <v>1.54</v>
      </c>
      <c r="H9" s="10" t="n">
        <v>1.84</v>
      </c>
      <c r="I9" s="10" t="n">
        <v>0.83</v>
      </c>
      <c r="J9" s="10" t="n">
        <v>0.37</v>
      </c>
      <c r="K9" s="10" t="n">
        <v>-0.71</v>
      </c>
      <c r="L9" s="10" t="n">
        <v>0.36</v>
      </c>
      <c r="M9" s="10" t="n">
        <v>-0.12</v>
      </c>
      <c r="N9" s="10" t="n">
        <v>0.05</v>
      </c>
      <c r="O9" s="10" t="n">
        <v>-0.84</v>
      </c>
      <c r="P9" s="10" t="n">
        <v>0.18</v>
      </c>
      <c r="Q9" s="10" t="n">
        <v>-0.22</v>
      </c>
      <c r="R9" s="10">
        <f>(H9-I9)-(F9-G9)</f>
        <v/>
      </c>
      <c r="S9" s="10">
        <f>(H9+I9)-(F9+G9)</f>
        <v/>
      </c>
      <c r="T9" s="10" t="n">
        <v>2.06</v>
      </c>
      <c r="U9" s="10" t="n">
        <v>1.33</v>
      </c>
      <c r="V9" s="10" t="n">
        <v>0.73</v>
      </c>
      <c r="W9" s="10" t="n">
        <v>11.88</v>
      </c>
      <c r="X9" s="10" t="n">
        <v>9.76</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Dundee United: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16" t="n"/>
      <c r="AH25" s="16" t="n"/>
    </row>
    <row r="26">
      <c r="A26" s="17" t="inlineStr">
        <is>
          <t>Median Total xG Delta</t>
        </is>
      </c>
      <c r="E26" s="19">
        <f>MEDIAN(S2:S9)</f>
        <v/>
      </c>
      <c r="AF26" s="6" t="inlineStr">
        <is>
          <t>2. Rangers</t>
        </is>
      </c>
      <c r="AG26" s="24" t="n">
        <v>4.5</v>
      </c>
      <c r="AH26" s="16" t="n"/>
    </row>
    <row r="27">
      <c r="A27" s="17" t="inlineStr">
        <is>
          <t>Current form (last 6, For)</t>
        </is>
      </c>
      <c r="E27" s="19">
        <f>L9</f>
        <v/>
      </c>
      <c r="AF27" s="6" t="inlineStr">
        <is>
          <t>3. Heart of Midlothian</t>
        </is>
      </c>
      <c r="AG27" s="16" t="n"/>
      <c r="AH27" s="20" t="n">
        <v>4.2</v>
      </c>
    </row>
    <row r="28">
      <c r="A28" s="17" t="inlineStr">
        <is>
          <t>Current form (last 6, Against)</t>
        </is>
      </c>
      <c r="E28" s="19">
        <f>M9</f>
        <v/>
      </c>
      <c r="AF28" s="6" t="inlineStr">
        <is>
          <t>4. Dundee</t>
        </is>
      </c>
      <c r="AG28" s="20" t="n">
        <v>1.91</v>
      </c>
      <c r="AH28" s="16" t="n"/>
    </row>
    <row r="29">
      <c r="A29" s="17" t="inlineStr">
        <is>
          <t>Current form (last 6, For, Adj)</t>
        </is>
      </c>
      <c r="E29" s="19">
        <f>P9</f>
        <v/>
      </c>
      <c r="AF29" s="6" t="inlineStr">
        <is>
          <t>5. St Johnstone</t>
        </is>
      </c>
      <c r="AG29" s="16" t="n"/>
      <c r="AH29" s="16" t="n"/>
    </row>
    <row r="30">
      <c r="A30" s="17" t="inlineStr">
        <is>
          <t>Current form (last 6, Against, Adj)</t>
        </is>
      </c>
      <c r="E30" s="19">
        <f>Q9</f>
        <v/>
      </c>
      <c r="AF30" s="22" t="inlineStr">
        <is>
          <t>6. Dundee United</t>
        </is>
      </c>
      <c r="AG30" s="23" t="n"/>
      <c r="AH30" s="23" t="n"/>
    </row>
    <row r="31">
      <c r="A31" s="17" t="inlineStr">
        <is>
          <t>Total xPts (Actual)</t>
        </is>
      </c>
      <c r="E31" s="19">
        <f>SUM(T2:T9)</f>
        <v/>
      </c>
      <c r="AF31" s="6" t="inlineStr">
        <is>
          <t>7. St Mirren</t>
        </is>
      </c>
      <c r="AG31" s="16" t="n"/>
      <c r="AH31" s="21" t="n">
        <v>2.88</v>
      </c>
    </row>
    <row r="32">
      <c r="A32" s="17" t="inlineStr">
        <is>
          <t>Total xPts (Market)</t>
        </is>
      </c>
      <c r="E32" s="19">
        <f>SUM(U2:U9)</f>
        <v/>
      </c>
      <c r="AF32" s="6" t="inlineStr">
        <is>
          <t>8. Aberdeen</t>
        </is>
      </c>
      <c r="AG32" s="16" t="n"/>
      <c r="AH32" s="16" t="n"/>
    </row>
    <row r="33">
      <c r="A33" s="17" t="inlineStr">
        <is>
          <t>Avg xPts Delta</t>
        </is>
      </c>
      <c r="E33" s="19">
        <f>AVERAGE(V2:V9)</f>
        <v/>
      </c>
      <c r="AF33" s="6" t="inlineStr">
        <is>
          <t>9. Motherwell</t>
        </is>
      </c>
      <c r="AG33" s="16" t="n"/>
      <c r="AH33" s="20" t="n">
        <v>2.88</v>
      </c>
    </row>
    <row r="34">
      <c r="AF34" s="6" t="inlineStr">
        <is>
          <t>10. Hibernian</t>
        </is>
      </c>
      <c r="AG34" s="21" t="n">
        <v>2.6</v>
      </c>
      <c r="AH34" s="16" t="n"/>
    </row>
    <row r="35">
      <c r="A35" s="11" t="inlineStr">
        <is>
          <t>Home / Away split</t>
        </is>
      </c>
      <c r="AF35" s="6" t="inlineStr">
        <is>
          <t>11. Falkirk</t>
        </is>
      </c>
      <c r="AG35" s="24" t="n">
        <v>2</v>
      </c>
      <c r="AH35" s="16"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16" t="n"/>
      <c r="AH36" s="21" t="n">
        <v>2.63</v>
      </c>
    </row>
    <row r="37">
      <c r="A37" s="17" t="inlineStr">
        <is>
          <t>Home</t>
        </is>
      </c>
      <c r="B37" s="17" t="n">
        <v>4</v>
      </c>
      <c r="C37" s="17" t="n">
        <v>3</v>
      </c>
      <c r="D37" s="17" t="n">
        <v>4</v>
      </c>
      <c r="E37" s="26" t="n">
        <v>0.68</v>
      </c>
      <c r="F37" s="26" t="n">
        <v>0.97</v>
      </c>
      <c r="G37" s="26" t="n">
        <v>0.08</v>
      </c>
      <c r="H37" s="26" t="n">
        <v>-0.15</v>
      </c>
    </row>
    <row r="38">
      <c r="A38" s="17" t="inlineStr">
        <is>
          <t>Away</t>
        </is>
      </c>
      <c r="B38" s="17" t="n">
        <v>4</v>
      </c>
      <c r="C38" s="17" t="n">
        <v>7</v>
      </c>
      <c r="D38" s="17" t="n">
        <v>7</v>
      </c>
      <c r="E38" s="26" t="n">
        <v>0.22</v>
      </c>
      <c r="F38" s="26" t="n">
        <v>0.08</v>
      </c>
      <c r="G38" s="26" t="n">
        <v>0.19</v>
      </c>
      <c r="H38" s="26" t="n">
        <v>-0.28</v>
      </c>
      <c r="AF38" s="27" t="inlineStr">
        <is>
          <t>Won</t>
        </is>
      </c>
    </row>
    <row r="39">
      <c r="A39" s="28" t="inlineStr">
        <is>
          <t>Total</t>
        </is>
      </c>
      <c r="B39" s="28" t="n">
        <v>8</v>
      </c>
      <c r="C39" s="28" t="n">
        <v>10</v>
      </c>
      <c r="D39" s="28" t="n">
        <v>11</v>
      </c>
      <c r="E39" s="29" t="n">
        <v>0.45</v>
      </c>
      <c r="F39" s="29" t="n">
        <v>0.8100000000000001</v>
      </c>
      <c r="G39" s="29" t="n">
        <v>0.14</v>
      </c>
      <c r="H39" s="29" t="n">
        <v>-0.17</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St Mirren</t>
        </is>
      </c>
      <c r="C2" s="6" t="inlineStr">
        <is>
          <t>Home</t>
        </is>
      </c>
      <c r="D2" s="6" t="n">
        <v>0</v>
      </c>
      <c r="E2" s="6" t="n">
        <v>2</v>
      </c>
      <c r="F2" s="9" t="n">
        <v>1.64</v>
      </c>
      <c r="G2" s="9" t="n">
        <v>1.17</v>
      </c>
      <c r="H2" s="9" t="n">
        <v>0.55</v>
      </c>
      <c r="I2" s="9" t="n">
        <v>1.57</v>
      </c>
      <c r="J2" s="9" t="n">
        <v>-1.09</v>
      </c>
      <c r="K2" s="9" t="n">
        <v>0.4</v>
      </c>
      <c r="L2" s="9" t="n">
        <v>-1.09</v>
      </c>
      <c r="M2" s="9" t="n">
        <v>0.4</v>
      </c>
      <c r="N2" s="9" t="n">
        <v>-1.51</v>
      </c>
      <c r="O2" s="9" t="n">
        <v>0.16</v>
      </c>
      <c r="P2" s="9" t="n">
        <v>-1.51</v>
      </c>
      <c r="Q2" s="9" t="n">
        <v>0.16</v>
      </c>
      <c r="R2" s="9">
        <f>(H2-I2)-(F2-G2)</f>
        <v/>
      </c>
      <c r="S2" s="9">
        <f>(H2+I2)-(F2+G2)</f>
        <v/>
      </c>
      <c r="T2" s="9" t="n">
        <v>0.63</v>
      </c>
      <c r="U2" s="9" t="n">
        <v>1.7</v>
      </c>
      <c r="V2" s="9" t="n">
        <v>-1.06</v>
      </c>
      <c r="W2" s="9" t="n">
        <v>0.63</v>
      </c>
      <c r="X2" s="9" t="n">
        <v>1.7</v>
      </c>
      <c r="Z2" s="12" t="inlineStr">
        <is>
          <t>Expected = the pre-match market xG (what the odds implied) for each side.</t>
        </is>
      </c>
    </row>
    <row r="3">
      <c r="A3" s="8" t="inlineStr">
        <is>
          <t>2026-08-09</t>
        </is>
      </c>
      <c r="B3" s="8" t="inlineStr">
        <is>
          <t>Motherwell</t>
        </is>
      </c>
      <c r="C3" s="8" t="inlineStr">
        <is>
          <t>Away</t>
        </is>
      </c>
      <c r="D3" s="8" t="n">
        <v>0</v>
      </c>
      <c r="E3" s="8" t="n">
        <v>0</v>
      </c>
      <c r="F3" s="10" t="n">
        <v>1.1</v>
      </c>
      <c r="G3" s="10" t="n">
        <v>1.78</v>
      </c>
      <c r="H3" s="10" t="n">
        <v>0.55</v>
      </c>
      <c r="I3" s="10" t="n">
        <v>1.27</v>
      </c>
      <c r="J3" s="10" t="n">
        <v>-0.55</v>
      </c>
      <c r="K3" s="10" t="n">
        <v>-0.51</v>
      </c>
      <c r="L3" s="10" t="n">
        <v>-0.82</v>
      </c>
      <c r="M3" s="10" t="n">
        <v>-0.05</v>
      </c>
      <c r="N3" s="10" t="n">
        <v>-1.06</v>
      </c>
      <c r="O3" s="10" t="n">
        <v>-0.66</v>
      </c>
      <c r="P3" s="10" t="n">
        <v>-1.29</v>
      </c>
      <c r="Q3" s="10" t="n">
        <v>-0.25</v>
      </c>
      <c r="R3" s="10">
        <f>(H3-I3)-(F3-G3)</f>
        <v/>
      </c>
      <c r="S3" s="10">
        <f>(H3+I3)-(F3+G3)</f>
        <v/>
      </c>
      <c r="T3" s="10" t="n">
        <v>0.78</v>
      </c>
      <c r="U3" s="10" t="n">
        <v>0.9399999999999999</v>
      </c>
      <c r="V3" s="10" t="n">
        <v>-0.16</v>
      </c>
      <c r="W3" s="10" t="n">
        <v>1.41</v>
      </c>
      <c r="X3" s="10" t="n">
        <v>2.63</v>
      </c>
      <c r="Z3" s="4" t="inlineStr">
        <is>
          <t>Games vs expected</t>
        </is>
      </c>
      <c r="AA3" s="4" t="inlineStr">
        <is>
          <t>Above</t>
        </is>
      </c>
      <c r="AB3" s="4" t="inlineStr">
        <is>
          <t>Below</t>
        </is>
      </c>
    </row>
    <row r="4">
      <c r="A4" s="6" t="inlineStr">
        <is>
          <t>2026-08-29</t>
        </is>
      </c>
      <c r="B4" s="6" t="inlineStr">
        <is>
          <t>Celtic</t>
        </is>
      </c>
      <c r="C4" s="6" t="inlineStr">
        <is>
          <t>Away</t>
        </is>
      </c>
      <c r="D4" s="6" t="n">
        <v>1</v>
      </c>
      <c r="E4" s="6" t="n">
        <v>2</v>
      </c>
      <c r="F4" s="9" t="n">
        <v>0.82</v>
      </c>
      <c r="G4" s="9" t="n">
        <v>2.78</v>
      </c>
      <c r="H4" s="9" t="n">
        <v>0.57</v>
      </c>
      <c r="I4" s="9" t="n">
        <v>3.45</v>
      </c>
      <c r="J4" s="9" t="n">
        <v>-0.25</v>
      </c>
      <c r="K4" s="9" t="n">
        <v>0.67</v>
      </c>
      <c r="L4" s="9" t="n">
        <v>-0.63</v>
      </c>
      <c r="M4" s="9" t="n">
        <v>0.19</v>
      </c>
      <c r="N4" s="9" t="n">
        <v>-0.3</v>
      </c>
      <c r="O4" s="9" t="n">
        <v>0.36</v>
      </c>
      <c r="P4" s="9" t="n">
        <v>-0.96</v>
      </c>
      <c r="Q4" s="9" t="n">
        <v>-0.05</v>
      </c>
      <c r="R4" s="9">
        <f>(H4-I4)-(F4-G4)</f>
        <v/>
      </c>
      <c r="S4" s="9">
        <f>(H4+I4)-(F4+G4)</f>
        <v/>
      </c>
      <c r="T4" s="9" t="n">
        <v>0.17</v>
      </c>
      <c r="U4" s="9" t="n">
        <v>0.39</v>
      </c>
      <c r="V4" s="9" t="n">
        <v>-0.22</v>
      </c>
      <c r="W4" s="9" t="n">
        <v>1.58</v>
      </c>
      <c r="X4" s="9" t="n">
        <v>3.02</v>
      </c>
      <c r="Z4" s="6" t="inlineStr">
        <is>
          <t>xG For vs expected</t>
        </is>
      </c>
      <c r="AA4" s="5">
        <f>COUNTIF($J$2:$J$9,"&gt;0")</f>
        <v/>
      </c>
      <c r="AB4" s="5">
        <f>COUNTIF($J$2:$J$9,"&lt;0")</f>
        <v/>
      </c>
    </row>
    <row r="5">
      <c r="A5" s="8" t="inlineStr">
        <is>
          <t>2026-09-02</t>
        </is>
      </c>
      <c r="B5" s="8" t="inlineStr">
        <is>
          <t>Rangers</t>
        </is>
      </c>
      <c r="C5" s="8" t="inlineStr">
        <is>
          <t>Home</t>
        </is>
      </c>
      <c r="D5" s="8" t="n">
        <v>1</v>
      </c>
      <c r="E5" s="8" t="n">
        <v>2</v>
      </c>
      <c r="F5" s="10" t="n">
        <v>1.05</v>
      </c>
      <c r="G5" s="10" t="n">
        <v>2.05</v>
      </c>
      <c r="H5" s="10" t="n">
        <v>1</v>
      </c>
      <c r="I5" s="10" t="n">
        <v>1.56</v>
      </c>
      <c r="J5" s="10" t="n">
        <v>-0.05</v>
      </c>
      <c r="K5" s="10" t="n">
        <v>-0.49</v>
      </c>
      <c r="L5" s="10" t="n">
        <v>-0.49</v>
      </c>
      <c r="M5" s="10" t="n">
        <v>0.02</v>
      </c>
      <c r="N5" s="10" t="n">
        <v>-0.03</v>
      </c>
      <c r="O5" s="10" t="n">
        <v>-0.62</v>
      </c>
      <c r="P5" s="10" t="n">
        <v>-0.73</v>
      </c>
      <c r="Q5" s="10" t="n">
        <v>-0.19</v>
      </c>
      <c r="R5" s="10">
        <f>(H5-I5)-(F5-G5)</f>
        <v/>
      </c>
      <c r="S5" s="10">
        <f>(H5+I5)-(F5+G5)</f>
        <v/>
      </c>
      <c r="T5" s="10" t="n">
        <v>0.98</v>
      </c>
      <c r="U5" s="10" t="n">
        <v>0.77</v>
      </c>
      <c r="V5" s="10" t="n">
        <v>0.21</v>
      </c>
      <c r="W5" s="10" t="n">
        <v>2.56</v>
      </c>
      <c r="X5" s="10" t="n">
        <v>3.79</v>
      </c>
      <c r="Z5" s="6" t="inlineStr">
        <is>
          <t>xG Against vs expected</t>
        </is>
      </c>
      <c r="AA5" s="5">
        <f>COUNTIF($K$2:$K$9,"&gt;0")</f>
        <v/>
      </c>
      <c r="AB5" s="5">
        <f>COUNTIF($K$2:$K$9,"&lt;0")</f>
        <v/>
      </c>
    </row>
    <row r="6">
      <c r="A6" s="6" t="inlineStr">
        <is>
          <t>2026-09-05</t>
        </is>
      </c>
      <c r="B6" s="6" t="inlineStr">
        <is>
          <t>Dundee United</t>
        </is>
      </c>
      <c r="C6" s="6" t="inlineStr">
        <is>
          <t>Away</t>
        </is>
      </c>
      <c r="D6" s="6" t="n">
        <v>1</v>
      </c>
      <c r="E6" s="6" t="n">
        <v>1</v>
      </c>
      <c r="F6" s="9" t="n">
        <v>1.16</v>
      </c>
      <c r="G6" s="9" t="n">
        <v>1.74</v>
      </c>
      <c r="H6" s="9" t="n">
        <v>1.22</v>
      </c>
      <c r="I6" s="9" t="n">
        <v>2.65</v>
      </c>
      <c r="J6" s="9" t="n">
        <v>0.06</v>
      </c>
      <c r="K6" s="9" t="n">
        <v>0.91</v>
      </c>
      <c r="L6" s="9" t="n">
        <v>-0.38</v>
      </c>
      <c r="M6" s="9" t="n">
        <v>0.2</v>
      </c>
      <c r="N6" s="9" t="n">
        <v>0.25</v>
      </c>
      <c r="O6" s="9" t="n">
        <v>0.71</v>
      </c>
      <c r="P6" s="9" t="n">
        <v>-0.53</v>
      </c>
      <c r="Q6" s="9" t="n">
        <v>-0.01</v>
      </c>
      <c r="R6" s="9">
        <f>(H6-I6)-(F6-G6)</f>
        <v/>
      </c>
      <c r="S6" s="9">
        <f>(H6+I6)-(F6+G6)</f>
        <v/>
      </c>
      <c r="T6" s="9" t="n">
        <v>0.63</v>
      </c>
      <c r="U6" s="9" t="n">
        <v>1</v>
      </c>
      <c r="V6" s="9" t="n">
        <v>-0.37</v>
      </c>
      <c r="W6" s="9" t="n">
        <v>3.19</v>
      </c>
      <c r="X6" s="9" t="n">
        <v>4.79</v>
      </c>
      <c r="Z6" s="6" t="inlineStr">
        <is>
          <t>Goals For vs expected</t>
        </is>
      </c>
      <c r="AA6" s="5">
        <f>SUMPRODUCT(--($D$2:$D$9&gt;$F$2:$F$9))</f>
        <v/>
      </c>
      <c r="AB6" s="5">
        <f>SUMPRODUCT(--($D$2:$D$9&lt;$F$2:$F$9))</f>
        <v/>
      </c>
    </row>
    <row r="7">
      <c r="A7" s="8" t="inlineStr">
        <is>
          <t>2026-09-15</t>
        </is>
      </c>
      <c r="B7" s="8" t="inlineStr">
        <is>
          <t>Heart of Midlothian</t>
        </is>
      </c>
      <c r="C7" s="8" t="inlineStr">
        <is>
          <t>Home</t>
        </is>
      </c>
      <c r="D7" s="8" t="n">
        <v>2</v>
      </c>
      <c r="E7" s="8" t="n">
        <v>1</v>
      </c>
      <c r="F7" s="10" t="n">
        <v>1.15</v>
      </c>
      <c r="G7" s="10" t="n">
        <v>1.73</v>
      </c>
      <c r="H7" s="10" t="n">
        <v>2.09</v>
      </c>
      <c r="I7" s="10" t="n">
        <v>1.79</v>
      </c>
      <c r="J7" s="10" t="n">
        <v>0.9399999999999999</v>
      </c>
      <c r="K7" s="10" t="n">
        <v>0.06</v>
      </c>
      <c r="L7" s="10" t="n">
        <v>-0.16</v>
      </c>
      <c r="M7" s="10" t="n">
        <v>0.18</v>
      </c>
      <c r="N7" s="10" t="n">
        <v>0.95</v>
      </c>
      <c r="O7" s="10" t="n">
        <v>-0.18</v>
      </c>
      <c r="P7" s="10" t="n">
        <v>-0.28</v>
      </c>
      <c r="Q7" s="10" t="n">
        <v>-0.04</v>
      </c>
      <c r="R7" s="10">
        <f>(H7-I7)-(F7-G7)</f>
        <v/>
      </c>
      <c r="S7" s="10">
        <f>(H7+I7)-(F7+G7)</f>
        <v/>
      </c>
      <c r="T7" s="10" t="n">
        <v>1.57</v>
      </c>
      <c r="U7" s="10" t="n">
        <v>1</v>
      </c>
      <c r="V7" s="10" t="n">
        <v>0.57</v>
      </c>
      <c r="W7" s="10" t="n">
        <v>4.76</v>
      </c>
      <c r="X7" s="10" t="n">
        <v>5.79</v>
      </c>
      <c r="Z7" s="6" t="inlineStr">
        <is>
          <t>Goals Against vs expected</t>
        </is>
      </c>
      <c r="AA7" s="5">
        <f>SUMPRODUCT(--($E$2:$E$9&gt;$G$2:$G$9))</f>
        <v/>
      </c>
      <c r="AB7" s="5">
        <f>SUMPRODUCT(--($E$2:$E$9&lt;$G$2:$G$9))</f>
        <v/>
      </c>
    </row>
    <row r="8">
      <c r="A8" s="6" t="inlineStr">
        <is>
          <t>2026-09-19</t>
        </is>
      </c>
      <c r="B8" s="6" t="inlineStr">
        <is>
          <t>St Johnstone</t>
        </is>
      </c>
      <c r="C8" s="6" t="inlineStr">
        <is>
          <t>Away</t>
        </is>
      </c>
      <c r="D8" s="6" t="n">
        <v>1</v>
      </c>
      <c r="E8" s="6" t="n">
        <v>1</v>
      </c>
      <c r="F8" s="9" t="n">
        <v>1.14</v>
      </c>
      <c r="G8" s="9" t="n">
        <v>1.58</v>
      </c>
      <c r="H8" s="9" t="n">
        <v>1.29</v>
      </c>
      <c r="I8" s="9" t="n">
        <v>0.9399999999999999</v>
      </c>
      <c r="J8" s="9" t="n">
        <v>0.15</v>
      </c>
      <c r="K8" s="9" t="n">
        <v>-0.64</v>
      </c>
      <c r="L8" s="9" t="n">
        <v>0.05</v>
      </c>
      <c r="M8" s="9" t="n">
        <v>0</v>
      </c>
      <c r="N8" s="9" t="n">
        <v>0.03</v>
      </c>
      <c r="O8" s="9" t="n">
        <v>-0.8</v>
      </c>
      <c r="P8" s="9" t="n">
        <v>-0.03</v>
      </c>
      <c r="Q8" s="9" t="n">
        <v>-0.2</v>
      </c>
      <c r="R8" s="9">
        <f>(H8-I8)-(F8-G8)</f>
        <v/>
      </c>
      <c r="S8" s="9">
        <f>(H8+I8)-(F8+G8)</f>
        <v/>
      </c>
      <c r="T8" s="9" t="n">
        <v>1.62</v>
      </c>
      <c r="U8" s="9" t="n">
        <v>1.07</v>
      </c>
      <c r="V8" s="9" t="n">
        <v>0.55</v>
      </c>
      <c r="W8" s="9" t="n">
        <v>6.38</v>
      </c>
      <c r="X8" s="9" t="n">
        <v>6.86</v>
      </c>
      <c r="Z8" s="12" t="inlineStr">
        <is>
          <t>For: Above = beat expectation. Against: Above = conceded more than expected (worse).</t>
        </is>
      </c>
    </row>
    <row r="9">
      <c r="A9" s="8" t="inlineStr">
        <is>
          <t>2026-10-10</t>
        </is>
      </c>
      <c r="B9" s="8" t="inlineStr">
        <is>
          <t>Dundee</t>
        </is>
      </c>
      <c r="C9" s="8" t="inlineStr">
        <is>
          <t>Home</t>
        </is>
      </c>
      <c r="D9" s="8" t="n">
        <v>1</v>
      </c>
      <c r="E9" s="8" t="n">
        <v>2</v>
      </c>
      <c r="F9" s="10" t="n">
        <v>1.66</v>
      </c>
      <c r="G9" s="10" t="n">
        <v>1.19</v>
      </c>
      <c r="H9" s="10" t="n">
        <v>2.31</v>
      </c>
      <c r="I9" s="10" t="n">
        <v>1.9</v>
      </c>
      <c r="J9" s="10" t="n">
        <v>0.65</v>
      </c>
      <c r="K9" s="10" t="n">
        <v>0.71</v>
      </c>
      <c r="L9" s="10" t="n">
        <v>0.25</v>
      </c>
      <c r="M9" s="10" t="n">
        <v>0.21</v>
      </c>
      <c r="N9" s="10" t="n">
        <v>0.9</v>
      </c>
      <c r="O9" s="10" t="n">
        <v>0.66</v>
      </c>
      <c r="P9" s="10" t="n">
        <v>0.3</v>
      </c>
      <c r="Q9" s="10" t="n">
        <v>0.02</v>
      </c>
      <c r="R9" s="10">
        <f>(H9-I9)-(F9-G9)</f>
        <v/>
      </c>
      <c r="S9" s="10">
        <f>(H9+I9)-(F9+G9)</f>
        <v/>
      </c>
      <c r="T9" s="10" t="n">
        <v>1.63</v>
      </c>
      <c r="U9" s="10" t="n">
        <v>1.7</v>
      </c>
      <c r="V9" s="10" t="n">
        <v>-0.06</v>
      </c>
      <c r="W9" s="10" t="n">
        <v>8.01</v>
      </c>
      <c r="X9" s="10" t="n">
        <v>8.56</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Falkirk: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16" t="n"/>
      <c r="AH25" s="20" t="n">
        <v>11</v>
      </c>
    </row>
    <row r="26">
      <c r="A26" s="17" t="inlineStr">
        <is>
          <t>Median Total xG Delta</t>
        </is>
      </c>
      <c r="E26" s="19">
        <f>MEDIAN(S2:S9)</f>
        <v/>
      </c>
      <c r="AF26" s="6" t="inlineStr">
        <is>
          <t>2. Rangers</t>
        </is>
      </c>
      <c r="AG26" s="20" t="n">
        <v>6</v>
      </c>
      <c r="AH26" s="16" t="n"/>
    </row>
    <row r="27">
      <c r="A27" s="17" t="inlineStr">
        <is>
          <t>Current form (last 6, For)</t>
        </is>
      </c>
      <c r="E27" s="19">
        <f>L9</f>
        <v/>
      </c>
      <c r="AF27" s="6" t="inlineStr">
        <is>
          <t>3. Heart of Midlothian</t>
        </is>
      </c>
      <c r="AG27" s="21" t="n">
        <v>3.8</v>
      </c>
      <c r="AH27" s="16" t="n"/>
    </row>
    <row r="28">
      <c r="A28" s="17" t="inlineStr">
        <is>
          <t>Current form (last 6, Against)</t>
        </is>
      </c>
      <c r="E28" s="19">
        <f>M9</f>
        <v/>
      </c>
      <c r="AF28" s="6" t="inlineStr">
        <is>
          <t>4. Dundee</t>
        </is>
      </c>
      <c r="AG28" s="20" t="n">
        <v>1.91</v>
      </c>
      <c r="AH28" s="16" t="n"/>
    </row>
    <row r="29">
      <c r="A29" s="17" t="inlineStr">
        <is>
          <t>Current form (last 6, For, Adj)</t>
        </is>
      </c>
      <c r="E29" s="19">
        <f>P9</f>
        <v/>
      </c>
      <c r="AF29" s="6" t="inlineStr">
        <is>
          <t>5. St Johnstone</t>
        </is>
      </c>
      <c r="AG29" s="16" t="n"/>
      <c r="AH29" s="24" t="n">
        <v>3.3</v>
      </c>
    </row>
    <row r="30">
      <c r="A30" s="17" t="inlineStr">
        <is>
          <t>Current form (last 6, Against, Adj)</t>
        </is>
      </c>
      <c r="E30" s="19">
        <f>Q9</f>
        <v/>
      </c>
      <c r="AF30" s="6" t="inlineStr">
        <is>
          <t>6. Dundee United</t>
        </is>
      </c>
      <c r="AG30" s="16" t="n"/>
      <c r="AH30" s="24" t="n">
        <v>3.4</v>
      </c>
    </row>
    <row r="31">
      <c r="A31" s="17" t="inlineStr">
        <is>
          <t>Total xPts (Actual)</t>
        </is>
      </c>
      <c r="E31" s="19">
        <f>SUM(T2:T9)</f>
        <v/>
      </c>
      <c r="AF31" s="6" t="inlineStr">
        <is>
          <t>7. St Mirren</t>
        </is>
      </c>
      <c r="AG31" s="20" t="n">
        <v>2.1</v>
      </c>
      <c r="AH31" s="16" t="n"/>
    </row>
    <row r="32">
      <c r="A32" s="17" t="inlineStr">
        <is>
          <t>Total xPts (Market)</t>
        </is>
      </c>
      <c r="E32" s="19">
        <f>SUM(U2:U9)</f>
        <v/>
      </c>
      <c r="AF32" s="6" t="inlineStr">
        <is>
          <t>8. Aberdeen</t>
        </is>
      </c>
      <c r="AG32" s="16" t="n"/>
      <c r="AH32" s="16" t="n"/>
    </row>
    <row r="33">
      <c r="A33" s="17" t="inlineStr">
        <is>
          <t>Avg xPts Delta</t>
        </is>
      </c>
      <c r="E33" s="19">
        <f>AVERAGE(V2:V9)</f>
        <v/>
      </c>
      <c r="AF33" s="6" t="inlineStr">
        <is>
          <t>9. Motherwell</t>
        </is>
      </c>
      <c r="AG33" s="16" t="n"/>
      <c r="AH33" s="24" t="n">
        <v>4</v>
      </c>
    </row>
    <row r="34">
      <c r="AF34" s="6" t="inlineStr">
        <is>
          <t>10. Hibernian</t>
        </is>
      </c>
      <c r="AG34" s="16" t="n"/>
      <c r="AH34" s="16" t="n"/>
    </row>
    <row r="35">
      <c r="A35" s="11" t="inlineStr">
        <is>
          <t>Home / Away split</t>
        </is>
      </c>
      <c r="AF35" s="22" t="inlineStr">
        <is>
          <t>11. Falkirk</t>
        </is>
      </c>
      <c r="AG35" s="23" t="n"/>
      <c r="AH35" s="23"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16" t="n"/>
      <c r="AH36" s="16" t="n"/>
    </row>
    <row r="37">
      <c r="A37" s="17" t="inlineStr">
        <is>
          <t>Home</t>
        </is>
      </c>
      <c r="B37" s="17" t="n">
        <v>4</v>
      </c>
      <c r="C37" s="17" t="n">
        <v>4</v>
      </c>
      <c r="D37" s="17" t="n">
        <v>7</v>
      </c>
      <c r="E37" s="26" t="n">
        <v>-0.06</v>
      </c>
      <c r="F37" s="26" t="n">
        <v>0.19</v>
      </c>
      <c r="G37" s="26" t="n">
        <v>0.29</v>
      </c>
      <c r="H37" s="26" t="n">
        <v>0.23</v>
      </c>
    </row>
    <row r="38">
      <c r="A38" s="17" t="inlineStr">
        <is>
          <t>Away</t>
        </is>
      </c>
      <c r="B38" s="17" t="n">
        <v>4</v>
      </c>
      <c r="C38" s="17" t="n">
        <v>3</v>
      </c>
      <c r="D38" s="17" t="n">
        <v>4</v>
      </c>
      <c r="E38" s="26" t="n">
        <v>-0.26</v>
      </c>
      <c r="F38" s="26" t="n">
        <v>-0.45</v>
      </c>
      <c r="G38" s="26" t="n">
        <v>-0.04</v>
      </c>
      <c r="H38" s="26" t="n">
        <v>-0.04</v>
      </c>
      <c r="AF38" s="27" t="inlineStr">
        <is>
          <t>Won</t>
        </is>
      </c>
    </row>
    <row r="39">
      <c r="A39" s="28" t="inlineStr">
        <is>
          <t>Total</t>
        </is>
      </c>
      <c r="B39" s="28" t="n">
        <v>8</v>
      </c>
      <c r="C39" s="28" t="n">
        <v>7</v>
      </c>
      <c r="D39" s="28" t="n">
        <v>11</v>
      </c>
      <c r="E39" s="29" t="n">
        <v>-0.16</v>
      </c>
      <c r="F39" s="29" t="n">
        <v>-0.06</v>
      </c>
      <c r="G39" s="29" t="n">
        <v>0.12</v>
      </c>
      <c r="H39" s="29" t="n">
        <v>-0.04</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Aberdeen</t>
        </is>
      </c>
      <c r="C2" s="6" t="inlineStr">
        <is>
          <t>Away</t>
        </is>
      </c>
      <c r="D2" s="6" t="n">
        <v>1</v>
      </c>
      <c r="E2" s="6" t="n">
        <v>2</v>
      </c>
      <c r="F2" s="9" t="n">
        <v>1.59</v>
      </c>
      <c r="G2" s="9" t="n">
        <v>1.27</v>
      </c>
      <c r="H2" s="9" t="n">
        <v>1.83</v>
      </c>
      <c r="I2" s="9" t="n">
        <v>2.66</v>
      </c>
      <c r="J2" s="9" t="n">
        <v>0.24</v>
      </c>
      <c r="K2" s="9" t="n">
        <v>1.39</v>
      </c>
      <c r="L2" s="9" t="n">
        <v>0.24</v>
      </c>
      <c r="M2" s="9" t="n">
        <v>1.39</v>
      </c>
      <c r="N2" s="9" t="n">
        <v>0.33</v>
      </c>
      <c r="O2" s="9" t="n">
        <v>1.79</v>
      </c>
      <c r="P2" s="9" t="n">
        <v>0.33</v>
      </c>
      <c r="Q2" s="9" t="n">
        <v>1.79</v>
      </c>
      <c r="R2" s="9">
        <f>(H2-I2)-(F2-G2)</f>
        <v/>
      </c>
      <c r="S2" s="9">
        <f>(H2+I2)-(F2+G2)</f>
        <v/>
      </c>
      <c r="T2" s="9" t="n">
        <v>0.96</v>
      </c>
      <c r="U2" s="9" t="n">
        <v>1.59</v>
      </c>
      <c r="V2" s="9" t="n">
        <v>-0.63</v>
      </c>
      <c r="W2" s="9" t="n">
        <v>0.96</v>
      </c>
      <c r="X2" s="9" t="n">
        <v>1.59</v>
      </c>
      <c r="Z2" s="12" t="inlineStr">
        <is>
          <t>Expected = the pre-match market xG (what the odds implied) for each side.</t>
        </is>
      </c>
    </row>
    <row r="3">
      <c r="A3" s="8" t="inlineStr">
        <is>
          <t>2026-08-09</t>
        </is>
      </c>
      <c r="B3" s="8" t="inlineStr">
        <is>
          <t>Dundee United</t>
        </is>
      </c>
      <c r="C3" s="8" t="inlineStr">
        <is>
          <t>Home</t>
        </is>
      </c>
      <c r="D3" s="8" t="n">
        <v>4</v>
      </c>
      <c r="E3" s="8" t="n">
        <v>0</v>
      </c>
      <c r="F3" s="10" t="n">
        <v>1.92</v>
      </c>
      <c r="G3" s="10" t="n">
        <v>0.98</v>
      </c>
      <c r="H3" s="10" t="n">
        <v>2.15</v>
      </c>
      <c r="I3" s="10" t="n">
        <v>0.58</v>
      </c>
      <c r="J3" s="10" t="n">
        <v>0.23</v>
      </c>
      <c r="K3" s="10" t="n">
        <v>-0.4</v>
      </c>
      <c r="L3" s="10" t="n">
        <v>0.23</v>
      </c>
      <c r="M3" s="10" t="n">
        <v>0.49</v>
      </c>
      <c r="N3" s="10" t="n">
        <v>0.44</v>
      </c>
      <c r="O3" s="10" t="n">
        <v>-0.79</v>
      </c>
      <c r="P3" s="10" t="n">
        <v>0.39</v>
      </c>
      <c r="Q3" s="10" t="n">
        <v>0.5</v>
      </c>
      <c r="R3" s="10">
        <f>(H3-I3)-(F3-G3)</f>
        <v/>
      </c>
      <c r="S3" s="10">
        <f>(H3+I3)-(F3+G3)</f>
        <v/>
      </c>
      <c r="T3" s="10" t="n">
        <v>2.39</v>
      </c>
      <c r="U3" s="10" t="n">
        <v>2</v>
      </c>
      <c r="V3" s="10" t="n">
        <v>0.39</v>
      </c>
      <c r="W3" s="10" t="n">
        <v>3.35</v>
      </c>
      <c r="X3" s="10" t="n">
        <v>3.59</v>
      </c>
      <c r="Z3" s="4" t="inlineStr">
        <is>
          <t>Games vs expected</t>
        </is>
      </c>
      <c r="AA3" s="4" t="inlineStr">
        <is>
          <t>Above</t>
        </is>
      </c>
      <c r="AB3" s="4" t="inlineStr">
        <is>
          <t>Below</t>
        </is>
      </c>
    </row>
    <row r="4">
      <c r="A4" s="6" t="inlineStr">
        <is>
          <t>2026-08-29</t>
        </is>
      </c>
      <c r="B4" s="6" t="inlineStr">
        <is>
          <t>St Johnstone</t>
        </is>
      </c>
      <c r="C4" s="6" t="inlineStr">
        <is>
          <t>Home</t>
        </is>
      </c>
      <c r="D4" s="6" t="n">
        <v>2</v>
      </c>
      <c r="E4" s="6" t="n">
        <v>1</v>
      </c>
      <c r="F4" s="9" t="n">
        <v>1.82</v>
      </c>
      <c r="G4" s="9" t="n">
        <v>1.03</v>
      </c>
      <c r="H4" s="9" t="n">
        <v>2.2</v>
      </c>
      <c r="I4" s="9" t="n">
        <v>1.28</v>
      </c>
      <c r="J4" s="9" t="n">
        <v>0.38</v>
      </c>
      <c r="K4" s="9" t="n">
        <v>0.25</v>
      </c>
      <c r="L4" s="9" t="n">
        <v>0.28</v>
      </c>
      <c r="M4" s="9" t="n">
        <v>0.41</v>
      </c>
      <c r="N4" s="9" t="n">
        <v>0.3</v>
      </c>
      <c r="O4" s="9" t="n">
        <v>0.22</v>
      </c>
      <c r="P4" s="9" t="n">
        <v>0.36</v>
      </c>
      <c r="Q4" s="9" t="n">
        <v>0.41</v>
      </c>
      <c r="R4" s="9">
        <f>(H4-I4)-(F4-G4)</f>
        <v/>
      </c>
      <c r="S4" s="9">
        <f>(H4+I4)-(F4+G4)</f>
        <v/>
      </c>
      <c r="T4" s="9" t="n">
        <v>1.95</v>
      </c>
      <c r="U4" s="9" t="n">
        <v>1.9</v>
      </c>
      <c r="V4" s="9" t="n">
        <v>0.05</v>
      </c>
      <c r="W4" s="9" t="n">
        <v>5.3</v>
      </c>
      <c r="X4" s="9" t="n">
        <v>5.5</v>
      </c>
      <c r="Z4" s="6" t="inlineStr">
        <is>
          <t>xG For vs expected</t>
        </is>
      </c>
      <c r="AA4" s="5">
        <f>COUNTIF($J$2:$J$9,"&gt;0")</f>
        <v/>
      </c>
      <c r="AB4" s="5">
        <f>COUNTIF($J$2:$J$9,"&lt;0")</f>
        <v/>
      </c>
    </row>
    <row r="5">
      <c r="A5" s="8" t="inlineStr">
        <is>
          <t>2026-09-03</t>
        </is>
      </c>
      <c r="B5" s="8" t="inlineStr">
        <is>
          <t>Hibernian</t>
        </is>
      </c>
      <c r="C5" s="8" t="inlineStr">
        <is>
          <t>Away</t>
        </is>
      </c>
      <c r="D5" s="8" t="n">
        <v>3</v>
      </c>
      <c r="E5" s="8" t="n">
        <v>1</v>
      </c>
      <c r="F5" s="10" t="n">
        <v>1.34</v>
      </c>
      <c r="G5" s="10" t="n">
        <v>1.41</v>
      </c>
      <c r="H5" s="10" t="n">
        <v>0.86</v>
      </c>
      <c r="I5" s="10" t="n">
        <v>1.47</v>
      </c>
      <c r="J5" s="10" t="n">
        <v>-0.48</v>
      </c>
      <c r="K5" s="10" t="n">
        <v>0.06</v>
      </c>
      <c r="L5" s="10" t="n">
        <v>0.09</v>
      </c>
      <c r="M5" s="10" t="n">
        <v>0.33</v>
      </c>
      <c r="N5" s="10" t="n">
        <v>-0.92</v>
      </c>
      <c r="O5" s="10" t="n">
        <v>0.05</v>
      </c>
      <c r="P5" s="10" t="n">
        <v>0.04</v>
      </c>
      <c r="Q5" s="10" t="n">
        <v>0.32</v>
      </c>
      <c r="R5" s="10">
        <f>(H5-I5)-(F5-G5)</f>
        <v/>
      </c>
      <c r="S5" s="10">
        <f>(H5+I5)-(F5+G5)</f>
        <v/>
      </c>
      <c r="T5" s="10" t="n">
        <v>0.93</v>
      </c>
      <c r="U5" s="10" t="n">
        <v>1.33</v>
      </c>
      <c r="V5" s="10" t="n">
        <v>-0.4</v>
      </c>
      <c r="W5" s="10" t="n">
        <v>6.23</v>
      </c>
      <c r="X5" s="10" t="n">
        <v>6.82</v>
      </c>
      <c r="Z5" s="6" t="inlineStr">
        <is>
          <t>xG Against vs expected</t>
        </is>
      </c>
      <c r="AA5" s="5">
        <f>COUNTIF($K$2:$K$9,"&gt;0")</f>
        <v/>
      </c>
      <c r="AB5" s="5">
        <f>COUNTIF($K$2:$K$9,"&lt;0")</f>
        <v/>
      </c>
    </row>
    <row r="6">
      <c r="A6" s="6" t="inlineStr">
        <is>
          <t>2026-09-06</t>
        </is>
      </c>
      <c r="B6" s="6" t="inlineStr">
        <is>
          <t>Dundee</t>
        </is>
      </c>
      <c r="C6" s="6" t="inlineStr">
        <is>
          <t>Home</t>
        </is>
      </c>
      <c r="D6" s="6" t="n">
        <v>2</v>
      </c>
      <c r="E6" s="6" t="n">
        <v>1</v>
      </c>
      <c r="F6" s="9" t="n">
        <v>2.12</v>
      </c>
      <c r="G6" s="9" t="n">
        <v>0.96</v>
      </c>
      <c r="H6" s="9" t="n">
        <v>1.92</v>
      </c>
      <c r="I6" s="9" t="n">
        <v>0.42</v>
      </c>
      <c r="J6" s="9" t="n">
        <v>-0.2</v>
      </c>
      <c r="K6" s="9" t="n">
        <v>-0.54</v>
      </c>
      <c r="L6" s="9" t="n">
        <v>0.03</v>
      </c>
      <c r="M6" s="9" t="n">
        <v>0.15</v>
      </c>
      <c r="N6" s="9" t="n">
        <v>-0.07000000000000001</v>
      </c>
      <c r="O6" s="9" t="n">
        <v>-0.77</v>
      </c>
      <c r="P6" s="9" t="n">
        <v>0.02</v>
      </c>
      <c r="Q6" s="9" t="n">
        <v>0.1</v>
      </c>
      <c r="R6" s="9">
        <f>(H6-I6)-(F6-G6)</f>
        <v/>
      </c>
      <c r="S6" s="9">
        <f>(H6+I6)-(F6+G6)</f>
        <v/>
      </c>
      <c r="T6" s="9" t="n">
        <v>2.4</v>
      </c>
      <c r="U6" s="9" t="n">
        <v>2.12</v>
      </c>
      <c r="V6" s="9" t="n">
        <v>0.28</v>
      </c>
      <c r="W6" s="9" t="n">
        <v>8.630000000000001</v>
      </c>
      <c r="X6" s="9" t="n">
        <v>8.94</v>
      </c>
      <c r="Z6" s="6" t="inlineStr">
        <is>
          <t>Goals For vs expected</t>
        </is>
      </c>
      <c r="AA6" s="5">
        <f>SUMPRODUCT(--($D$2:$D$9&gt;$F$2:$F$9))</f>
        <v/>
      </c>
      <c r="AB6" s="5">
        <f>SUMPRODUCT(--($D$2:$D$9&lt;$F$2:$F$9))</f>
        <v/>
      </c>
    </row>
    <row r="7">
      <c r="A7" s="8" t="inlineStr">
        <is>
          <t>2026-09-15</t>
        </is>
      </c>
      <c r="B7" s="8" t="inlineStr">
        <is>
          <t>Falkirk</t>
        </is>
      </c>
      <c r="C7" s="8" t="inlineStr">
        <is>
          <t>Away</t>
        </is>
      </c>
      <c r="D7" s="8" t="n">
        <v>1</v>
      </c>
      <c r="E7" s="8" t="n">
        <v>2</v>
      </c>
      <c r="F7" s="10" t="n">
        <v>1.73</v>
      </c>
      <c r="G7" s="10" t="n">
        <v>1.15</v>
      </c>
      <c r="H7" s="10" t="n">
        <v>1.79</v>
      </c>
      <c r="I7" s="10" t="n">
        <v>2.09</v>
      </c>
      <c r="J7" s="10" t="n">
        <v>0.06</v>
      </c>
      <c r="K7" s="10" t="n">
        <v>0.9399999999999999</v>
      </c>
      <c r="L7" s="10" t="n">
        <v>0.04</v>
      </c>
      <c r="M7" s="10" t="n">
        <v>0.28</v>
      </c>
      <c r="N7" s="10" t="n">
        <v>-0.09</v>
      </c>
      <c r="O7" s="10" t="n">
        <v>1.09</v>
      </c>
      <c r="P7" s="10" t="n">
        <v>-0</v>
      </c>
      <c r="Q7" s="10" t="n">
        <v>0.26</v>
      </c>
      <c r="R7" s="10">
        <f>(H7-I7)-(F7-G7)</f>
        <v/>
      </c>
      <c r="S7" s="10">
        <f>(H7+I7)-(F7+G7)</f>
        <v/>
      </c>
      <c r="T7" s="10" t="n">
        <v>1.22</v>
      </c>
      <c r="U7" s="10" t="n">
        <v>1.76</v>
      </c>
      <c r="V7" s="10" t="n">
        <v>-0.54</v>
      </c>
      <c r="W7" s="10" t="n">
        <v>9.85</v>
      </c>
      <c r="X7" s="10" t="n">
        <v>10.71</v>
      </c>
      <c r="Z7" s="6" t="inlineStr">
        <is>
          <t>Goals Against vs expected</t>
        </is>
      </c>
      <c r="AA7" s="5">
        <f>SUMPRODUCT(--($E$2:$E$9&gt;$G$2:$G$9))</f>
        <v/>
      </c>
      <c r="AB7" s="5">
        <f>SUMPRODUCT(--($E$2:$E$9&lt;$G$2:$G$9))</f>
        <v/>
      </c>
    </row>
    <row r="8">
      <c r="A8" s="6" t="inlineStr">
        <is>
          <t>2026-09-19</t>
        </is>
      </c>
      <c r="B8" s="6" t="inlineStr">
        <is>
          <t>Kilmarnock</t>
        </is>
      </c>
      <c r="C8" s="6" t="inlineStr">
        <is>
          <t>Away</t>
        </is>
      </c>
      <c r="D8" s="6" t="n">
        <v>1</v>
      </c>
      <c r="E8" s="6" t="n">
        <v>1</v>
      </c>
      <c r="F8" s="9" t="n">
        <v>2.04</v>
      </c>
      <c r="G8" s="9" t="n">
        <v>1.12</v>
      </c>
      <c r="H8" s="9" t="n">
        <v>1.92</v>
      </c>
      <c r="I8" s="9" t="n">
        <v>0.39</v>
      </c>
      <c r="J8" s="9" t="n">
        <v>-0.12</v>
      </c>
      <c r="K8" s="9" t="n">
        <v>-0.73</v>
      </c>
      <c r="L8" s="9" t="n">
        <v>-0.02</v>
      </c>
      <c r="M8" s="9" t="n">
        <v>-0.07000000000000001</v>
      </c>
      <c r="N8" s="9" t="n">
        <v>-0.45</v>
      </c>
      <c r="O8" s="9" t="n">
        <v>-0.76</v>
      </c>
      <c r="P8" s="9" t="n">
        <v>-0.13</v>
      </c>
      <c r="Q8" s="9" t="n">
        <v>-0.16</v>
      </c>
      <c r="R8" s="9">
        <f>(H8-I8)-(F8-G8)</f>
        <v/>
      </c>
      <c r="S8" s="9">
        <f>(H8+I8)-(F8+G8)</f>
        <v/>
      </c>
      <c r="T8" s="9" t="n">
        <v>2.42</v>
      </c>
      <c r="U8" s="9" t="n">
        <v>1.97</v>
      </c>
      <c r="V8" s="9" t="n">
        <v>0.46</v>
      </c>
      <c r="W8" s="9" t="n">
        <v>12.27</v>
      </c>
      <c r="X8" s="9" t="n">
        <v>12.67</v>
      </c>
      <c r="Z8" s="12" t="inlineStr">
        <is>
          <t>For: Above = beat expectation. Against: Above = conceded more than expected (worse).</t>
        </is>
      </c>
    </row>
    <row r="9">
      <c r="A9" s="8" t="inlineStr">
        <is>
          <t>2026-10-10</t>
        </is>
      </c>
      <c r="B9" s="8" t="inlineStr">
        <is>
          <t>St Mirren</t>
        </is>
      </c>
      <c r="C9" s="8" t="inlineStr">
        <is>
          <t>Home</t>
        </is>
      </c>
      <c r="D9" s="8" t="n">
        <v>5</v>
      </c>
      <c r="E9" s="8" t="n">
        <v>0</v>
      </c>
      <c r="F9" s="10" t="n">
        <v>2.26</v>
      </c>
      <c r="G9" s="10" t="n">
        <v>1</v>
      </c>
      <c r="H9" s="10" t="n">
        <v>3.9</v>
      </c>
      <c r="I9" s="10" t="n">
        <v>0.9</v>
      </c>
      <c r="J9" s="10" t="n">
        <v>1.64</v>
      </c>
      <c r="K9" s="10" t="n">
        <v>-0.1</v>
      </c>
      <c r="L9" s="10" t="n">
        <v>0.21</v>
      </c>
      <c r="M9" s="10" t="n">
        <v>-0.02</v>
      </c>
      <c r="N9" s="10" t="n">
        <v>1.61</v>
      </c>
      <c r="O9" s="10" t="n">
        <v>-0.41</v>
      </c>
      <c r="P9" s="10" t="n">
        <v>0.06</v>
      </c>
      <c r="Q9" s="10" t="n">
        <v>-0.1</v>
      </c>
      <c r="R9" s="10">
        <f>(H9-I9)-(F9-G9)</f>
        <v/>
      </c>
      <c r="S9" s="10">
        <f>(H9+I9)-(F9+G9)</f>
        <v/>
      </c>
      <c r="T9" s="10" t="n">
        <v>2.71</v>
      </c>
      <c r="U9" s="10" t="n">
        <v>2.16</v>
      </c>
      <c r="V9" s="10" t="n">
        <v>0.55</v>
      </c>
      <c r="W9" s="10" t="n">
        <v>14.99</v>
      </c>
      <c r="X9" s="10" t="n">
        <v>14.84</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Heart of Midlothian: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16" t="n"/>
      <c r="AH25" s="16" t="n"/>
    </row>
    <row r="26">
      <c r="A26" s="17" t="inlineStr">
        <is>
          <t>Median Total xG Delta</t>
        </is>
      </c>
      <c r="E26" s="19">
        <f>MEDIAN(S2:S9)</f>
        <v/>
      </c>
      <c r="AF26" s="6" t="inlineStr">
        <is>
          <t>2. Rangers</t>
        </is>
      </c>
      <c r="AG26" s="16" t="n"/>
      <c r="AH26" s="16" t="n"/>
    </row>
    <row r="27">
      <c r="A27" s="17" t="inlineStr">
        <is>
          <t>Current form (last 6, For)</t>
        </is>
      </c>
      <c r="E27" s="19">
        <f>L9</f>
        <v/>
      </c>
      <c r="AF27" s="22" t="inlineStr">
        <is>
          <t>3. Heart of Midlothian</t>
        </is>
      </c>
      <c r="AG27" s="23" t="n"/>
      <c r="AH27" s="23" t="n"/>
    </row>
    <row r="28">
      <c r="A28" s="17" t="inlineStr">
        <is>
          <t>Current form (last 6, Against)</t>
        </is>
      </c>
      <c r="E28" s="19">
        <f>M9</f>
        <v/>
      </c>
      <c r="AF28" s="6" t="inlineStr">
        <is>
          <t>4. Dundee</t>
        </is>
      </c>
      <c r="AG28" s="21" t="n">
        <v>1.4</v>
      </c>
      <c r="AH28" s="16" t="n"/>
    </row>
    <row r="29">
      <c r="A29" s="17" t="inlineStr">
        <is>
          <t>Current form (last 6, For, Adj)</t>
        </is>
      </c>
      <c r="E29" s="19">
        <f>P9</f>
        <v/>
      </c>
      <c r="AF29" s="6" t="inlineStr">
        <is>
          <t>5. St Johnstone</t>
        </is>
      </c>
      <c r="AG29" s="21" t="n">
        <v>1.7</v>
      </c>
      <c r="AH29" s="16" t="n"/>
    </row>
    <row r="30">
      <c r="A30" s="17" t="inlineStr">
        <is>
          <t>Current form (last 6, Against, Adj)</t>
        </is>
      </c>
      <c r="E30" s="19">
        <f>Q9</f>
        <v/>
      </c>
      <c r="AF30" s="6" t="inlineStr">
        <is>
          <t>6. Dundee United</t>
        </is>
      </c>
      <c r="AG30" s="21" t="n">
        <v>1.73</v>
      </c>
      <c r="AH30" s="16" t="n"/>
    </row>
    <row r="31">
      <c r="A31" s="17" t="inlineStr">
        <is>
          <t>Total xPts (Actual)</t>
        </is>
      </c>
      <c r="E31" s="19">
        <f>SUM(T2:T9)</f>
        <v/>
      </c>
      <c r="AF31" s="6" t="inlineStr">
        <is>
          <t>7. St Mirren</t>
        </is>
      </c>
      <c r="AG31" s="21" t="n">
        <v>1.4</v>
      </c>
      <c r="AH31" s="16" t="n"/>
    </row>
    <row r="32">
      <c r="A32" s="17" t="inlineStr">
        <is>
          <t>Total xPts (Market)</t>
        </is>
      </c>
      <c r="E32" s="19">
        <f>SUM(U2:U9)</f>
        <v/>
      </c>
      <c r="AF32" s="6" t="inlineStr">
        <is>
          <t>8. Aberdeen</t>
        </is>
      </c>
      <c r="AG32" s="16" t="n"/>
      <c r="AH32" s="20" t="n">
        <v>2.3</v>
      </c>
    </row>
    <row r="33">
      <c r="A33" s="17" t="inlineStr">
        <is>
          <t>Avg xPts Delta</t>
        </is>
      </c>
      <c r="E33" s="19">
        <f>AVERAGE(V2:V9)</f>
        <v/>
      </c>
      <c r="AF33" s="6" t="inlineStr">
        <is>
          <t>9. Motherwell</t>
        </is>
      </c>
      <c r="AG33" s="16" t="n"/>
      <c r="AH33" s="16" t="n"/>
    </row>
    <row r="34">
      <c r="AF34" s="6" t="inlineStr">
        <is>
          <t>10. Hibernian</t>
        </is>
      </c>
      <c r="AG34" s="16" t="n"/>
      <c r="AH34" s="21" t="n">
        <v>3</v>
      </c>
    </row>
    <row r="35">
      <c r="A35" s="11" t="inlineStr">
        <is>
          <t>Home / Away split</t>
        </is>
      </c>
      <c r="AF35" s="6" t="inlineStr">
        <is>
          <t>11. Falkirk</t>
        </is>
      </c>
      <c r="AG35" s="16" t="n"/>
      <c r="AH35" s="20" t="n">
        <v>1.9</v>
      </c>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16" t="n"/>
      <c r="AH36" s="24" t="n">
        <v>1.67</v>
      </c>
    </row>
    <row r="37">
      <c r="A37" s="17" t="inlineStr">
        <is>
          <t>Home</t>
        </is>
      </c>
      <c r="B37" s="17" t="n">
        <v>4</v>
      </c>
      <c r="C37" s="17" t="n">
        <v>13</v>
      </c>
      <c r="D37" s="17" t="n">
        <v>2</v>
      </c>
      <c r="E37" s="26" t="n">
        <v>0.71</v>
      </c>
      <c r="F37" s="26" t="n">
        <v>0.48</v>
      </c>
      <c r="G37" s="26" t="n">
        <v>0.32</v>
      </c>
      <c r="H37" s="26" t="n">
        <v>0.23</v>
      </c>
    </row>
    <row r="38">
      <c r="A38" s="17" t="inlineStr">
        <is>
          <t>Away</t>
        </is>
      </c>
      <c r="B38" s="17" t="n">
        <v>4</v>
      </c>
      <c r="C38" s="17" t="n">
        <v>6</v>
      </c>
      <c r="D38" s="17" t="n">
        <v>6</v>
      </c>
      <c r="E38" s="26" t="n">
        <v>-0.49</v>
      </c>
      <c r="F38" s="26" t="n">
        <v>-0.72</v>
      </c>
      <c r="G38" s="26" t="n">
        <v>0.34</v>
      </c>
      <c r="H38" s="26" t="n">
        <v>0.29</v>
      </c>
      <c r="AF38" s="27" t="inlineStr">
        <is>
          <t>Won</t>
        </is>
      </c>
    </row>
    <row r="39">
      <c r="A39" s="28" t="inlineStr">
        <is>
          <t>Total</t>
        </is>
      </c>
      <c r="B39" s="28" t="n">
        <v>8</v>
      </c>
      <c r="C39" s="28" t="n">
        <v>19</v>
      </c>
      <c r="D39" s="28" t="n">
        <v>8</v>
      </c>
      <c r="E39" s="29" t="n">
        <v>0.11</v>
      </c>
      <c r="F39" s="29" t="n">
        <v>0.24</v>
      </c>
      <c r="G39" s="29" t="n">
        <v>0.33</v>
      </c>
      <c r="H39" s="29" t="n">
        <v>0.23</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Motherwell</t>
        </is>
      </c>
      <c r="C2" s="6" t="inlineStr">
        <is>
          <t>Home</t>
        </is>
      </c>
      <c r="D2" s="6" t="n">
        <v>1</v>
      </c>
      <c r="E2" s="6" t="n">
        <v>2</v>
      </c>
      <c r="F2" s="9" t="n">
        <v>1.52</v>
      </c>
      <c r="G2" s="9" t="n">
        <v>1.25</v>
      </c>
      <c r="H2" s="9" t="n">
        <v>1.94</v>
      </c>
      <c r="I2" s="9" t="n">
        <v>2.19</v>
      </c>
      <c r="J2" s="9" t="n">
        <v>0.42</v>
      </c>
      <c r="K2" s="9" t="n">
        <v>0.9399999999999999</v>
      </c>
      <c r="L2" s="9" t="n">
        <v>0.42</v>
      </c>
      <c r="M2" s="9" t="n">
        <v>0.9399999999999999</v>
      </c>
      <c r="N2" s="9" t="n">
        <v>0.05</v>
      </c>
      <c r="O2" s="9" t="n">
        <v>0.99</v>
      </c>
      <c r="P2" s="9" t="n">
        <v>0.05</v>
      </c>
      <c r="Q2" s="9" t="n">
        <v>0.99</v>
      </c>
      <c r="R2" s="9">
        <f>(H2-I2)-(F2-G2)</f>
        <v/>
      </c>
      <c r="S2" s="9">
        <f>(H2+I2)-(F2+G2)</f>
        <v/>
      </c>
      <c r="T2" s="9" t="n">
        <v>1.26</v>
      </c>
      <c r="U2" s="9" t="n">
        <v>1.56</v>
      </c>
      <c r="V2" s="9" t="n">
        <v>-0.3</v>
      </c>
      <c r="W2" s="9" t="n">
        <v>1.26</v>
      </c>
      <c r="X2" s="9" t="n">
        <v>1.56</v>
      </c>
      <c r="Z2" s="12" t="inlineStr">
        <is>
          <t>Expected = the pre-match market xG (what the odds implied) for each side.</t>
        </is>
      </c>
    </row>
    <row r="3">
      <c r="A3" s="8" t="inlineStr">
        <is>
          <t>2026-08-09</t>
        </is>
      </c>
      <c r="B3" s="8" t="inlineStr">
        <is>
          <t>Rangers</t>
        </is>
      </c>
      <c r="C3" s="8" t="inlineStr">
        <is>
          <t>Away</t>
        </is>
      </c>
      <c r="D3" s="8" t="n">
        <v>2</v>
      </c>
      <c r="E3" s="8" t="n">
        <v>1</v>
      </c>
      <c r="F3" s="10" t="n">
        <v>1.02</v>
      </c>
      <c r="G3" s="10" t="n">
        <v>2.13</v>
      </c>
      <c r="H3" s="10" t="n">
        <v>1.7</v>
      </c>
      <c r="I3" s="10" t="n">
        <v>2.22</v>
      </c>
      <c r="J3" s="10" t="n">
        <v>0.68</v>
      </c>
      <c r="K3" s="10" t="n">
        <v>0.09</v>
      </c>
      <c r="L3" s="10" t="n">
        <v>0.55</v>
      </c>
      <c r="M3" s="10" t="n">
        <v>0.52</v>
      </c>
      <c r="N3" s="10" t="n">
        <v>0.8</v>
      </c>
      <c r="O3" s="10" t="n">
        <v>0.04</v>
      </c>
      <c r="P3" s="10" t="n">
        <v>0.43</v>
      </c>
      <c r="Q3" s="10" t="n">
        <v>0.52</v>
      </c>
      <c r="R3" s="10">
        <f>(H3-I3)-(F3-G3)</f>
        <v/>
      </c>
      <c r="S3" s="10">
        <f>(H3+I3)-(F3+G3)</f>
        <v/>
      </c>
      <c r="T3" s="10" t="n">
        <v>1.1</v>
      </c>
      <c r="U3" s="10" t="n">
        <v>0.72</v>
      </c>
      <c r="V3" s="10" t="n">
        <v>0.38</v>
      </c>
      <c r="W3" s="10" t="n">
        <v>2.35</v>
      </c>
      <c r="X3" s="10" t="n">
        <v>2.28</v>
      </c>
      <c r="Z3" s="4" t="inlineStr">
        <is>
          <t>Games vs expected</t>
        </is>
      </c>
      <c r="AA3" s="4" t="inlineStr">
        <is>
          <t>Above</t>
        </is>
      </c>
      <c r="AB3" s="4" t="inlineStr">
        <is>
          <t>Below</t>
        </is>
      </c>
    </row>
    <row r="4">
      <c r="A4" s="6" t="inlineStr">
        <is>
          <t>2026-08-30</t>
        </is>
      </c>
      <c r="B4" s="6" t="inlineStr">
        <is>
          <t>Dundee</t>
        </is>
      </c>
      <c r="C4" s="6" t="inlineStr">
        <is>
          <t>Away</t>
        </is>
      </c>
      <c r="D4" s="6" t="n">
        <v>2</v>
      </c>
      <c r="E4" s="6" t="n">
        <v>1</v>
      </c>
      <c r="F4" s="9" t="n">
        <v>1.51</v>
      </c>
      <c r="G4" s="9" t="n">
        <v>1.22</v>
      </c>
      <c r="H4" s="9" t="n">
        <v>2.33</v>
      </c>
      <c r="I4" s="9" t="n">
        <v>1.01</v>
      </c>
      <c r="J4" s="9" t="n">
        <v>0.82</v>
      </c>
      <c r="K4" s="9" t="n">
        <v>-0.21</v>
      </c>
      <c r="L4" s="9" t="n">
        <v>0.64</v>
      </c>
      <c r="M4" s="9" t="n">
        <v>0.28</v>
      </c>
      <c r="N4" s="9" t="n">
        <v>1.1</v>
      </c>
      <c r="O4" s="9" t="n">
        <v>-0.39</v>
      </c>
      <c r="P4" s="9" t="n">
        <v>0.65</v>
      </c>
      <c r="Q4" s="9" t="n">
        <v>0.22</v>
      </c>
      <c r="R4" s="9">
        <f>(H4-I4)-(F4-G4)</f>
        <v/>
      </c>
      <c r="S4" s="9">
        <f>(H4+I4)-(F4+G4)</f>
        <v/>
      </c>
      <c r="T4" s="9" t="n">
        <v>2.19</v>
      </c>
      <c r="U4" s="9" t="n">
        <v>1.57</v>
      </c>
      <c r="V4" s="9" t="n">
        <v>0.61</v>
      </c>
      <c r="W4" s="9" t="n">
        <v>4.54</v>
      </c>
      <c r="X4" s="9" t="n">
        <v>3.85</v>
      </c>
      <c r="Z4" s="6" t="inlineStr">
        <is>
          <t>xG For vs expected</t>
        </is>
      </c>
      <c r="AA4" s="5">
        <f>COUNTIF($J$2:$J$9,"&gt;0")</f>
        <v/>
      </c>
      <c r="AB4" s="5">
        <f>COUNTIF($J$2:$J$9,"&lt;0")</f>
        <v/>
      </c>
    </row>
    <row r="5">
      <c r="A5" s="8" t="inlineStr">
        <is>
          <t>2026-09-03</t>
        </is>
      </c>
      <c r="B5" s="8" t="inlineStr">
        <is>
          <t>Heart of Midlothian</t>
        </is>
      </c>
      <c r="C5" s="8" t="inlineStr">
        <is>
          <t>Home</t>
        </is>
      </c>
      <c r="D5" s="8" t="n">
        <v>1</v>
      </c>
      <c r="E5" s="8" t="n">
        <v>3</v>
      </c>
      <c r="F5" s="10" t="n">
        <v>1.41</v>
      </c>
      <c r="G5" s="10" t="n">
        <v>1.34</v>
      </c>
      <c r="H5" s="10" t="n">
        <v>1.47</v>
      </c>
      <c r="I5" s="10" t="n">
        <v>0.86</v>
      </c>
      <c r="J5" s="10" t="n">
        <v>0.06</v>
      </c>
      <c r="K5" s="10" t="n">
        <v>-0.48</v>
      </c>
      <c r="L5" s="10" t="n">
        <v>0.5</v>
      </c>
      <c r="M5" s="10" t="n">
        <v>0.09</v>
      </c>
      <c r="N5" s="10" t="n">
        <v>-0.05</v>
      </c>
      <c r="O5" s="10" t="n">
        <v>-0.8</v>
      </c>
      <c r="P5" s="10" t="n">
        <v>0.47</v>
      </c>
      <c r="Q5" s="10" t="n">
        <v>-0.04</v>
      </c>
      <c r="R5" s="10">
        <f>(H5-I5)-(F5-G5)</f>
        <v/>
      </c>
      <c r="S5" s="10">
        <f>(H5+I5)-(F5+G5)</f>
        <v/>
      </c>
      <c r="T5" s="10" t="n">
        <v>1.81</v>
      </c>
      <c r="U5" s="10" t="n">
        <v>1.42</v>
      </c>
      <c r="V5" s="10" t="n">
        <v>0.39</v>
      </c>
      <c r="W5" s="10" t="n">
        <v>6.35</v>
      </c>
      <c r="X5" s="10" t="n">
        <v>5.27</v>
      </c>
      <c r="Z5" s="6" t="inlineStr">
        <is>
          <t>xG Against vs expected</t>
        </is>
      </c>
      <c r="AA5" s="5">
        <f>COUNTIF($K$2:$K$9,"&gt;0")</f>
        <v/>
      </c>
      <c r="AB5" s="5">
        <f>COUNTIF($K$2:$K$9,"&lt;0")</f>
        <v/>
      </c>
    </row>
    <row r="6">
      <c r="A6" s="6" t="inlineStr">
        <is>
          <t>2026-09-06</t>
        </is>
      </c>
      <c r="B6" s="6" t="inlineStr">
        <is>
          <t>St Johnstone</t>
        </is>
      </c>
      <c r="C6" s="6" t="inlineStr">
        <is>
          <t>Away</t>
        </is>
      </c>
      <c r="D6" s="6" t="n">
        <v>1</v>
      </c>
      <c r="E6" s="6" t="n">
        <v>2</v>
      </c>
      <c r="F6" s="9" t="n">
        <v>1.4</v>
      </c>
      <c r="G6" s="9" t="n">
        <v>1.31</v>
      </c>
      <c r="H6" s="9" t="n">
        <v>1.61</v>
      </c>
      <c r="I6" s="9" t="n">
        <v>2.32</v>
      </c>
      <c r="J6" s="9" t="n">
        <v>0.21</v>
      </c>
      <c r="K6" s="9" t="n">
        <v>1.01</v>
      </c>
      <c r="L6" s="9" t="n">
        <v>0.44</v>
      </c>
      <c r="M6" s="9" t="n">
        <v>0.27</v>
      </c>
      <c r="N6" s="9" t="n">
        <v>0.11</v>
      </c>
      <c r="O6" s="9" t="n">
        <v>1.09</v>
      </c>
      <c r="P6" s="9" t="n">
        <v>0.4</v>
      </c>
      <c r="Q6" s="9" t="n">
        <v>0.19</v>
      </c>
      <c r="R6" s="9">
        <f>(H6-I6)-(F6-G6)</f>
        <v/>
      </c>
      <c r="S6" s="9">
        <f>(H6+I6)-(F6+G6)</f>
        <v/>
      </c>
      <c r="T6" s="9" t="n">
        <v>0.99</v>
      </c>
      <c r="U6" s="9" t="n">
        <v>1.43</v>
      </c>
      <c r="V6" s="9" t="n">
        <v>-0.44</v>
      </c>
      <c r="W6" s="9" t="n">
        <v>7.34</v>
      </c>
      <c r="X6" s="9" t="n">
        <v>6.7</v>
      </c>
      <c r="Z6" s="6" t="inlineStr">
        <is>
          <t>Goals For vs expected</t>
        </is>
      </c>
      <c r="AA6" s="5">
        <f>SUMPRODUCT(--($D$2:$D$9&gt;$F$2:$F$9))</f>
        <v/>
      </c>
      <c r="AB6" s="5">
        <f>SUMPRODUCT(--($D$2:$D$9&lt;$F$2:$F$9))</f>
        <v/>
      </c>
    </row>
    <row r="7">
      <c r="A7" s="8" t="inlineStr">
        <is>
          <t>2026-09-15</t>
        </is>
      </c>
      <c r="B7" s="8" t="inlineStr">
        <is>
          <t>Kilmarnock</t>
        </is>
      </c>
      <c r="C7" s="8" t="inlineStr">
        <is>
          <t>Home</t>
        </is>
      </c>
      <c r="D7" s="8" t="n">
        <v>0</v>
      </c>
      <c r="E7" s="8" t="n">
        <v>1</v>
      </c>
      <c r="F7" s="10" t="n">
        <v>2.3</v>
      </c>
      <c r="G7" s="10" t="n">
        <v>0.97</v>
      </c>
      <c r="H7" s="10" t="n">
        <v>1.45</v>
      </c>
      <c r="I7" s="10" t="n">
        <v>2.21</v>
      </c>
      <c r="J7" s="10" t="n">
        <v>-0.85</v>
      </c>
      <c r="K7" s="10" t="n">
        <v>1.24</v>
      </c>
      <c r="L7" s="10" t="n">
        <v>0.23</v>
      </c>
      <c r="M7" s="10" t="n">
        <v>0.43</v>
      </c>
      <c r="N7" s="10" t="n">
        <v>-1.28</v>
      </c>
      <c r="O7" s="10" t="n">
        <v>1.48</v>
      </c>
      <c r="P7" s="10" t="n">
        <v>0.12</v>
      </c>
      <c r="Q7" s="10" t="n">
        <v>0.4</v>
      </c>
      <c r="R7" s="10">
        <f>(H7-I7)-(F7-G7)</f>
        <v/>
      </c>
      <c r="S7" s="10">
        <f>(H7+I7)-(F7+G7)</f>
        <v/>
      </c>
      <c r="T7" s="10" t="n">
        <v>0.95</v>
      </c>
      <c r="U7" s="10" t="n">
        <v>2.2</v>
      </c>
      <c r="V7" s="10" t="n">
        <v>-1.25</v>
      </c>
      <c r="W7" s="10" t="n">
        <v>8.289999999999999</v>
      </c>
      <c r="X7" s="10" t="n">
        <v>8.9</v>
      </c>
      <c r="Z7" s="6" t="inlineStr">
        <is>
          <t>Goals Against vs expected</t>
        </is>
      </c>
      <c r="AA7" s="5">
        <f>SUMPRODUCT(--($E$2:$E$9&gt;$G$2:$G$9))</f>
        <v/>
      </c>
      <c r="AB7" s="5">
        <f>SUMPRODUCT(--($E$2:$E$9&lt;$G$2:$G$9))</f>
        <v/>
      </c>
    </row>
    <row r="8">
      <c r="A8" s="6" t="inlineStr">
        <is>
          <t>2026-09-19</t>
        </is>
      </c>
      <c r="B8" s="6" t="inlineStr">
        <is>
          <t>Aberdeen</t>
        </is>
      </c>
      <c r="C8" s="6" t="inlineStr">
        <is>
          <t>Home</t>
        </is>
      </c>
      <c r="D8" s="6" t="n">
        <v>1</v>
      </c>
      <c r="E8" s="6" t="n">
        <v>1</v>
      </c>
      <c r="F8" s="9" t="n">
        <v>1.87</v>
      </c>
      <c r="G8" s="9" t="n">
        <v>1.07</v>
      </c>
      <c r="H8" s="9" t="n">
        <v>1.4</v>
      </c>
      <c r="I8" s="9" t="n">
        <v>0.7</v>
      </c>
      <c r="J8" s="9" t="n">
        <v>-0.47</v>
      </c>
      <c r="K8" s="9" t="n">
        <v>-0.37</v>
      </c>
      <c r="L8" s="9" t="n">
        <v>0.08</v>
      </c>
      <c r="M8" s="9" t="n">
        <v>0.21</v>
      </c>
      <c r="N8" s="9" t="n">
        <v>-0.48</v>
      </c>
      <c r="O8" s="9" t="n">
        <v>-0.22</v>
      </c>
      <c r="P8" s="9" t="n">
        <v>0.03</v>
      </c>
      <c r="Q8" s="9" t="n">
        <v>0.2</v>
      </c>
      <c r="R8" s="9">
        <f>(H8-I8)-(F8-G8)</f>
        <v/>
      </c>
      <c r="S8" s="9">
        <f>(H8+I8)-(F8+G8)</f>
        <v/>
      </c>
      <c r="T8" s="9" t="n">
        <v>1.89</v>
      </c>
      <c r="U8" s="9" t="n">
        <v>1.91</v>
      </c>
      <c r="V8" s="9" t="n">
        <v>-0.02</v>
      </c>
      <c r="W8" s="9" t="n">
        <v>10.18</v>
      </c>
      <c r="X8" s="9" t="n">
        <v>10.8</v>
      </c>
      <c r="Z8" s="12" t="inlineStr">
        <is>
          <t>For: Above = beat expectation. Against: Above = conceded more than expected (worse).</t>
        </is>
      </c>
    </row>
    <row r="9">
      <c r="A9" s="8" t="inlineStr">
        <is>
          <t>2026-10-10</t>
        </is>
      </c>
      <c r="B9" s="8" t="inlineStr">
        <is>
          <t>Dundee United</t>
        </is>
      </c>
      <c r="C9" s="8" t="inlineStr">
        <is>
          <t>Away</t>
        </is>
      </c>
      <c r="D9" s="8" t="n">
        <v>0</v>
      </c>
      <c r="E9" s="8" t="n">
        <v>1</v>
      </c>
      <c r="F9" s="10" t="n">
        <v>1.54</v>
      </c>
      <c r="G9" s="10" t="n">
        <v>1.47</v>
      </c>
      <c r="H9" s="10" t="n">
        <v>0.83</v>
      </c>
      <c r="I9" s="10" t="n">
        <v>1.84</v>
      </c>
      <c r="J9" s="10" t="n">
        <v>-0.71</v>
      </c>
      <c r="K9" s="10" t="n">
        <v>0.37</v>
      </c>
      <c r="L9" s="10" t="n">
        <v>-0.15</v>
      </c>
      <c r="M9" s="10" t="n">
        <v>0.26</v>
      </c>
      <c r="N9" s="10" t="n">
        <v>-0.64</v>
      </c>
      <c r="O9" s="10" t="n">
        <v>0.09</v>
      </c>
      <c r="P9" s="10" t="n">
        <v>-0.21</v>
      </c>
      <c r="Q9" s="10" t="n">
        <v>0.21</v>
      </c>
      <c r="R9" s="10">
        <f>(H9-I9)-(F9-G9)</f>
        <v/>
      </c>
      <c r="S9" s="10">
        <f>(H9+I9)-(F9+G9)</f>
        <v/>
      </c>
      <c r="T9" s="10" t="n">
        <v>0.72</v>
      </c>
      <c r="U9" s="10" t="n">
        <v>1.43</v>
      </c>
      <c r="V9" s="10" t="n">
        <v>-0.71</v>
      </c>
      <c r="W9" s="10" t="n">
        <v>10.9</v>
      </c>
      <c r="X9" s="10" t="n">
        <v>12.23</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Hibernian: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16" t="n"/>
      <c r="AH25" s="16" t="n"/>
    </row>
    <row r="26">
      <c r="A26" s="17" t="inlineStr">
        <is>
          <t>Median Total xG Delta</t>
        </is>
      </c>
      <c r="E26" s="19">
        <f>MEDIAN(S2:S9)</f>
        <v/>
      </c>
      <c r="AF26" s="6" t="inlineStr">
        <is>
          <t>2. Rangers</t>
        </is>
      </c>
      <c r="AG26" s="16" t="n"/>
      <c r="AH26" s="21" t="n">
        <v>7.5</v>
      </c>
    </row>
    <row r="27">
      <c r="A27" s="17" t="inlineStr">
        <is>
          <t>Current form (last 6, For)</t>
        </is>
      </c>
      <c r="E27" s="19">
        <f>L9</f>
        <v/>
      </c>
      <c r="AF27" s="6" t="inlineStr">
        <is>
          <t>3. Heart of Midlothian</t>
        </is>
      </c>
      <c r="AG27" s="20" t="n">
        <v>2.25</v>
      </c>
      <c r="AH27" s="16" t="n"/>
    </row>
    <row r="28">
      <c r="A28" s="17" t="inlineStr">
        <is>
          <t>Current form (last 6, Against)</t>
        </is>
      </c>
      <c r="E28" s="19">
        <f>M9</f>
        <v/>
      </c>
      <c r="AF28" s="6" t="inlineStr">
        <is>
          <t>4. Dundee</t>
        </is>
      </c>
      <c r="AG28" s="16" t="n"/>
      <c r="AH28" s="21" t="n">
        <v>2.1</v>
      </c>
    </row>
    <row r="29">
      <c r="A29" s="17" t="inlineStr">
        <is>
          <t>Current form (last 6, For, Adj)</t>
        </is>
      </c>
      <c r="E29" s="19">
        <f>P9</f>
        <v/>
      </c>
      <c r="AF29" s="6" t="inlineStr">
        <is>
          <t>5. St Johnstone</t>
        </is>
      </c>
      <c r="AG29" s="16" t="n"/>
      <c r="AH29" s="20" t="n">
        <v>2.2</v>
      </c>
    </row>
    <row r="30">
      <c r="A30" s="17" t="inlineStr">
        <is>
          <t>Current form (last 6, Against, Adj)</t>
        </is>
      </c>
      <c r="E30" s="19">
        <f>Q9</f>
        <v/>
      </c>
      <c r="AF30" s="6" t="inlineStr">
        <is>
          <t>6. Dundee United</t>
        </is>
      </c>
      <c r="AG30" s="16" t="n"/>
      <c r="AH30" s="20" t="n">
        <v>2.5</v>
      </c>
    </row>
    <row r="31">
      <c r="A31" s="17" t="inlineStr">
        <is>
          <t>Total xPts (Actual)</t>
        </is>
      </c>
      <c r="E31" s="19">
        <f>SUM(T2:T9)</f>
        <v/>
      </c>
      <c r="AF31" s="6" t="inlineStr">
        <is>
          <t>7. St Mirren</t>
        </is>
      </c>
      <c r="AG31" s="16" t="n"/>
      <c r="AH31" s="16" t="n"/>
    </row>
    <row r="32">
      <c r="A32" s="17" t="inlineStr">
        <is>
          <t>Total xPts (Market)</t>
        </is>
      </c>
      <c r="E32" s="19">
        <f>SUM(U2:U9)</f>
        <v/>
      </c>
      <c r="AF32" s="6" t="inlineStr">
        <is>
          <t>8. Aberdeen</t>
        </is>
      </c>
      <c r="AG32" s="24" t="n">
        <v>1.75</v>
      </c>
      <c r="AH32" s="16" t="n"/>
    </row>
    <row r="33">
      <c r="A33" s="17" t="inlineStr">
        <is>
          <t>Avg xPts Delta</t>
        </is>
      </c>
      <c r="E33" s="19">
        <f>AVERAGE(V2:V9)</f>
        <v/>
      </c>
      <c r="AF33" s="6" t="inlineStr">
        <is>
          <t>9. Motherwell</t>
        </is>
      </c>
      <c r="AG33" s="20" t="n">
        <v>1.85</v>
      </c>
      <c r="AH33" s="16" t="n"/>
    </row>
    <row r="34">
      <c r="AF34" s="22" t="inlineStr">
        <is>
          <t>10. Hibernian</t>
        </is>
      </c>
      <c r="AG34" s="23" t="n"/>
      <c r="AH34" s="23" t="n"/>
    </row>
    <row r="35">
      <c r="A35" s="11" t="inlineStr">
        <is>
          <t>Home / Away split</t>
        </is>
      </c>
      <c r="AF35" s="6" t="inlineStr">
        <is>
          <t>11. Falkirk</t>
        </is>
      </c>
      <c r="AG35" s="16" t="n"/>
      <c r="AH35" s="16"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20" t="n">
        <v>1.36</v>
      </c>
      <c r="AH36" s="16" t="n"/>
    </row>
    <row r="37">
      <c r="A37" s="17" t="inlineStr">
        <is>
          <t>Home</t>
        </is>
      </c>
      <c r="B37" s="17" t="n">
        <v>4</v>
      </c>
      <c r="C37" s="17" t="n">
        <v>3</v>
      </c>
      <c r="D37" s="17" t="n">
        <v>7</v>
      </c>
      <c r="E37" s="26" t="n">
        <v>-0.54</v>
      </c>
      <c r="F37" s="26" t="n">
        <v>-0.31</v>
      </c>
      <c r="G37" s="26" t="n">
        <v>0.13</v>
      </c>
      <c r="H37" s="26" t="n">
        <v>-0.01</v>
      </c>
    </row>
    <row r="38">
      <c r="A38" s="17" t="inlineStr">
        <is>
          <t>Away</t>
        </is>
      </c>
      <c r="B38" s="17" t="n">
        <v>4</v>
      </c>
      <c r="C38" s="17" t="n">
        <v>5</v>
      </c>
      <c r="D38" s="17" t="n">
        <v>5</v>
      </c>
      <c r="E38" s="26" t="n">
        <v>-0.07000000000000001</v>
      </c>
      <c r="F38" s="26" t="n">
        <v>-0.11</v>
      </c>
      <c r="G38" s="26" t="n">
        <v>0.57</v>
      </c>
      <c r="H38" s="26" t="n">
        <v>0.7</v>
      </c>
      <c r="AF38" s="27" t="inlineStr">
        <is>
          <t>Won</t>
        </is>
      </c>
    </row>
    <row r="39">
      <c r="A39" s="28" t="inlineStr">
        <is>
          <t>Total</t>
        </is>
      </c>
      <c r="B39" s="28" t="n">
        <v>8</v>
      </c>
      <c r="C39" s="28" t="n">
        <v>8</v>
      </c>
      <c r="D39" s="28" t="n">
        <v>12</v>
      </c>
      <c r="E39" s="29" t="n">
        <v>-0.3</v>
      </c>
      <c r="F39" s="29" t="n">
        <v>-0.31</v>
      </c>
      <c r="G39" s="29" t="n">
        <v>0.35</v>
      </c>
      <c r="H39" s="29" t="n">
        <v>0.51</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St Johnstone</t>
        </is>
      </c>
      <c r="C2" s="6" t="inlineStr">
        <is>
          <t>Away</t>
        </is>
      </c>
      <c r="D2" s="6" t="n">
        <v>3</v>
      </c>
      <c r="E2" s="6" t="n">
        <v>4</v>
      </c>
      <c r="F2" s="9" t="n">
        <v>1.24</v>
      </c>
      <c r="G2" s="9" t="n">
        <v>1.55</v>
      </c>
      <c r="H2" s="9" t="n">
        <v>0.92</v>
      </c>
      <c r="I2" s="9" t="n">
        <v>2.03</v>
      </c>
      <c r="J2" s="9" t="n">
        <v>-0.32</v>
      </c>
      <c r="K2" s="9" t="n">
        <v>0.48</v>
      </c>
      <c r="L2" s="9" t="n">
        <v>-0.32</v>
      </c>
      <c r="M2" s="9" t="n">
        <v>0.48</v>
      </c>
      <c r="N2" s="9" t="n">
        <v>-0.5</v>
      </c>
      <c r="O2" s="9" t="n">
        <v>0.48</v>
      </c>
      <c r="P2" s="9" t="n">
        <v>-0.5</v>
      </c>
      <c r="Q2" s="9" t="n">
        <v>0.48</v>
      </c>
      <c r="R2" s="9">
        <f>(H2-I2)-(F2-G2)</f>
        <v/>
      </c>
      <c r="S2" s="9">
        <f>(H2+I2)-(F2+G2)</f>
        <v/>
      </c>
      <c r="T2" s="9" t="n">
        <v>0.6899999999999999</v>
      </c>
      <c r="U2" s="9" t="n">
        <v>1.16</v>
      </c>
      <c r="V2" s="9" t="n">
        <v>-0.47</v>
      </c>
      <c r="W2" s="9" t="n">
        <v>0.6899999999999999</v>
      </c>
      <c r="X2" s="9" t="n">
        <v>1.16</v>
      </c>
      <c r="Z2" s="12" t="inlineStr">
        <is>
          <t>Expected = the pre-match market xG (what the odds implied) for each side.</t>
        </is>
      </c>
    </row>
    <row r="3">
      <c r="A3" s="8" t="inlineStr">
        <is>
          <t>2026-08-09</t>
        </is>
      </c>
      <c r="B3" s="8" t="inlineStr">
        <is>
          <t>Celtic</t>
        </is>
      </c>
      <c r="C3" s="8" t="inlineStr">
        <is>
          <t>Home</t>
        </is>
      </c>
      <c r="D3" s="8" t="n">
        <v>1</v>
      </c>
      <c r="E3" s="8" t="n">
        <v>5</v>
      </c>
      <c r="F3" s="10" t="n">
        <v>0.98</v>
      </c>
      <c r="G3" s="10" t="n">
        <v>2.4</v>
      </c>
      <c r="H3" s="10" t="n">
        <v>0.98</v>
      </c>
      <c r="I3" s="10" t="n">
        <v>5.44</v>
      </c>
      <c r="J3" s="10" t="n">
        <v>0</v>
      </c>
      <c r="K3" s="10" t="n">
        <v>3.04</v>
      </c>
      <c r="L3" s="10" t="n">
        <v>-0.16</v>
      </c>
      <c r="M3" s="10" t="n">
        <v>1.76</v>
      </c>
      <c r="N3" s="10" t="n">
        <v>-0.01</v>
      </c>
      <c r="O3" s="10" t="n">
        <v>3.06</v>
      </c>
      <c r="P3" s="10" t="n">
        <v>-0.25</v>
      </c>
      <c r="Q3" s="10" t="n">
        <v>1.77</v>
      </c>
      <c r="R3" s="10">
        <f>(H3-I3)-(F3-G3)</f>
        <v/>
      </c>
      <c r="S3" s="10">
        <f>(H3+I3)-(F3+G3)</f>
        <v/>
      </c>
      <c r="T3" s="10" t="n">
        <v>0.08</v>
      </c>
      <c r="U3" s="10" t="n">
        <v>0.59</v>
      </c>
      <c r="V3" s="10" t="n">
        <v>-0.51</v>
      </c>
      <c r="W3" s="10" t="n">
        <v>0.78</v>
      </c>
      <c r="X3" s="10" t="n">
        <v>1.75</v>
      </c>
      <c r="Z3" s="4" t="inlineStr">
        <is>
          <t>Games vs expected</t>
        </is>
      </c>
      <c r="AA3" s="4" t="inlineStr">
        <is>
          <t>Above</t>
        </is>
      </c>
      <c r="AB3" s="4" t="inlineStr">
        <is>
          <t>Below</t>
        </is>
      </c>
    </row>
    <row r="4">
      <c r="A4" s="6" t="inlineStr">
        <is>
          <t>2026-08-29</t>
        </is>
      </c>
      <c r="B4" s="6" t="inlineStr">
        <is>
          <t>Dundee United</t>
        </is>
      </c>
      <c r="C4" s="6" t="inlineStr">
        <is>
          <t>Home</t>
        </is>
      </c>
      <c r="D4" s="6" t="n">
        <v>0</v>
      </c>
      <c r="E4" s="6" t="n">
        <v>4</v>
      </c>
      <c r="F4" s="9" t="n">
        <v>1.46</v>
      </c>
      <c r="G4" s="9" t="n">
        <v>1.35</v>
      </c>
      <c r="H4" s="9" t="n">
        <v>1.13</v>
      </c>
      <c r="I4" s="9" t="n">
        <v>3.42</v>
      </c>
      <c r="J4" s="9" t="n">
        <v>-0.33</v>
      </c>
      <c r="K4" s="9" t="n">
        <v>2.07</v>
      </c>
      <c r="L4" s="9" t="n">
        <v>-0.22</v>
      </c>
      <c r="M4" s="9" t="n">
        <v>1.86</v>
      </c>
      <c r="N4" s="9" t="n">
        <v>-0.2</v>
      </c>
      <c r="O4" s="9" t="n">
        <v>2.03</v>
      </c>
      <c r="P4" s="9" t="n">
        <v>-0.24</v>
      </c>
      <c r="Q4" s="9" t="n">
        <v>1.86</v>
      </c>
      <c r="R4" s="9">
        <f>(H4-I4)-(F4-G4)</f>
        <v/>
      </c>
      <c r="S4" s="9">
        <f>(H4+I4)-(F4+G4)</f>
        <v/>
      </c>
      <c r="T4" s="9" t="n">
        <v>0.37</v>
      </c>
      <c r="U4" s="9" t="n">
        <v>1.45</v>
      </c>
      <c r="V4" s="9" t="n">
        <v>-1.08</v>
      </c>
      <c r="W4" s="9" t="n">
        <v>1.14</v>
      </c>
      <c r="X4" s="9" t="n">
        <v>3.2</v>
      </c>
      <c r="Z4" s="6" t="inlineStr">
        <is>
          <t>xG For vs expected</t>
        </is>
      </c>
      <c r="AA4" s="5">
        <f>COUNTIF($J$2:$J$9,"&gt;0")</f>
        <v/>
      </c>
      <c r="AB4" s="5">
        <f>COUNTIF($J$2:$J$9,"&lt;0")</f>
        <v/>
      </c>
    </row>
    <row r="5">
      <c r="A5" s="8" t="inlineStr">
        <is>
          <t>2026-09-02</t>
        </is>
      </c>
      <c r="B5" s="8" t="inlineStr">
        <is>
          <t>St Mirren</t>
        </is>
      </c>
      <c r="C5" s="8" t="inlineStr">
        <is>
          <t>Home</t>
        </is>
      </c>
      <c r="D5" s="8" t="n">
        <v>0</v>
      </c>
      <c r="E5" s="8" t="n">
        <v>1</v>
      </c>
      <c r="F5" s="10" t="n">
        <v>1.33</v>
      </c>
      <c r="G5" s="10" t="n">
        <v>1.44</v>
      </c>
      <c r="H5" s="10" t="n">
        <v>0.41</v>
      </c>
      <c r="I5" s="10" t="n">
        <v>0.85</v>
      </c>
      <c r="J5" s="10" t="n">
        <v>-0.92</v>
      </c>
      <c r="K5" s="10" t="n">
        <v>-0.59</v>
      </c>
      <c r="L5" s="10" t="n">
        <v>-0.39</v>
      </c>
      <c r="M5" s="10" t="n">
        <v>1.25</v>
      </c>
      <c r="N5" s="10" t="n">
        <v>-1.31</v>
      </c>
      <c r="O5" s="10" t="n">
        <v>-0.97</v>
      </c>
      <c r="P5" s="10" t="n">
        <v>-0.51</v>
      </c>
      <c r="Q5" s="10" t="n">
        <v>1.15</v>
      </c>
      <c r="R5" s="10">
        <f>(H5-I5)-(F5-G5)</f>
        <v/>
      </c>
      <c r="S5" s="10">
        <f>(H5+I5)-(F5+G5)</f>
        <v/>
      </c>
      <c r="T5" s="10" t="n">
        <v>0.9</v>
      </c>
      <c r="U5" s="10" t="n">
        <v>1.3</v>
      </c>
      <c r="V5" s="10" t="n">
        <v>-0.4</v>
      </c>
      <c r="W5" s="10" t="n">
        <v>2.04</v>
      </c>
      <c r="X5" s="10" t="n">
        <v>4.5</v>
      </c>
      <c r="Z5" s="6" t="inlineStr">
        <is>
          <t>xG Against vs expected</t>
        </is>
      </c>
      <c r="AA5" s="5">
        <f>COUNTIF($K$2:$K$9,"&gt;0")</f>
        <v/>
      </c>
      <c r="AB5" s="5">
        <f>COUNTIF($K$2:$K$9,"&lt;0")</f>
        <v/>
      </c>
    </row>
    <row r="6">
      <c r="A6" s="6" t="inlineStr">
        <is>
          <t>2026-09-05</t>
        </is>
      </c>
      <c r="B6" s="6" t="inlineStr">
        <is>
          <t>Aberdeen</t>
        </is>
      </c>
      <c r="C6" s="6" t="inlineStr">
        <is>
          <t>Away</t>
        </is>
      </c>
      <c r="D6" s="6" t="n">
        <v>0</v>
      </c>
      <c r="E6" s="6" t="n">
        <v>0</v>
      </c>
      <c r="F6" s="9" t="n">
        <v>1.08</v>
      </c>
      <c r="G6" s="9" t="n">
        <v>1.88</v>
      </c>
      <c r="H6" s="9" t="n">
        <v>1.11</v>
      </c>
      <c r="I6" s="9" t="n">
        <v>1.08</v>
      </c>
      <c r="J6" s="9" t="n">
        <v>0.03</v>
      </c>
      <c r="K6" s="9" t="n">
        <v>-0.8</v>
      </c>
      <c r="L6" s="9" t="n">
        <v>-0.31</v>
      </c>
      <c r="M6" s="9" t="n">
        <v>0.84</v>
      </c>
      <c r="N6" s="9" t="n">
        <v>0.09</v>
      </c>
      <c r="O6" s="9" t="n">
        <v>-0.71</v>
      </c>
      <c r="P6" s="9" t="n">
        <v>-0.39</v>
      </c>
      <c r="Q6" s="9" t="n">
        <v>0.78</v>
      </c>
      <c r="R6" s="9">
        <f>(H6-I6)-(F6-G6)</f>
        <v/>
      </c>
      <c r="S6" s="9">
        <f>(H6+I6)-(F6+G6)</f>
        <v/>
      </c>
      <c r="T6" s="9" t="n">
        <v>1.38</v>
      </c>
      <c r="U6" s="9" t="n">
        <v>0.87</v>
      </c>
      <c r="V6" s="9" t="n">
        <v>0.51</v>
      </c>
      <c r="W6" s="9" t="n">
        <v>3.42</v>
      </c>
      <c r="X6" s="9" t="n">
        <v>5.37</v>
      </c>
      <c r="Z6" s="6" t="inlineStr">
        <is>
          <t>Goals For vs expected</t>
        </is>
      </c>
      <c r="AA6" s="5">
        <f>SUMPRODUCT(--($D$2:$D$9&gt;$F$2:$F$9))</f>
        <v/>
      </c>
      <c r="AB6" s="5">
        <f>SUMPRODUCT(--($D$2:$D$9&lt;$F$2:$F$9))</f>
        <v/>
      </c>
    </row>
    <row r="7">
      <c r="A7" s="8" t="inlineStr">
        <is>
          <t>2026-09-15</t>
        </is>
      </c>
      <c r="B7" s="8" t="inlineStr">
        <is>
          <t>Hibernian</t>
        </is>
      </c>
      <c r="C7" s="8" t="inlineStr">
        <is>
          <t>Away</t>
        </is>
      </c>
      <c r="D7" s="8" t="n">
        <v>1</v>
      </c>
      <c r="E7" s="8" t="n">
        <v>0</v>
      </c>
      <c r="F7" s="10" t="n">
        <v>0.97</v>
      </c>
      <c r="G7" s="10" t="n">
        <v>2.3</v>
      </c>
      <c r="H7" s="10" t="n">
        <v>2.21</v>
      </c>
      <c r="I7" s="10" t="n">
        <v>1.45</v>
      </c>
      <c r="J7" s="10" t="n">
        <v>1.24</v>
      </c>
      <c r="K7" s="10" t="n">
        <v>-0.85</v>
      </c>
      <c r="L7" s="10" t="n">
        <v>-0.05</v>
      </c>
      <c r="M7" s="10" t="n">
        <v>0.5600000000000001</v>
      </c>
      <c r="N7" s="10" t="n">
        <v>1.04</v>
      </c>
      <c r="O7" s="10" t="n">
        <v>-0.99</v>
      </c>
      <c r="P7" s="10" t="n">
        <v>-0.15</v>
      </c>
      <c r="Q7" s="10" t="n">
        <v>0.48</v>
      </c>
      <c r="R7" s="10">
        <f>(H7-I7)-(F7-G7)</f>
        <v/>
      </c>
      <c r="S7" s="10">
        <f>(H7+I7)-(F7+G7)</f>
        <v/>
      </c>
      <c r="T7" s="10" t="n">
        <v>1.85</v>
      </c>
      <c r="U7" s="10" t="n">
        <v>0.62</v>
      </c>
      <c r="V7" s="10" t="n">
        <v>1.23</v>
      </c>
      <c r="W7" s="10" t="n">
        <v>5.26</v>
      </c>
      <c r="X7" s="10" t="n">
        <v>5.99</v>
      </c>
      <c r="Z7" s="6" t="inlineStr">
        <is>
          <t>Goals Against vs expected</t>
        </is>
      </c>
      <c r="AA7" s="5">
        <f>SUMPRODUCT(--($E$2:$E$9&gt;$G$2:$G$9))</f>
        <v/>
      </c>
      <c r="AB7" s="5">
        <f>SUMPRODUCT(--($E$2:$E$9&lt;$G$2:$G$9))</f>
        <v/>
      </c>
    </row>
    <row r="8">
      <c r="A8" s="6" t="inlineStr">
        <is>
          <t>2026-09-19</t>
        </is>
      </c>
      <c r="B8" s="6" t="inlineStr">
        <is>
          <t>Heart of Midlothian</t>
        </is>
      </c>
      <c r="C8" s="6" t="inlineStr">
        <is>
          <t>Home</t>
        </is>
      </c>
      <c r="D8" s="6" t="n">
        <v>1</v>
      </c>
      <c r="E8" s="6" t="n">
        <v>1</v>
      </c>
      <c r="F8" s="9" t="n">
        <v>1.12</v>
      </c>
      <c r="G8" s="9" t="n">
        <v>2.04</v>
      </c>
      <c r="H8" s="9" t="n">
        <v>0.39</v>
      </c>
      <c r="I8" s="9" t="n">
        <v>1.92</v>
      </c>
      <c r="J8" s="9" t="n">
        <v>-0.73</v>
      </c>
      <c r="K8" s="9" t="n">
        <v>-0.12</v>
      </c>
      <c r="L8" s="9" t="n">
        <v>-0.12</v>
      </c>
      <c r="M8" s="9" t="n">
        <v>0.46</v>
      </c>
      <c r="N8" s="9" t="n">
        <v>-0.95</v>
      </c>
      <c r="O8" s="9" t="n">
        <v>-0.38</v>
      </c>
      <c r="P8" s="9" t="n">
        <v>-0.22</v>
      </c>
      <c r="Q8" s="9" t="n">
        <v>0.34</v>
      </c>
      <c r="R8" s="9">
        <f>(H8-I8)-(F8-G8)</f>
        <v/>
      </c>
      <c r="S8" s="9">
        <f>(H8+I8)-(F8+G8)</f>
        <v/>
      </c>
      <c r="T8" s="9" t="n">
        <v>0.39</v>
      </c>
      <c r="U8" s="9" t="n">
        <v>0.82</v>
      </c>
      <c r="V8" s="9" t="n">
        <v>-0.43</v>
      </c>
      <c r="W8" s="9" t="n">
        <v>5.65</v>
      </c>
      <c r="X8" s="9" t="n">
        <v>6.81</v>
      </c>
      <c r="Z8" s="12" t="inlineStr">
        <is>
          <t>For: Above = beat expectation. Against: Above = conceded more than expected (worse).</t>
        </is>
      </c>
    </row>
    <row r="9">
      <c r="A9" s="8" t="inlineStr">
        <is>
          <t>2026-10-10</t>
        </is>
      </c>
      <c r="B9" s="8" t="inlineStr">
        <is>
          <t>Rangers</t>
        </is>
      </c>
      <c r="C9" s="8" t="inlineStr">
        <is>
          <t>Away</t>
        </is>
      </c>
      <c r="D9" s="8" t="n">
        <v>1</v>
      </c>
      <c r="E9" s="8" t="n">
        <v>3</v>
      </c>
      <c r="F9" s="10" t="n">
        <v>0.68</v>
      </c>
      <c r="G9" s="10" t="n">
        <v>2.95</v>
      </c>
      <c r="H9" s="10" t="n">
        <v>1.25</v>
      </c>
      <c r="I9" s="10" t="n">
        <v>1.93</v>
      </c>
      <c r="J9" s="10" t="n">
        <v>0.57</v>
      </c>
      <c r="K9" s="10" t="n">
        <v>-1.02</v>
      </c>
      <c r="L9" s="10" t="n">
        <v>-0.02</v>
      </c>
      <c r="M9" s="10" t="n">
        <v>-0.22</v>
      </c>
      <c r="N9" s="10" t="n">
        <v>0.67</v>
      </c>
      <c r="O9" s="10" t="n">
        <v>-1.24</v>
      </c>
      <c r="P9" s="10" t="n">
        <v>-0.11</v>
      </c>
      <c r="Q9" s="10" t="n">
        <v>-0.38</v>
      </c>
      <c r="R9" s="10">
        <f>(H9-I9)-(F9-G9)</f>
        <v/>
      </c>
      <c r="S9" s="10">
        <f>(H9+I9)-(F9+G9)</f>
        <v/>
      </c>
      <c r="T9" s="10" t="n">
        <v>0.96</v>
      </c>
      <c r="U9" s="10" t="n">
        <v>0.28</v>
      </c>
      <c r="V9" s="10" t="n">
        <v>0.68</v>
      </c>
      <c r="W9" s="10" t="n">
        <v>6.61</v>
      </c>
      <c r="X9" s="10" t="n">
        <v>7.09</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Kilmarnock: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20" t="n">
        <v>7.5</v>
      </c>
      <c r="AH25" s="16" t="n"/>
    </row>
    <row r="26">
      <c r="A26" s="17" t="inlineStr">
        <is>
          <t>Median Total xG Delta</t>
        </is>
      </c>
      <c r="E26" s="19">
        <f>MEDIAN(S2:S9)</f>
        <v/>
      </c>
      <c r="AF26" s="6" t="inlineStr">
        <is>
          <t>2. Rangers</t>
        </is>
      </c>
      <c r="AG26" s="16" t="n"/>
      <c r="AH26" s="20" t="n">
        <v>19</v>
      </c>
    </row>
    <row r="27">
      <c r="A27" s="17" t="inlineStr">
        <is>
          <t>Current form (last 6, For)</t>
        </is>
      </c>
      <c r="E27" s="19">
        <f>L9</f>
        <v/>
      </c>
      <c r="AF27" s="6" t="inlineStr">
        <is>
          <t>3. Heart of Midlothian</t>
        </is>
      </c>
      <c r="AG27" s="24" t="n">
        <v>4.5</v>
      </c>
      <c r="AH27" s="16" t="n"/>
    </row>
    <row r="28">
      <c r="A28" s="17" t="inlineStr">
        <is>
          <t>Current form (last 6, Against)</t>
        </is>
      </c>
      <c r="E28" s="19">
        <f>M9</f>
        <v/>
      </c>
      <c r="AF28" s="6" t="inlineStr">
        <is>
          <t>4. Dundee</t>
        </is>
      </c>
      <c r="AG28" s="16" t="n"/>
      <c r="AH28" s="16" t="n"/>
    </row>
    <row r="29">
      <c r="A29" s="17" t="inlineStr">
        <is>
          <t>Current form (last 6, For, Adj)</t>
        </is>
      </c>
      <c r="E29" s="19">
        <f>P9</f>
        <v/>
      </c>
      <c r="AF29" s="6" t="inlineStr">
        <is>
          <t>5. St Johnstone</t>
        </is>
      </c>
      <c r="AG29" s="16" t="n"/>
      <c r="AH29" s="20" t="n">
        <v>3.6</v>
      </c>
    </row>
    <row r="30">
      <c r="A30" s="17" t="inlineStr">
        <is>
          <t>Current form (last 6, Against, Adj)</t>
        </is>
      </c>
      <c r="E30" s="19">
        <f>Q9</f>
        <v/>
      </c>
      <c r="AF30" s="6" t="inlineStr">
        <is>
          <t>6. Dundee United</t>
        </is>
      </c>
      <c r="AG30" s="20" t="n">
        <v>2.45</v>
      </c>
      <c r="AH30" s="16" t="n"/>
    </row>
    <row r="31">
      <c r="A31" s="17" t="inlineStr">
        <is>
          <t>Total xPts (Actual)</t>
        </is>
      </c>
      <c r="E31" s="19">
        <f>SUM(T2:T9)</f>
        <v/>
      </c>
      <c r="AF31" s="6" t="inlineStr">
        <is>
          <t>7. St Mirren</t>
        </is>
      </c>
      <c r="AG31" s="20" t="n">
        <v>2.63</v>
      </c>
      <c r="AH31" s="16" t="n"/>
    </row>
    <row r="32">
      <c r="A32" s="17" t="inlineStr">
        <is>
          <t>Total xPts (Market)</t>
        </is>
      </c>
      <c r="E32" s="19">
        <f>SUM(U2:U9)</f>
        <v/>
      </c>
      <c r="AF32" s="6" t="inlineStr">
        <is>
          <t>8. Aberdeen</t>
        </is>
      </c>
      <c r="AG32" s="16" t="n"/>
      <c r="AH32" s="24" t="n">
        <v>4.75</v>
      </c>
    </row>
    <row r="33">
      <c r="A33" s="17" t="inlineStr">
        <is>
          <t>Avg xPts Delta</t>
        </is>
      </c>
      <c r="E33" s="19">
        <f>AVERAGE(V2:V9)</f>
        <v/>
      </c>
      <c r="AF33" s="6" t="inlineStr">
        <is>
          <t>9. Motherwell</t>
        </is>
      </c>
      <c r="AG33" s="16" t="n"/>
      <c r="AH33" s="16" t="n"/>
    </row>
    <row r="34">
      <c r="AF34" s="6" t="inlineStr">
        <is>
          <t>10. Hibernian</t>
        </is>
      </c>
      <c r="AG34" s="16" t="n"/>
      <c r="AH34" s="21" t="n">
        <v>7</v>
      </c>
    </row>
    <row r="35">
      <c r="A35" s="11" t="inlineStr">
        <is>
          <t>Home / Away split</t>
        </is>
      </c>
      <c r="AF35" s="6" t="inlineStr">
        <is>
          <t>11. Falkirk</t>
        </is>
      </c>
      <c r="AG35" s="16" t="n"/>
      <c r="AH35" s="16"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22" t="inlineStr">
        <is>
          <t>12. Kilmarnock</t>
        </is>
      </c>
      <c r="AG36" s="23" t="n"/>
      <c r="AH36" s="23" t="n"/>
    </row>
    <row r="37">
      <c r="A37" s="17" t="inlineStr">
        <is>
          <t>Home</t>
        </is>
      </c>
      <c r="B37" s="17" t="n">
        <v>4</v>
      </c>
      <c r="C37" s="17" t="n">
        <v>2</v>
      </c>
      <c r="D37" s="17" t="n">
        <v>11</v>
      </c>
      <c r="E37" s="26" t="n">
        <v>-1.59</v>
      </c>
      <c r="F37" s="26" t="n">
        <v>-1.5</v>
      </c>
      <c r="G37" s="26" t="n">
        <v>0.61</v>
      </c>
      <c r="H37" s="26" t="n">
        <v>0.45</v>
      </c>
    </row>
    <row r="38">
      <c r="A38" s="17" t="inlineStr">
        <is>
          <t>Away</t>
        </is>
      </c>
      <c r="B38" s="17" t="n">
        <v>4</v>
      </c>
      <c r="C38" s="17" t="n">
        <v>5</v>
      </c>
      <c r="D38" s="17" t="n">
        <v>7</v>
      </c>
      <c r="E38" s="26" t="n">
        <v>0.93</v>
      </c>
      <c r="F38" s="26" t="n">
        <v>1.21</v>
      </c>
      <c r="G38" s="26" t="n">
        <v>-0.17</v>
      </c>
      <c r="H38" s="26" t="n">
        <v>-0.15</v>
      </c>
      <c r="AF38" s="27" t="inlineStr">
        <is>
          <t>Won</t>
        </is>
      </c>
    </row>
    <row r="39">
      <c r="A39" s="28" t="inlineStr">
        <is>
          <t>Total</t>
        </is>
      </c>
      <c r="B39" s="28" t="n">
        <v>8</v>
      </c>
      <c r="C39" s="28" t="n">
        <v>7</v>
      </c>
      <c r="D39" s="28" t="n">
        <v>18</v>
      </c>
      <c r="E39" s="29" t="n">
        <v>-0.34</v>
      </c>
      <c r="F39" s="29" t="n">
        <v>-0.47</v>
      </c>
      <c r="G39" s="29" t="n">
        <v>0.22</v>
      </c>
      <c r="H39" s="29" t="n">
        <v>-0.15</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Hibernian</t>
        </is>
      </c>
      <c r="C2" s="6" t="inlineStr">
        <is>
          <t>Away</t>
        </is>
      </c>
      <c r="D2" s="6" t="n">
        <v>2</v>
      </c>
      <c r="E2" s="6" t="n">
        <v>1</v>
      </c>
      <c r="F2" s="9" t="n">
        <v>1.25</v>
      </c>
      <c r="G2" s="9" t="n">
        <v>1.52</v>
      </c>
      <c r="H2" s="9" t="n">
        <v>2.19</v>
      </c>
      <c r="I2" s="9" t="n">
        <v>1.94</v>
      </c>
      <c r="J2" s="9" t="n">
        <v>0.9399999999999999</v>
      </c>
      <c r="K2" s="9" t="n">
        <v>0.42</v>
      </c>
      <c r="L2" s="9" t="n">
        <v>0.9399999999999999</v>
      </c>
      <c r="M2" s="9" t="n">
        <v>0.42</v>
      </c>
      <c r="N2" s="9" t="n">
        <v>0.71</v>
      </c>
      <c r="O2" s="9" t="n">
        <v>0.46</v>
      </c>
      <c r="P2" s="9" t="n">
        <v>0.71</v>
      </c>
      <c r="Q2" s="9" t="n">
        <v>0.46</v>
      </c>
      <c r="R2" s="9">
        <f>(H2-I2)-(F2-G2)</f>
        <v/>
      </c>
      <c r="S2" s="9">
        <f>(H2+I2)-(F2+G2)</f>
        <v/>
      </c>
      <c r="T2" s="9" t="n">
        <v>1.54</v>
      </c>
      <c r="U2" s="9" t="n">
        <v>1.19</v>
      </c>
      <c r="V2" s="9" t="n">
        <v>0.35</v>
      </c>
      <c r="W2" s="9" t="n">
        <v>1.54</v>
      </c>
      <c r="X2" s="9" t="n">
        <v>1.19</v>
      </c>
      <c r="Z2" s="12" t="inlineStr">
        <is>
          <t>Expected = the pre-match market xG (what the odds implied) for each side.</t>
        </is>
      </c>
    </row>
    <row r="3">
      <c r="A3" s="8" t="inlineStr">
        <is>
          <t>2026-08-09</t>
        </is>
      </c>
      <c r="B3" s="8" t="inlineStr">
        <is>
          <t>Falkirk</t>
        </is>
      </c>
      <c r="C3" s="8" t="inlineStr">
        <is>
          <t>Home</t>
        </is>
      </c>
      <c r="D3" s="8" t="n">
        <v>0</v>
      </c>
      <c r="E3" s="8" t="n">
        <v>0</v>
      </c>
      <c r="F3" s="10" t="n">
        <v>1.78</v>
      </c>
      <c r="G3" s="10" t="n">
        <v>1.1</v>
      </c>
      <c r="H3" s="10" t="n">
        <v>1.27</v>
      </c>
      <c r="I3" s="10" t="n">
        <v>0.55</v>
      </c>
      <c r="J3" s="10" t="n">
        <v>-0.51</v>
      </c>
      <c r="K3" s="10" t="n">
        <v>-0.55</v>
      </c>
      <c r="L3" s="10" t="n">
        <v>0.22</v>
      </c>
      <c r="M3" s="10" t="n">
        <v>-0.07000000000000001</v>
      </c>
      <c r="N3" s="10" t="n">
        <v>-0.74</v>
      </c>
      <c r="O3" s="10" t="n">
        <v>-0.61</v>
      </c>
      <c r="P3" s="10" t="n">
        <v>-0.02</v>
      </c>
      <c r="Q3" s="10" t="n">
        <v>-0.08</v>
      </c>
      <c r="R3" s="10">
        <f>(H3-I3)-(F3-G3)</f>
        <v/>
      </c>
      <c r="S3" s="10">
        <f>(H3+I3)-(F3+G3)</f>
        <v/>
      </c>
      <c r="T3" s="10" t="n">
        <v>1.92</v>
      </c>
      <c r="U3" s="10" t="n">
        <v>1.83</v>
      </c>
      <c r="V3" s="10" t="n">
        <v>0.1</v>
      </c>
      <c r="W3" s="10" t="n">
        <v>3.46</v>
      </c>
      <c r="X3" s="10" t="n">
        <v>3.02</v>
      </c>
      <c r="Z3" s="4" t="inlineStr">
        <is>
          <t>Games vs expected</t>
        </is>
      </c>
      <c r="AA3" s="4" t="inlineStr">
        <is>
          <t>Above</t>
        </is>
      </c>
      <c r="AB3" s="4" t="inlineStr">
        <is>
          <t>Below</t>
        </is>
      </c>
    </row>
    <row r="4">
      <c r="A4" s="6" t="inlineStr">
        <is>
          <t>2026-08-30</t>
        </is>
      </c>
      <c r="B4" s="6" t="inlineStr">
        <is>
          <t>St Mirren</t>
        </is>
      </c>
      <c r="C4" s="6" t="inlineStr">
        <is>
          <t>Away</t>
        </is>
      </c>
      <c r="D4" s="6" t="n">
        <v>3</v>
      </c>
      <c r="E4" s="6" t="n">
        <v>3</v>
      </c>
      <c r="F4" s="9" t="n">
        <v>1.27</v>
      </c>
      <c r="G4" s="9" t="n">
        <v>1.35</v>
      </c>
      <c r="H4" s="9" t="n">
        <v>2.45</v>
      </c>
      <c r="I4" s="9" t="n">
        <v>2.92</v>
      </c>
      <c r="J4" s="9" t="n">
        <v>1.18</v>
      </c>
      <c r="K4" s="9" t="n">
        <v>1.57</v>
      </c>
      <c r="L4" s="9" t="n">
        <v>0.54</v>
      </c>
      <c r="M4" s="9" t="n">
        <v>0.48</v>
      </c>
      <c r="N4" s="9" t="n">
        <v>1.09</v>
      </c>
      <c r="O4" s="9" t="n">
        <v>1.5</v>
      </c>
      <c r="P4" s="9" t="n">
        <v>0.35</v>
      </c>
      <c r="Q4" s="9" t="n">
        <v>0.45</v>
      </c>
      <c r="R4" s="9">
        <f>(H4-I4)-(F4-G4)</f>
        <v/>
      </c>
      <c r="S4" s="9">
        <f>(H4+I4)-(F4+G4)</f>
        <v/>
      </c>
      <c r="T4" s="9" t="n">
        <v>1.18</v>
      </c>
      <c r="U4" s="9" t="n">
        <v>1.31</v>
      </c>
      <c r="V4" s="9" t="n">
        <v>-0.14</v>
      </c>
      <c r="W4" s="9" t="n">
        <v>4.64</v>
      </c>
      <c r="X4" s="9" t="n">
        <v>4.33</v>
      </c>
      <c r="Z4" s="6" t="inlineStr">
        <is>
          <t>xG For vs expected</t>
        </is>
      </c>
      <c r="AA4" s="5">
        <f>COUNTIF($J$2:$J$9,"&gt;0")</f>
        <v/>
      </c>
      <c r="AB4" s="5">
        <f>COUNTIF($J$2:$J$9,"&lt;0")</f>
        <v/>
      </c>
    </row>
    <row r="5">
      <c r="A5" s="8" t="inlineStr">
        <is>
          <t>2026-09-02</t>
        </is>
      </c>
      <c r="B5" s="8" t="inlineStr">
        <is>
          <t>Dundee United</t>
        </is>
      </c>
      <c r="C5" s="8" t="inlineStr">
        <is>
          <t>Home</t>
        </is>
      </c>
      <c r="D5" s="8" t="n">
        <v>3</v>
      </c>
      <c r="E5" s="8" t="n">
        <v>0</v>
      </c>
      <c r="F5" s="10" t="n">
        <v>1.72</v>
      </c>
      <c r="G5" s="10" t="n">
        <v>1.19</v>
      </c>
      <c r="H5" s="10" t="n">
        <v>2.37</v>
      </c>
      <c r="I5" s="10" t="n">
        <v>0.16</v>
      </c>
      <c r="J5" s="10" t="n">
        <v>0.65</v>
      </c>
      <c r="K5" s="10" t="n">
        <v>-1.03</v>
      </c>
      <c r="L5" s="10" t="n">
        <v>0.57</v>
      </c>
      <c r="M5" s="10" t="n">
        <v>0.1</v>
      </c>
      <c r="N5" s="10" t="n">
        <v>0.92</v>
      </c>
      <c r="O5" s="10" t="n">
        <v>-1.52</v>
      </c>
      <c r="P5" s="10" t="n">
        <v>0.49</v>
      </c>
      <c r="Q5" s="10" t="n">
        <v>-0.04</v>
      </c>
      <c r="R5" s="10">
        <f>(H5-I5)-(F5-G5)</f>
        <v/>
      </c>
      <c r="S5" s="10">
        <f>(H5+I5)-(F5+G5)</f>
        <v/>
      </c>
      <c r="T5" s="10" t="n">
        <v>2.73</v>
      </c>
      <c r="U5" s="10" t="n">
        <v>1.73</v>
      </c>
      <c r="V5" s="10" t="n">
        <v>0.99</v>
      </c>
      <c r="W5" s="10" t="n">
        <v>7.37</v>
      </c>
      <c r="X5" s="10" t="n">
        <v>6.06</v>
      </c>
      <c r="Z5" s="6" t="inlineStr">
        <is>
          <t>xG Against vs expected</t>
        </is>
      </c>
      <c r="AA5" s="5">
        <f>COUNTIF($K$2:$K$9,"&gt;0")</f>
        <v/>
      </c>
      <c r="AB5" s="5">
        <f>COUNTIF($K$2:$K$9,"&lt;0")</f>
        <v/>
      </c>
    </row>
    <row r="6">
      <c r="A6" s="6" t="inlineStr">
        <is>
          <t>2026-09-05</t>
        </is>
      </c>
      <c r="B6" s="6" t="inlineStr">
        <is>
          <t>Rangers</t>
        </is>
      </c>
      <c r="C6" s="6" t="inlineStr">
        <is>
          <t>Away</t>
        </is>
      </c>
      <c r="D6" s="6" t="n">
        <v>0</v>
      </c>
      <c r="E6" s="6" t="n">
        <v>1</v>
      </c>
      <c r="F6" s="9" t="n">
        <v>0.89</v>
      </c>
      <c r="G6" s="9" t="n">
        <v>2.16</v>
      </c>
      <c r="H6" s="9" t="n">
        <v>0.7</v>
      </c>
      <c r="I6" s="9" t="n">
        <v>4.28</v>
      </c>
      <c r="J6" s="9" t="n">
        <v>-0.19</v>
      </c>
      <c r="K6" s="9" t="n">
        <v>2.12</v>
      </c>
      <c r="L6" s="9" t="n">
        <v>0.41</v>
      </c>
      <c r="M6" s="9" t="n">
        <v>0.51</v>
      </c>
      <c r="N6" s="9" t="n">
        <v>-0.19</v>
      </c>
      <c r="O6" s="9" t="n">
        <v>2.36</v>
      </c>
      <c r="P6" s="9" t="n">
        <v>0.36</v>
      </c>
      <c r="Q6" s="9" t="n">
        <v>0.44</v>
      </c>
      <c r="R6" s="9">
        <f>(H6-I6)-(F6-G6)</f>
        <v/>
      </c>
      <c r="S6" s="9">
        <f>(H6+I6)-(F6+G6)</f>
        <v/>
      </c>
      <c r="T6" s="9" t="n">
        <v>0.11</v>
      </c>
      <c r="U6" s="9" t="n">
        <v>0.62</v>
      </c>
      <c r="V6" s="9" t="n">
        <v>-0.51</v>
      </c>
      <c r="W6" s="9" t="n">
        <v>7.48</v>
      </c>
      <c r="X6" s="9" t="n">
        <v>6.68</v>
      </c>
      <c r="Z6" s="6" t="inlineStr">
        <is>
          <t>Goals For vs expected</t>
        </is>
      </c>
      <c r="AA6" s="5">
        <f>SUMPRODUCT(--($D$2:$D$9&gt;$F$2:$F$9))</f>
        <v/>
      </c>
      <c r="AB6" s="5">
        <f>SUMPRODUCT(--($D$2:$D$9&lt;$F$2:$F$9))</f>
        <v/>
      </c>
    </row>
    <row r="7">
      <c r="A7" s="8" t="inlineStr">
        <is>
          <t>2026-09-15</t>
        </is>
      </c>
      <c r="B7" s="8" t="inlineStr">
        <is>
          <t>Aberdeen</t>
        </is>
      </c>
      <c r="C7" s="8" t="inlineStr">
        <is>
          <t>Home</t>
        </is>
      </c>
      <c r="D7" s="8" t="n">
        <v>0</v>
      </c>
      <c r="E7" s="8" t="n">
        <v>4</v>
      </c>
      <c r="F7" s="10" t="n">
        <v>1.78</v>
      </c>
      <c r="G7" s="10" t="n">
        <v>1.13</v>
      </c>
      <c r="H7" s="10" t="n">
        <v>0.85</v>
      </c>
      <c r="I7" s="10" t="n">
        <v>0.9</v>
      </c>
      <c r="J7" s="10" t="n">
        <v>-0.93</v>
      </c>
      <c r="K7" s="10" t="n">
        <v>-0.23</v>
      </c>
      <c r="L7" s="10" t="n">
        <v>0.19</v>
      </c>
      <c r="M7" s="10" t="n">
        <v>0.38</v>
      </c>
      <c r="N7" s="10" t="n">
        <v>-1.01</v>
      </c>
      <c r="O7" s="10" t="n">
        <v>-0.06</v>
      </c>
      <c r="P7" s="10" t="n">
        <v>0.13</v>
      </c>
      <c r="Q7" s="10" t="n">
        <v>0.35</v>
      </c>
      <c r="R7" s="10">
        <f>(H7-I7)-(F7-G7)</f>
        <v/>
      </c>
      <c r="S7" s="10">
        <f>(H7+I7)-(F7+G7)</f>
        <v/>
      </c>
      <c r="T7" s="10" t="n">
        <v>1.29</v>
      </c>
      <c r="U7" s="10" t="n">
        <v>1.81</v>
      </c>
      <c r="V7" s="10" t="n">
        <v>-0.52</v>
      </c>
      <c r="W7" s="10" t="n">
        <v>8.77</v>
      </c>
      <c r="X7" s="10" t="n">
        <v>8.49</v>
      </c>
      <c r="Z7" s="6" t="inlineStr">
        <is>
          <t>Goals Against vs expected</t>
        </is>
      </c>
      <c r="AA7" s="5">
        <f>SUMPRODUCT(--($E$2:$E$9&gt;$G$2:$G$9))</f>
        <v/>
      </c>
      <c r="AB7" s="5">
        <f>SUMPRODUCT(--($E$2:$E$9&lt;$G$2:$G$9))</f>
        <v/>
      </c>
    </row>
    <row r="8">
      <c r="A8" s="6" t="inlineStr">
        <is>
          <t>2026-09-19</t>
        </is>
      </c>
      <c r="B8" s="6" t="inlineStr">
        <is>
          <t>Dundee</t>
        </is>
      </c>
      <c r="C8" s="6" t="inlineStr">
        <is>
          <t>Away</t>
        </is>
      </c>
      <c r="D8" s="6" t="n">
        <v>1</v>
      </c>
      <c r="E8" s="6" t="n">
        <v>2</v>
      </c>
      <c r="F8" s="9" t="n">
        <v>1.54</v>
      </c>
      <c r="G8" s="9" t="n">
        <v>1.31</v>
      </c>
      <c r="H8" s="9" t="n">
        <v>1.1</v>
      </c>
      <c r="I8" s="9" t="n">
        <v>1.38</v>
      </c>
      <c r="J8" s="9" t="n">
        <v>-0.44</v>
      </c>
      <c r="K8" s="9" t="n">
        <v>0.07000000000000001</v>
      </c>
      <c r="L8" s="9" t="n">
        <v>-0.04</v>
      </c>
      <c r="M8" s="9" t="n">
        <v>0.32</v>
      </c>
      <c r="N8" s="9" t="n">
        <v>-0.35</v>
      </c>
      <c r="O8" s="9" t="n">
        <v>-0.07000000000000001</v>
      </c>
      <c r="P8" s="9" t="n">
        <v>-0.05</v>
      </c>
      <c r="Q8" s="9" t="n">
        <v>0.27</v>
      </c>
      <c r="R8" s="9">
        <f>(H8-I8)-(F8-G8)</f>
        <v/>
      </c>
      <c r="S8" s="9">
        <f>(H8+I8)-(F8+G8)</f>
        <v/>
      </c>
      <c r="T8" s="9" t="n">
        <v>1.17</v>
      </c>
      <c r="U8" s="9" t="n">
        <v>1.53</v>
      </c>
      <c r="V8" s="9" t="n">
        <v>-0.36</v>
      </c>
      <c r="W8" s="9" t="n">
        <v>9.94</v>
      </c>
      <c r="X8" s="9" t="n">
        <v>10.03</v>
      </c>
      <c r="Z8" s="12" t="inlineStr">
        <is>
          <t>For: Above = beat expectation. Against: Above = conceded more than expected (worse).</t>
        </is>
      </c>
    </row>
    <row r="9">
      <c r="A9" s="8" t="inlineStr">
        <is>
          <t>2026-10-11</t>
        </is>
      </c>
      <c r="B9" s="8" t="inlineStr">
        <is>
          <t>Celtic</t>
        </is>
      </c>
      <c r="C9" s="8" t="inlineStr">
        <is>
          <t>Home</t>
        </is>
      </c>
      <c r="D9" s="8" t="n">
        <v>0</v>
      </c>
      <c r="E9" s="8" t="n">
        <v>2</v>
      </c>
      <c r="F9" s="10" t="n">
        <v>1.16</v>
      </c>
      <c r="G9" s="10" t="n">
        <v>2.19</v>
      </c>
      <c r="H9" s="10" t="n">
        <v>1.05</v>
      </c>
      <c r="I9" s="10" t="n">
        <v>2.85</v>
      </c>
      <c r="J9" s="10" t="n">
        <v>-0.11</v>
      </c>
      <c r="K9" s="10" t="n">
        <v>0.66</v>
      </c>
      <c r="L9" s="10" t="n">
        <v>0.03</v>
      </c>
      <c r="M9" s="10" t="n">
        <v>0.53</v>
      </c>
      <c r="N9" s="10" t="n">
        <v>-0.14</v>
      </c>
      <c r="O9" s="10" t="n">
        <v>0.34</v>
      </c>
      <c r="P9" s="10" t="n">
        <v>0.05</v>
      </c>
      <c r="Q9" s="10" t="n">
        <v>0.42</v>
      </c>
      <c r="R9" s="10">
        <f>(H9-I9)-(F9-G9)</f>
        <v/>
      </c>
      <c r="S9" s="10">
        <f>(H9+I9)-(F9+G9)</f>
        <v/>
      </c>
      <c r="T9" s="10" t="n">
        <v>0.48</v>
      </c>
      <c r="U9" s="10" t="n">
        <v>0.78</v>
      </c>
      <c r="V9" s="10" t="n">
        <v>-0.3</v>
      </c>
      <c r="W9" s="10" t="n">
        <v>10.42</v>
      </c>
      <c r="X9" s="10" t="n">
        <v>10.8</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Motherwell: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20" t="n">
        <v>5</v>
      </c>
      <c r="AH25" s="16" t="n"/>
    </row>
    <row r="26">
      <c r="A26" s="17" t="inlineStr">
        <is>
          <t>Median Total xG Delta</t>
        </is>
      </c>
      <c r="E26" s="19">
        <f>MEDIAN(S2:S9)</f>
        <v/>
      </c>
      <c r="AF26" s="6" t="inlineStr">
        <is>
          <t>2. Rangers</t>
        </is>
      </c>
      <c r="AG26" s="16" t="n"/>
      <c r="AH26" s="20" t="n">
        <v>7</v>
      </c>
    </row>
    <row r="27">
      <c r="A27" s="17" t="inlineStr">
        <is>
          <t>Current form (last 6, For)</t>
        </is>
      </c>
      <c r="E27" s="19">
        <f>L9</f>
        <v/>
      </c>
      <c r="AF27" s="6" t="inlineStr">
        <is>
          <t>3. Heart of Midlothian</t>
        </is>
      </c>
      <c r="AG27" s="16" t="n"/>
      <c r="AH27" s="16" t="n"/>
    </row>
    <row r="28">
      <c r="A28" s="17" t="inlineStr">
        <is>
          <t>Current form (last 6, Against)</t>
        </is>
      </c>
      <c r="E28" s="19">
        <f>M9</f>
        <v/>
      </c>
      <c r="AF28" s="6" t="inlineStr">
        <is>
          <t>4. Dundee</t>
        </is>
      </c>
      <c r="AG28" s="16" t="n"/>
      <c r="AH28" s="20" t="n">
        <v>2.25</v>
      </c>
    </row>
    <row r="29">
      <c r="A29" s="17" t="inlineStr">
        <is>
          <t>Current form (last 6, For, Adj)</t>
        </is>
      </c>
      <c r="E29" s="19">
        <f>P9</f>
        <v/>
      </c>
      <c r="AF29" s="6" t="inlineStr">
        <is>
          <t>5. St Johnstone</t>
        </is>
      </c>
      <c r="AG29" s="16" t="n"/>
      <c r="AH29" s="16" t="n"/>
    </row>
    <row r="30">
      <c r="A30" s="17" t="inlineStr">
        <is>
          <t>Current form (last 6, Against, Adj)</t>
        </is>
      </c>
      <c r="E30" s="19">
        <f>Q9</f>
        <v/>
      </c>
      <c r="AF30" s="6" t="inlineStr">
        <is>
          <t>6. Dundee United</t>
        </is>
      </c>
      <c r="AG30" s="21" t="n">
        <v>2.3</v>
      </c>
      <c r="AH30" s="16" t="n"/>
    </row>
    <row r="31">
      <c r="A31" s="17" t="inlineStr">
        <is>
          <t>Total xPts (Actual)</t>
        </is>
      </c>
      <c r="E31" s="19">
        <f>SUM(T2:T9)</f>
        <v/>
      </c>
      <c r="AF31" s="6" t="inlineStr">
        <is>
          <t>7. St Mirren</t>
        </is>
      </c>
      <c r="AG31" s="16" t="n"/>
      <c r="AH31" s="24" t="n">
        <v>2.7</v>
      </c>
    </row>
    <row r="32">
      <c r="A32" s="17" t="inlineStr">
        <is>
          <t>Total xPts (Market)</t>
        </is>
      </c>
      <c r="E32" s="19">
        <f>SUM(U2:U9)</f>
        <v/>
      </c>
      <c r="AF32" s="6" t="inlineStr">
        <is>
          <t>8. Aberdeen</t>
        </is>
      </c>
      <c r="AG32" s="20" t="n">
        <v>1.8</v>
      </c>
      <c r="AH32" s="16" t="n"/>
    </row>
    <row r="33">
      <c r="A33" s="17" t="inlineStr">
        <is>
          <t>Avg xPts Delta</t>
        </is>
      </c>
      <c r="E33" s="19">
        <f>AVERAGE(V2:V9)</f>
        <v/>
      </c>
      <c r="AF33" s="22" t="inlineStr">
        <is>
          <t>9. Motherwell</t>
        </is>
      </c>
      <c r="AG33" s="23" t="n"/>
      <c r="AH33" s="23" t="n"/>
    </row>
    <row r="34">
      <c r="AF34" s="6" t="inlineStr">
        <is>
          <t>10. Hibernian</t>
        </is>
      </c>
      <c r="AG34" s="16" t="n"/>
      <c r="AH34" s="21" t="n">
        <v>4</v>
      </c>
    </row>
    <row r="35">
      <c r="A35" s="11" t="inlineStr">
        <is>
          <t>Home / Away split</t>
        </is>
      </c>
      <c r="AF35" s="6" t="inlineStr">
        <is>
          <t>11. Falkirk</t>
        </is>
      </c>
      <c r="AG35" s="24" t="n">
        <v>1.8</v>
      </c>
      <c r="AH35" s="16"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16" t="n"/>
      <c r="AH36" s="16" t="n"/>
    </row>
    <row r="37">
      <c r="A37" s="17" t="inlineStr">
        <is>
          <t>Home</t>
        </is>
      </c>
      <c r="B37" s="17" t="n">
        <v>4</v>
      </c>
      <c r="C37" s="17" t="n">
        <v>3</v>
      </c>
      <c r="D37" s="17" t="n">
        <v>6</v>
      </c>
      <c r="E37" s="26" t="n">
        <v>0.07000000000000001</v>
      </c>
      <c r="F37" s="26" t="n">
        <v>-0.32</v>
      </c>
      <c r="G37" s="26" t="n">
        <v>-0.52</v>
      </c>
      <c r="H37" s="26" t="n">
        <v>-0.73</v>
      </c>
    </row>
    <row r="38">
      <c r="A38" s="17" t="inlineStr">
        <is>
          <t>Away</t>
        </is>
      </c>
      <c r="B38" s="17" t="n">
        <v>4</v>
      </c>
      <c r="C38" s="17" t="n">
        <v>6</v>
      </c>
      <c r="D38" s="17" t="n">
        <v>7</v>
      </c>
      <c r="E38" s="26" t="n">
        <v>-0.67</v>
      </c>
      <c r="F38" s="26" t="n">
        <v>-0.45</v>
      </c>
      <c r="G38" s="26" t="n">
        <v>1.42</v>
      </c>
      <c r="H38" s="26" t="n">
        <v>1.65</v>
      </c>
      <c r="AF38" s="27" t="inlineStr">
        <is>
          <t>Won</t>
        </is>
      </c>
    </row>
    <row r="39">
      <c r="A39" s="28" t="inlineStr">
        <is>
          <t>Total</t>
        </is>
      </c>
      <c r="B39" s="28" t="n">
        <v>8</v>
      </c>
      <c r="C39" s="28" t="n">
        <v>9</v>
      </c>
      <c r="D39" s="28" t="n">
        <v>13</v>
      </c>
      <c r="E39" s="29" t="n">
        <v>-0.3</v>
      </c>
      <c r="F39" s="29" t="n">
        <v>-0.45</v>
      </c>
      <c r="G39" s="29" t="n">
        <v>0.45</v>
      </c>
      <c r="H39" s="29" t="n">
        <v>0.09</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2026-07-31</t>
        </is>
      </c>
      <c r="B2" s="6" t="inlineStr">
        <is>
          <t>Dundee United</t>
        </is>
      </c>
      <c r="C2" s="6" t="inlineStr">
        <is>
          <t>Away</t>
        </is>
      </c>
      <c r="D2" s="6" t="n">
        <v>1</v>
      </c>
      <c r="E2" s="6" t="n">
        <v>1</v>
      </c>
      <c r="F2" s="9" t="n">
        <v>2.21</v>
      </c>
      <c r="G2" s="9" t="n">
        <v>1.05</v>
      </c>
      <c r="H2" s="9" t="n">
        <v>1.46</v>
      </c>
      <c r="I2" s="9" t="n">
        <v>1.64</v>
      </c>
      <c r="J2" s="9" t="n">
        <v>-0.75</v>
      </c>
      <c r="K2" s="9" t="n">
        <v>0.59</v>
      </c>
      <c r="L2" s="9" t="n">
        <v>-0.75</v>
      </c>
      <c r="M2" s="9" t="n">
        <v>0.59</v>
      </c>
      <c r="N2" s="9" t="n">
        <v>-0.68</v>
      </c>
      <c r="O2" s="9" t="n">
        <v>0.34</v>
      </c>
      <c r="P2" s="9" t="n">
        <v>-0.68</v>
      </c>
      <c r="Q2" s="9" t="n">
        <v>0.34</v>
      </c>
      <c r="R2" s="9">
        <f>(H2-I2)-(F2-G2)</f>
        <v/>
      </c>
      <c r="S2" s="9">
        <f>(H2+I2)-(F2+G2)</f>
        <v/>
      </c>
      <c r="T2" s="9" t="n">
        <v>1.26</v>
      </c>
      <c r="U2" s="9" t="n">
        <v>2.11</v>
      </c>
      <c r="V2" s="9" t="n">
        <v>-0.84</v>
      </c>
      <c r="W2" s="9" t="n">
        <v>1.26</v>
      </c>
      <c r="X2" s="9" t="n">
        <v>2.11</v>
      </c>
      <c r="Z2" s="12" t="inlineStr">
        <is>
          <t>Expected = the pre-match market xG (what the odds implied) for each side.</t>
        </is>
      </c>
    </row>
    <row r="3">
      <c r="A3" s="8" t="inlineStr">
        <is>
          <t>2026-08-09</t>
        </is>
      </c>
      <c r="B3" s="8" t="inlineStr">
        <is>
          <t>Hibernian</t>
        </is>
      </c>
      <c r="C3" s="8" t="inlineStr">
        <is>
          <t>Home</t>
        </is>
      </c>
      <c r="D3" s="8" t="n">
        <v>1</v>
      </c>
      <c r="E3" s="8" t="n">
        <v>2</v>
      </c>
      <c r="F3" s="10" t="n">
        <v>2.13</v>
      </c>
      <c r="G3" s="10" t="n">
        <v>1.02</v>
      </c>
      <c r="H3" s="10" t="n">
        <v>2.22</v>
      </c>
      <c r="I3" s="10" t="n">
        <v>1.7</v>
      </c>
      <c r="J3" s="10" t="n">
        <v>0.09</v>
      </c>
      <c r="K3" s="10" t="n">
        <v>0.68</v>
      </c>
      <c r="L3" s="10" t="n">
        <v>-0.33</v>
      </c>
      <c r="M3" s="10" t="n">
        <v>0.63</v>
      </c>
      <c r="N3" s="10" t="n">
        <v>-0.26</v>
      </c>
      <c r="O3" s="10" t="n">
        <v>0.75</v>
      </c>
      <c r="P3" s="10" t="n">
        <v>-0.47</v>
      </c>
      <c r="Q3" s="10" t="n">
        <v>0.55</v>
      </c>
      <c r="R3" s="10">
        <f>(H3-I3)-(F3-G3)</f>
        <v/>
      </c>
      <c r="S3" s="10">
        <f>(H3+I3)-(F3+G3)</f>
        <v/>
      </c>
      <c r="T3" s="10" t="n">
        <v>1.7</v>
      </c>
      <c r="U3" s="10" t="n">
        <v>2.08</v>
      </c>
      <c r="V3" s="10" t="n">
        <v>-0.38</v>
      </c>
      <c r="W3" s="10" t="n">
        <v>2.96</v>
      </c>
      <c r="X3" s="10" t="n">
        <v>4.19</v>
      </c>
      <c r="Z3" s="4" t="inlineStr">
        <is>
          <t>Games vs expected</t>
        </is>
      </c>
      <c r="AA3" s="4" t="inlineStr">
        <is>
          <t>Above</t>
        </is>
      </c>
      <c r="AB3" s="4" t="inlineStr">
        <is>
          <t>Below</t>
        </is>
      </c>
    </row>
    <row r="4">
      <c r="A4" s="6" t="inlineStr">
        <is>
          <t>2026-08-30</t>
        </is>
      </c>
      <c r="B4" s="6" t="inlineStr">
        <is>
          <t>Aberdeen</t>
        </is>
      </c>
      <c r="C4" s="6" t="inlineStr">
        <is>
          <t>Away</t>
        </is>
      </c>
      <c r="D4" s="6" t="n">
        <v>1</v>
      </c>
      <c r="E4" s="6" t="n">
        <v>0</v>
      </c>
      <c r="F4" s="9" t="n">
        <v>1.88</v>
      </c>
      <c r="G4" s="9" t="n">
        <v>1.14</v>
      </c>
      <c r="H4" s="9" t="n">
        <v>2.1</v>
      </c>
      <c r="I4" s="9" t="n">
        <v>0.35</v>
      </c>
      <c r="J4" s="9" t="n">
        <v>0.23</v>
      </c>
      <c r="K4" s="9" t="n">
        <v>-0.79</v>
      </c>
      <c r="L4" s="9" t="n">
        <v>-0.14</v>
      </c>
      <c r="M4" s="9" t="n">
        <v>0.16</v>
      </c>
      <c r="N4" s="9" t="n">
        <v>0.31</v>
      </c>
      <c r="O4" s="9" t="n">
        <v>-0.7</v>
      </c>
      <c r="P4" s="9" t="n">
        <v>-0.21</v>
      </c>
      <c r="Q4" s="9" t="n">
        <v>0.13</v>
      </c>
      <c r="R4" s="9">
        <f>(H4-I4)-(F4-G4)</f>
        <v/>
      </c>
      <c r="S4" s="9">
        <f>(H4+I4)-(F4+G4)</f>
        <v/>
      </c>
      <c r="T4" s="9" t="n">
        <v>2.52</v>
      </c>
      <c r="U4" s="9" t="n">
        <v>1.86</v>
      </c>
      <c r="V4" s="9" t="n">
        <v>0.66</v>
      </c>
      <c r="W4" s="9" t="n">
        <v>5.49</v>
      </c>
      <c r="X4" s="9" t="n">
        <v>6.05</v>
      </c>
      <c r="Z4" s="6" t="inlineStr">
        <is>
          <t>xG For vs expected</t>
        </is>
      </c>
      <c r="AA4" s="5">
        <f>COUNTIF($J$2:$J$9,"&gt;0")</f>
        <v/>
      </c>
      <c r="AB4" s="5">
        <f>COUNTIF($J$2:$J$9,"&lt;0")</f>
        <v/>
      </c>
    </row>
    <row r="5">
      <c r="A5" s="8" t="inlineStr">
        <is>
          <t>2026-09-02</t>
        </is>
      </c>
      <c r="B5" s="8" t="inlineStr">
        <is>
          <t>Falkirk</t>
        </is>
      </c>
      <c r="C5" s="8" t="inlineStr">
        <is>
          <t>Away</t>
        </is>
      </c>
      <c r="D5" s="8" t="n">
        <v>2</v>
      </c>
      <c r="E5" s="8" t="n">
        <v>1</v>
      </c>
      <c r="F5" s="10" t="n">
        <v>2.05</v>
      </c>
      <c r="G5" s="10" t="n">
        <v>1.05</v>
      </c>
      <c r="H5" s="10" t="n">
        <v>1.56</v>
      </c>
      <c r="I5" s="10" t="n">
        <v>1</v>
      </c>
      <c r="J5" s="10" t="n">
        <v>-0.49</v>
      </c>
      <c r="K5" s="10" t="n">
        <v>-0.05</v>
      </c>
      <c r="L5" s="10" t="n">
        <v>-0.23</v>
      </c>
      <c r="M5" s="10" t="n">
        <v>0.11</v>
      </c>
      <c r="N5" s="10" t="n">
        <v>-0.72</v>
      </c>
      <c r="O5" s="10" t="n">
        <v>-0.03</v>
      </c>
      <c r="P5" s="10" t="n">
        <v>-0.34</v>
      </c>
      <c r="Q5" s="10" t="n">
        <v>0.09</v>
      </c>
      <c r="R5" s="10">
        <f>(H5-I5)-(F5-G5)</f>
        <v/>
      </c>
      <c r="S5" s="10">
        <f>(H5+I5)-(F5+G5)</f>
        <v/>
      </c>
      <c r="T5" s="10" t="n">
        <v>1.76</v>
      </c>
      <c r="U5" s="10" t="n">
        <v>2.02</v>
      </c>
      <c r="V5" s="10" t="n">
        <v>-0.26</v>
      </c>
      <c r="W5" s="10" t="n">
        <v>7.25</v>
      </c>
      <c r="X5" s="10" t="n">
        <v>8.07</v>
      </c>
      <c r="Z5" s="6" t="inlineStr">
        <is>
          <t>xG Against vs expected</t>
        </is>
      </c>
      <c r="AA5" s="5">
        <f>COUNTIF($K$2:$K$9,"&gt;0")</f>
        <v/>
      </c>
      <c r="AB5" s="5">
        <f>COUNTIF($K$2:$K$9,"&lt;0")</f>
        <v/>
      </c>
    </row>
    <row r="6">
      <c r="A6" s="6" t="inlineStr">
        <is>
          <t>2026-09-05</t>
        </is>
      </c>
      <c r="B6" s="6" t="inlineStr">
        <is>
          <t>Motherwell</t>
        </is>
      </c>
      <c r="C6" s="6" t="inlineStr">
        <is>
          <t>Home</t>
        </is>
      </c>
      <c r="D6" s="6" t="n">
        <v>1</v>
      </c>
      <c r="E6" s="6" t="n">
        <v>0</v>
      </c>
      <c r="F6" s="9" t="n">
        <v>2.16</v>
      </c>
      <c r="G6" s="9" t="n">
        <v>0.89</v>
      </c>
      <c r="H6" s="9" t="n">
        <v>4.28</v>
      </c>
      <c r="I6" s="9" t="n">
        <v>0.7</v>
      </c>
      <c r="J6" s="9" t="n">
        <v>2.12</v>
      </c>
      <c r="K6" s="9" t="n">
        <v>-0.19</v>
      </c>
      <c r="L6" s="9" t="n">
        <v>0.24</v>
      </c>
      <c r="M6" s="9" t="n">
        <v>0.05</v>
      </c>
      <c r="N6" s="9" t="n">
        <v>1.99</v>
      </c>
      <c r="O6" s="9" t="n">
        <v>-0.3</v>
      </c>
      <c r="P6" s="9" t="n">
        <v>0.13</v>
      </c>
      <c r="Q6" s="9" t="n">
        <v>0.01</v>
      </c>
      <c r="R6" s="9">
        <f>(H6-I6)-(F6-G6)</f>
        <v/>
      </c>
      <c r="S6" s="9">
        <f>(H6+I6)-(F6+G6)</f>
        <v/>
      </c>
      <c r="T6" s="9" t="n">
        <v>2.82</v>
      </c>
      <c r="U6" s="9" t="n">
        <v>2.19</v>
      </c>
      <c r="V6" s="9" t="n">
        <v>0.64</v>
      </c>
      <c r="W6" s="9" t="n">
        <v>10.07</v>
      </c>
      <c r="X6" s="9" t="n">
        <v>10.26</v>
      </c>
      <c r="Z6" s="6" t="inlineStr">
        <is>
          <t>Goals For vs expected</t>
        </is>
      </c>
      <c r="AA6" s="5">
        <f>SUMPRODUCT(--($D$2:$D$9&gt;$F$2:$F$9))</f>
        <v/>
      </c>
      <c r="AB6" s="5">
        <f>SUMPRODUCT(--($D$2:$D$9&lt;$F$2:$F$9))</f>
        <v/>
      </c>
    </row>
    <row r="7">
      <c r="A7" s="8" t="inlineStr">
        <is>
          <t>2026-09-09</t>
        </is>
      </c>
      <c r="B7" s="8" t="inlineStr">
        <is>
          <t>St Mirren</t>
        </is>
      </c>
      <c r="C7" s="8" t="inlineStr">
        <is>
          <t>Home</t>
        </is>
      </c>
      <c r="D7" s="8" t="n">
        <v>1</v>
      </c>
      <c r="E7" s="8" t="n">
        <v>0</v>
      </c>
      <c r="F7" s="10" t="n">
        <v>2.49</v>
      </c>
      <c r="G7" s="10" t="n">
        <v>0.9</v>
      </c>
      <c r="H7" s="10" t="n">
        <v>2.46</v>
      </c>
      <c r="I7" s="10" t="n">
        <v>1.26</v>
      </c>
      <c r="J7" s="10" t="n">
        <v>-0.03</v>
      </c>
      <c r="K7" s="10" t="n">
        <v>0.36</v>
      </c>
      <c r="L7" s="10" t="n">
        <v>0.19</v>
      </c>
      <c r="M7" s="10" t="n">
        <v>0.1</v>
      </c>
      <c r="N7" s="10" t="n">
        <v>-0.3</v>
      </c>
      <c r="O7" s="10" t="n">
        <v>0.12</v>
      </c>
      <c r="P7" s="10" t="n">
        <v>0.06</v>
      </c>
      <c r="Q7" s="10" t="n">
        <v>0.03</v>
      </c>
      <c r="R7" s="10">
        <f>(H7-I7)-(F7-G7)</f>
        <v/>
      </c>
      <c r="S7" s="10">
        <f>(H7+I7)-(F7+G7)</f>
        <v/>
      </c>
      <c r="T7" s="10" t="n">
        <v>2.09</v>
      </c>
      <c r="U7" s="10" t="n">
        <v>2.33</v>
      </c>
      <c r="V7" s="10" t="n">
        <v>-0.23</v>
      </c>
      <c r="W7" s="10" t="n">
        <v>12.17</v>
      </c>
      <c r="X7" s="10" t="n">
        <v>12.59</v>
      </c>
      <c r="Z7" s="6" t="inlineStr">
        <is>
          <t>Goals Against vs expected</t>
        </is>
      </c>
      <c r="AA7" s="5">
        <f>SUMPRODUCT(--($E$2:$E$9&gt;$G$2:$G$9))</f>
        <v/>
      </c>
      <c r="AB7" s="5">
        <f>SUMPRODUCT(--($E$2:$E$9&lt;$G$2:$G$9))</f>
        <v/>
      </c>
    </row>
    <row r="8">
      <c r="A8" s="6" t="inlineStr">
        <is>
          <t>2026-09-20</t>
        </is>
      </c>
      <c r="B8" s="6" t="inlineStr">
        <is>
          <t>Celtic</t>
        </is>
      </c>
      <c r="C8" s="6" t="inlineStr">
        <is>
          <t>Away</t>
        </is>
      </c>
      <c r="D8" s="6" t="n">
        <v>1</v>
      </c>
      <c r="E8" s="6" t="n">
        <v>0</v>
      </c>
      <c r="F8" s="9" t="n">
        <v>1.44</v>
      </c>
      <c r="G8" s="9" t="n">
        <v>1.73</v>
      </c>
      <c r="H8" s="9" t="n">
        <v>1.75</v>
      </c>
      <c r="I8" s="9" t="n">
        <v>0.39</v>
      </c>
      <c r="J8" s="9" t="n">
        <v>0.31</v>
      </c>
      <c r="K8" s="9" t="n">
        <v>-1.34</v>
      </c>
      <c r="L8" s="9" t="n">
        <v>0.37</v>
      </c>
      <c r="M8" s="9" t="n">
        <v>-0.22</v>
      </c>
      <c r="N8" s="9" t="n">
        <v>0.34</v>
      </c>
      <c r="O8" s="9" t="n">
        <v>-1.95</v>
      </c>
      <c r="P8" s="9" t="n">
        <v>0.23</v>
      </c>
      <c r="Q8" s="9" t="n">
        <v>-0.35</v>
      </c>
      <c r="R8" s="9">
        <f>(H8-I8)-(F8-G8)</f>
        <v/>
      </c>
      <c r="S8" s="9">
        <f>(H8+I8)-(F8+G8)</f>
        <v/>
      </c>
      <c r="T8" s="9" t="n">
        <v>2.35</v>
      </c>
      <c r="U8" s="9" t="n">
        <v>1.2</v>
      </c>
      <c r="V8" s="9" t="n">
        <v>1.15</v>
      </c>
      <c r="W8" s="9" t="n">
        <v>14.51</v>
      </c>
      <c r="X8" s="9" t="n">
        <v>13.78</v>
      </c>
      <c r="Z8" s="12" t="inlineStr">
        <is>
          <t>For: Above = beat expectation. Against: Above = conceded more than expected (worse).</t>
        </is>
      </c>
    </row>
    <row r="9">
      <c r="A9" s="8" t="inlineStr">
        <is>
          <t>2026-10-10</t>
        </is>
      </c>
      <c r="B9" s="8" t="inlineStr">
        <is>
          <t>Kilmarnock</t>
        </is>
      </c>
      <c r="C9" s="8" t="inlineStr">
        <is>
          <t>Home</t>
        </is>
      </c>
      <c r="D9" s="8" t="n">
        <v>3</v>
      </c>
      <c r="E9" s="8" t="n">
        <v>1</v>
      </c>
      <c r="F9" s="10" t="n">
        <v>2.95</v>
      </c>
      <c r="G9" s="10" t="n">
        <v>0.68</v>
      </c>
      <c r="H9" s="10" t="n">
        <v>1.93</v>
      </c>
      <c r="I9" s="10" t="n">
        <v>1.25</v>
      </c>
      <c r="J9" s="10" t="n">
        <v>-1.02</v>
      </c>
      <c r="K9" s="10" t="n">
        <v>0.57</v>
      </c>
      <c r="L9" s="10" t="n">
        <v>0.19</v>
      </c>
      <c r="M9" s="10" t="n">
        <v>-0.24</v>
      </c>
      <c r="N9" s="10" t="n">
        <v>-1.49</v>
      </c>
      <c r="O9" s="10" t="n">
        <v>0.72</v>
      </c>
      <c r="P9" s="10" t="n">
        <v>0.02</v>
      </c>
      <c r="Q9" s="10" t="n">
        <v>-0.36</v>
      </c>
      <c r="R9" s="10">
        <f>(H9-I9)-(F9-G9)</f>
        <v/>
      </c>
      <c r="S9" s="10">
        <f>(H9+I9)-(F9+G9)</f>
        <v/>
      </c>
      <c r="T9" s="10" t="n">
        <v>1.82</v>
      </c>
      <c r="U9" s="10" t="n">
        <v>2.6</v>
      </c>
      <c r="V9" s="10" t="n">
        <v>-0.78</v>
      </c>
      <c r="W9" s="10" t="n">
        <v>16.33</v>
      </c>
      <c r="X9" s="10" t="n">
        <v>16.39</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Rangers: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16" t="n"/>
      <c r="AH25" s="21" t="n">
        <v>3.1</v>
      </c>
    </row>
    <row r="26">
      <c r="A26" s="17" t="inlineStr">
        <is>
          <t>Median Total xG Delta</t>
        </is>
      </c>
      <c r="E26" s="19">
        <f>MEDIAN(S2:S9)</f>
        <v/>
      </c>
      <c r="AF26" s="22" t="inlineStr">
        <is>
          <t>2. Rangers</t>
        </is>
      </c>
      <c r="AG26" s="23" t="n"/>
      <c r="AH26" s="23" t="n"/>
    </row>
    <row r="27">
      <c r="A27" s="17" t="inlineStr">
        <is>
          <t>Current form (last 6, For)</t>
        </is>
      </c>
      <c r="E27" s="19">
        <f>L9</f>
        <v/>
      </c>
      <c r="AF27" s="6" t="inlineStr">
        <is>
          <t>3. Heart of Midlothian</t>
        </is>
      </c>
      <c r="AG27" s="16" t="n"/>
      <c r="AH27" s="16" t="n"/>
    </row>
    <row r="28">
      <c r="A28" s="17" t="inlineStr">
        <is>
          <t>Current form (last 6, Against)</t>
        </is>
      </c>
      <c r="E28" s="19">
        <f>M9</f>
        <v/>
      </c>
      <c r="AF28" s="6" t="inlineStr">
        <is>
          <t>4. Dundee</t>
        </is>
      </c>
      <c r="AG28" s="16" t="n"/>
      <c r="AH28" s="16" t="n"/>
    </row>
    <row r="29">
      <c r="A29" s="17" t="inlineStr">
        <is>
          <t>Current form (last 6, For, Adj)</t>
        </is>
      </c>
      <c r="E29" s="19">
        <f>P9</f>
        <v/>
      </c>
      <c r="AF29" s="6" t="inlineStr">
        <is>
          <t>5. St Johnstone</t>
        </is>
      </c>
      <c r="AG29" s="16" t="n"/>
      <c r="AH29" s="16" t="n"/>
    </row>
    <row r="30">
      <c r="A30" s="17" t="inlineStr">
        <is>
          <t>Current form (last 6, Against, Adj)</t>
        </is>
      </c>
      <c r="E30" s="19">
        <f>Q9</f>
        <v/>
      </c>
      <c r="AF30" s="6" t="inlineStr">
        <is>
          <t>6. Dundee United</t>
        </is>
      </c>
      <c r="AG30" s="16" t="n"/>
      <c r="AH30" s="24" t="n">
        <v>1.67</v>
      </c>
    </row>
    <row r="31">
      <c r="A31" s="17" t="inlineStr">
        <is>
          <t>Total xPts (Actual)</t>
        </is>
      </c>
      <c r="E31" s="19">
        <f>SUM(T2:T9)</f>
        <v/>
      </c>
      <c r="AF31" s="6" t="inlineStr">
        <is>
          <t>7. St Mirren</t>
        </is>
      </c>
      <c r="AG31" s="21" t="n">
        <v>1.18</v>
      </c>
      <c r="AH31" s="16" t="n"/>
    </row>
    <row r="32">
      <c r="A32" s="17" t="inlineStr">
        <is>
          <t>Total xPts (Market)</t>
        </is>
      </c>
      <c r="E32" s="19">
        <f>SUM(U2:U9)</f>
        <v/>
      </c>
      <c r="AF32" s="6" t="inlineStr">
        <is>
          <t>8. Aberdeen</t>
        </is>
      </c>
      <c r="AG32" s="16" t="n"/>
      <c r="AH32" s="21" t="n">
        <v>1.8</v>
      </c>
    </row>
    <row r="33">
      <c r="A33" s="17" t="inlineStr">
        <is>
          <t>Avg xPts Delta</t>
        </is>
      </c>
      <c r="E33" s="19">
        <f>AVERAGE(V2:V9)</f>
        <v/>
      </c>
      <c r="AF33" s="6" t="inlineStr">
        <is>
          <t>9. Motherwell</t>
        </is>
      </c>
      <c r="AG33" s="21" t="n">
        <v>1.36</v>
      </c>
      <c r="AH33" s="16" t="n"/>
    </row>
    <row r="34">
      <c r="AF34" s="6" t="inlineStr">
        <is>
          <t>10. Hibernian</t>
        </is>
      </c>
      <c r="AG34" s="20" t="n">
        <v>1.33</v>
      </c>
      <c r="AH34" s="16" t="n"/>
    </row>
    <row r="35">
      <c r="A35" s="11" t="inlineStr">
        <is>
          <t>Home / Away split</t>
        </is>
      </c>
      <c r="AF35" s="6" t="inlineStr">
        <is>
          <t>11. Falkirk</t>
        </is>
      </c>
      <c r="AG35" s="16" t="n"/>
      <c r="AH35" s="21" t="n">
        <v>1.44</v>
      </c>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21" t="n">
        <v>1.1</v>
      </c>
      <c r="AH36" s="16" t="n"/>
    </row>
    <row r="37">
      <c r="A37" s="17" t="inlineStr">
        <is>
          <t>Home</t>
        </is>
      </c>
      <c r="B37" s="17" t="n">
        <v>4</v>
      </c>
      <c r="C37" s="17" t="n">
        <v>6</v>
      </c>
      <c r="D37" s="17" t="n">
        <v>3</v>
      </c>
      <c r="E37" s="26" t="n">
        <v>-0.07000000000000001</v>
      </c>
      <c r="F37" s="26" t="n">
        <v>-0.49</v>
      </c>
      <c r="G37" s="26" t="n">
        <v>0.64</v>
      </c>
      <c r="H37" s="26" t="n">
        <v>0.55</v>
      </c>
    </row>
    <row r="38">
      <c r="A38" s="17" t="inlineStr">
        <is>
          <t>Away</t>
        </is>
      </c>
      <c r="B38" s="17" t="n">
        <v>4</v>
      </c>
      <c r="C38" s="17" t="n">
        <v>5</v>
      </c>
      <c r="D38" s="17" t="n">
        <v>2</v>
      </c>
      <c r="E38" s="26" t="n">
        <v>0.22</v>
      </c>
      <c r="F38" s="26" t="n">
        <v>0.29</v>
      </c>
      <c r="G38" s="26" t="n">
        <v>-0.57</v>
      </c>
      <c r="H38" s="26" t="n">
        <v>-0.55</v>
      </c>
      <c r="AF38" s="27" t="inlineStr">
        <is>
          <t>Won</t>
        </is>
      </c>
    </row>
    <row r="39">
      <c r="A39" s="28" t="inlineStr">
        <is>
          <t>Total</t>
        </is>
      </c>
      <c r="B39" s="28" t="n">
        <v>8</v>
      </c>
      <c r="C39" s="28" t="n">
        <v>11</v>
      </c>
      <c r="D39" s="28" t="n">
        <v>5</v>
      </c>
      <c r="E39" s="29" t="n">
        <v>0.08</v>
      </c>
      <c r="F39" s="29" t="n">
        <v>-0.42</v>
      </c>
      <c r="G39" s="29" t="n">
        <v>0.04</v>
      </c>
      <c r="H39" s="29" t="n">
        <v>-0.31</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2026-08-02</t>
        </is>
      </c>
      <c r="B2" s="6" t="inlineStr">
        <is>
          <t>Kilmarnock</t>
        </is>
      </c>
      <c r="C2" s="6" t="inlineStr">
        <is>
          <t>Home</t>
        </is>
      </c>
      <c r="D2" s="6" t="n">
        <v>4</v>
      </c>
      <c r="E2" s="6" t="n">
        <v>3</v>
      </c>
      <c r="F2" s="9" t="n">
        <v>1.55</v>
      </c>
      <c r="G2" s="9" t="n">
        <v>1.24</v>
      </c>
      <c r="H2" s="9" t="n">
        <v>2.03</v>
      </c>
      <c r="I2" s="9" t="n">
        <v>0.92</v>
      </c>
      <c r="J2" s="9" t="n">
        <v>0.48</v>
      </c>
      <c r="K2" s="9" t="n">
        <v>-0.32</v>
      </c>
      <c r="L2" s="9" t="n">
        <v>0.48</v>
      </c>
      <c r="M2" s="9" t="n">
        <v>-0.32</v>
      </c>
      <c r="N2" s="9" t="n">
        <v>0.23</v>
      </c>
      <c r="O2" s="9" t="n">
        <v>-0.3</v>
      </c>
      <c r="P2" s="9" t="n">
        <v>0.23</v>
      </c>
      <c r="Q2" s="9" t="n">
        <v>-0.3</v>
      </c>
      <c r="R2" s="9">
        <f>(H2-I2)-(F2-G2)</f>
        <v/>
      </c>
      <c r="S2" s="9">
        <f>(H2+I2)-(F2+G2)</f>
        <v/>
      </c>
      <c r="T2" s="9" t="n">
        <v>2.1</v>
      </c>
      <c r="U2" s="9" t="n">
        <v>1.59</v>
      </c>
      <c r="V2" s="9" t="n">
        <v>0.51</v>
      </c>
      <c r="W2" s="9" t="n">
        <v>2.1</v>
      </c>
      <c r="X2" s="9" t="n">
        <v>1.59</v>
      </c>
      <c r="Z2" s="12" t="inlineStr">
        <is>
          <t>Expected = the pre-match market xG (what the odds implied) for each side.</t>
        </is>
      </c>
    </row>
    <row r="3">
      <c r="A3" s="8" t="inlineStr">
        <is>
          <t>2026-08-08</t>
        </is>
      </c>
      <c r="B3" s="8" t="inlineStr">
        <is>
          <t>St Mirren</t>
        </is>
      </c>
      <c r="C3" s="8" t="inlineStr">
        <is>
          <t>Away</t>
        </is>
      </c>
      <c r="D3" s="8" t="n">
        <v>0</v>
      </c>
      <c r="E3" s="8" t="n">
        <v>1</v>
      </c>
      <c r="F3" s="10" t="n">
        <v>1.23</v>
      </c>
      <c r="G3" s="10" t="n">
        <v>1.48</v>
      </c>
      <c r="H3" s="10" t="n">
        <v>1.17</v>
      </c>
      <c r="I3" s="10" t="n">
        <v>1.58</v>
      </c>
      <c r="J3" s="10" t="n">
        <v>-0.06</v>
      </c>
      <c r="K3" s="10" t="n">
        <v>0.1</v>
      </c>
      <c r="L3" s="10" t="n">
        <v>0.21</v>
      </c>
      <c r="M3" s="10" t="n">
        <v>-0.11</v>
      </c>
      <c r="N3" s="10" t="n">
        <v>-0.33</v>
      </c>
      <c r="O3" s="10" t="n">
        <v>-0.18</v>
      </c>
      <c r="P3" s="10" t="n">
        <v>-0.05</v>
      </c>
      <c r="Q3" s="10" t="n">
        <v>-0.24</v>
      </c>
      <c r="R3" s="10">
        <f>(H3-I3)-(F3-G3)</f>
        <v/>
      </c>
      <c r="S3" s="10">
        <f>(H3+I3)-(F3+G3)</f>
        <v/>
      </c>
      <c r="T3" s="10" t="n">
        <v>1.1</v>
      </c>
      <c r="U3" s="10" t="n">
        <v>1.2</v>
      </c>
      <c r="V3" s="10" t="n">
        <v>-0.11</v>
      </c>
      <c r="W3" s="10" t="n">
        <v>3.2</v>
      </c>
      <c r="X3" s="10" t="n">
        <v>2.79</v>
      </c>
      <c r="Z3" s="4" t="inlineStr">
        <is>
          <t>Games vs expected</t>
        </is>
      </c>
      <c r="AA3" s="4" t="inlineStr">
        <is>
          <t>Above</t>
        </is>
      </c>
      <c r="AB3" s="4" t="inlineStr">
        <is>
          <t>Below</t>
        </is>
      </c>
    </row>
    <row r="4">
      <c r="A4" s="6" t="inlineStr">
        <is>
          <t>2026-08-29</t>
        </is>
      </c>
      <c r="B4" s="6" t="inlineStr">
        <is>
          <t>Heart of Midlothian</t>
        </is>
      </c>
      <c r="C4" s="6" t="inlineStr">
        <is>
          <t>Away</t>
        </is>
      </c>
      <c r="D4" s="6" t="n">
        <v>1</v>
      </c>
      <c r="E4" s="6" t="n">
        <v>2</v>
      </c>
      <c r="F4" s="9" t="n">
        <v>1.03</v>
      </c>
      <c r="G4" s="9" t="n">
        <v>1.82</v>
      </c>
      <c r="H4" s="9" t="n">
        <v>1.28</v>
      </c>
      <c r="I4" s="9" t="n">
        <v>2.2</v>
      </c>
      <c r="J4" s="9" t="n">
        <v>0.25</v>
      </c>
      <c r="K4" s="9" t="n">
        <v>0.38</v>
      </c>
      <c r="L4" s="9" t="n">
        <v>0.22</v>
      </c>
      <c r="M4" s="9" t="n">
        <v>0.06</v>
      </c>
      <c r="N4" s="9" t="n">
        <v>0.16</v>
      </c>
      <c r="O4" s="9" t="n">
        <v>0.19</v>
      </c>
      <c r="P4" s="9" t="n">
        <v>0.02</v>
      </c>
      <c r="Q4" s="9" t="n">
        <v>-0.1</v>
      </c>
      <c r="R4" s="9">
        <f>(H4-I4)-(F4-G4)</f>
        <v/>
      </c>
      <c r="S4" s="9">
        <f>(H4+I4)-(F4+G4)</f>
        <v/>
      </c>
      <c r="T4" s="9" t="n">
        <v>0.85</v>
      </c>
      <c r="U4" s="9" t="n">
        <v>0.87</v>
      </c>
      <c r="V4" s="9" t="n">
        <v>-0.02</v>
      </c>
      <c r="W4" s="9" t="n">
        <v>4.04</v>
      </c>
      <c r="X4" s="9" t="n">
        <v>3.66</v>
      </c>
      <c r="Z4" s="6" t="inlineStr">
        <is>
          <t>xG For vs expected</t>
        </is>
      </c>
      <c r="AA4" s="5">
        <f>COUNTIF($J$2:$J$9,"&gt;0")</f>
        <v/>
      </c>
      <c r="AB4" s="5">
        <f>COUNTIF($J$2:$J$9,"&lt;0")</f>
        <v/>
      </c>
    </row>
    <row r="5">
      <c r="A5" s="8" t="inlineStr">
        <is>
          <t>2026-09-02</t>
        </is>
      </c>
      <c r="B5" s="8" t="inlineStr">
        <is>
          <t>Dundee</t>
        </is>
      </c>
      <c r="C5" s="8" t="inlineStr">
        <is>
          <t>Away</t>
        </is>
      </c>
      <c r="D5" s="8" t="n">
        <v>1</v>
      </c>
      <c r="E5" s="8" t="n">
        <v>1</v>
      </c>
      <c r="F5" s="10" t="n">
        <v>1.37</v>
      </c>
      <c r="G5" s="10" t="n">
        <v>1.37</v>
      </c>
      <c r="H5" s="10" t="n">
        <v>1.07</v>
      </c>
      <c r="I5" s="10" t="n">
        <v>2.04</v>
      </c>
      <c r="J5" s="10" t="n">
        <v>-0.3</v>
      </c>
      <c r="K5" s="10" t="n">
        <v>0.67</v>
      </c>
      <c r="L5" s="10" t="n">
        <v>0.09</v>
      </c>
      <c r="M5" s="10" t="n">
        <v>0.21</v>
      </c>
      <c r="N5" s="10" t="n">
        <v>-0.19</v>
      </c>
      <c r="O5" s="10" t="n">
        <v>0.61</v>
      </c>
      <c r="P5" s="10" t="n">
        <v>-0.03</v>
      </c>
      <c r="Q5" s="10" t="n">
        <v>0.08</v>
      </c>
      <c r="R5" s="10">
        <f>(H5-I5)-(F5-G5)</f>
        <v/>
      </c>
      <c r="S5" s="10">
        <f>(H5+I5)-(F5+G5)</f>
        <v/>
      </c>
      <c r="T5" s="10" t="n">
        <v>0.79</v>
      </c>
      <c r="U5" s="10" t="n">
        <v>1.37</v>
      </c>
      <c r="V5" s="10" t="n">
        <v>-0.58</v>
      </c>
      <c r="W5" s="10" t="n">
        <v>4.83</v>
      </c>
      <c r="X5" s="10" t="n">
        <v>5.03</v>
      </c>
      <c r="Z5" s="6" t="inlineStr">
        <is>
          <t>xG Against vs expected</t>
        </is>
      </c>
      <c r="AA5" s="5">
        <f>COUNTIF($K$2:$K$9,"&gt;0")</f>
        <v/>
      </c>
      <c r="AB5" s="5">
        <f>COUNTIF($K$2:$K$9,"&lt;0")</f>
        <v/>
      </c>
    </row>
    <row r="6">
      <c r="A6" s="6" t="inlineStr">
        <is>
          <t>2026-09-06</t>
        </is>
      </c>
      <c r="B6" s="6" t="inlineStr">
        <is>
          <t>Hibernian</t>
        </is>
      </c>
      <c r="C6" s="6" t="inlineStr">
        <is>
          <t>Home</t>
        </is>
      </c>
      <c r="D6" s="6" t="n">
        <v>2</v>
      </c>
      <c r="E6" s="6" t="n">
        <v>1</v>
      </c>
      <c r="F6" s="9" t="n">
        <v>1.31</v>
      </c>
      <c r="G6" s="9" t="n">
        <v>1.4</v>
      </c>
      <c r="H6" s="9" t="n">
        <v>2.32</v>
      </c>
      <c r="I6" s="9" t="n">
        <v>1.61</v>
      </c>
      <c r="J6" s="9" t="n">
        <v>1.01</v>
      </c>
      <c r="K6" s="9" t="n">
        <v>0.21</v>
      </c>
      <c r="L6" s="9" t="n">
        <v>0.28</v>
      </c>
      <c r="M6" s="9" t="n">
        <v>0.21</v>
      </c>
      <c r="N6" s="9" t="n">
        <v>0.78</v>
      </c>
      <c r="O6" s="9" t="n">
        <v>0.22</v>
      </c>
      <c r="P6" s="9" t="n">
        <v>0.13</v>
      </c>
      <c r="Q6" s="9" t="n">
        <v>0.11</v>
      </c>
      <c r="R6" s="9">
        <f>(H6-I6)-(F6-G6)</f>
        <v/>
      </c>
      <c r="S6" s="9">
        <f>(H6+I6)-(F6+G6)</f>
        <v/>
      </c>
      <c r="T6" s="9" t="n">
        <v>1.81</v>
      </c>
      <c r="U6" s="9" t="n">
        <v>1.31</v>
      </c>
      <c r="V6" s="9" t="n">
        <v>0.5</v>
      </c>
      <c r="W6" s="9" t="n">
        <v>6.64</v>
      </c>
      <c r="X6" s="9" t="n">
        <v>6.34</v>
      </c>
      <c r="Z6" s="6" t="inlineStr">
        <is>
          <t>Goals For vs expected</t>
        </is>
      </c>
      <c r="AA6" s="5">
        <f>SUMPRODUCT(--($D$2:$D$9&gt;$F$2:$F$9))</f>
        <v/>
      </c>
      <c r="AB6" s="5">
        <f>SUMPRODUCT(--($D$2:$D$9&lt;$F$2:$F$9))</f>
        <v/>
      </c>
    </row>
    <row r="7">
      <c r="A7" s="8" t="inlineStr">
        <is>
          <t>2026-09-09</t>
        </is>
      </c>
      <c r="B7" s="8" t="inlineStr">
        <is>
          <t>Celtic</t>
        </is>
      </c>
      <c r="C7" s="8" t="inlineStr">
        <is>
          <t>Home</t>
        </is>
      </c>
      <c r="D7" s="8" t="n">
        <v>0</v>
      </c>
      <c r="E7" s="8" t="n">
        <v>1</v>
      </c>
      <c r="F7" s="10" t="n">
        <v>1.05</v>
      </c>
      <c r="G7" s="10" t="n">
        <v>2.24</v>
      </c>
      <c r="H7" s="10" t="n">
        <v>0.6899999999999999</v>
      </c>
      <c r="I7" s="10" t="n">
        <v>1.8</v>
      </c>
      <c r="J7" s="10" t="n">
        <v>-0.36</v>
      </c>
      <c r="K7" s="10" t="n">
        <v>-0.44</v>
      </c>
      <c r="L7" s="10" t="n">
        <v>0.17</v>
      </c>
      <c r="M7" s="10" t="n">
        <v>0.1</v>
      </c>
      <c r="N7" s="10" t="n">
        <v>-0.42</v>
      </c>
      <c r="O7" s="10" t="n">
        <v>-0.91</v>
      </c>
      <c r="P7" s="10" t="n">
        <v>0.04</v>
      </c>
      <c r="Q7" s="10" t="n">
        <v>-0.06</v>
      </c>
      <c r="R7" s="10">
        <f>(H7-I7)-(F7-G7)</f>
        <v/>
      </c>
      <c r="S7" s="10">
        <f>(H7+I7)-(F7+G7)</f>
        <v/>
      </c>
      <c r="T7" s="10" t="n">
        <v>0.64</v>
      </c>
      <c r="U7" s="10" t="n">
        <v>0.6899999999999999</v>
      </c>
      <c r="V7" s="10" t="n">
        <v>-0.06</v>
      </c>
      <c r="W7" s="10" t="n">
        <v>7.28</v>
      </c>
      <c r="X7" s="10" t="n">
        <v>7.03</v>
      </c>
      <c r="Z7" s="6" t="inlineStr">
        <is>
          <t>Goals Against vs expected</t>
        </is>
      </c>
      <c r="AA7" s="5">
        <f>SUMPRODUCT(--($E$2:$E$9&gt;$G$2:$G$9))</f>
        <v/>
      </c>
      <c r="AB7" s="5">
        <f>SUMPRODUCT(--($E$2:$E$9&lt;$G$2:$G$9))</f>
        <v/>
      </c>
    </row>
    <row r="8">
      <c r="A8" s="6" t="inlineStr">
        <is>
          <t>2026-09-19</t>
        </is>
      </c>
      <c r="B8" s="6" t="inlineStr">
        <is>
          <t>Falkirk</t>
        </is>
      </c>
      <c r="C8" s="6" t="inlineStr">
        <is>
          <t>Home</t>
        </is>
      </c>
      <c r="D8" s="6" t="n">
        <v>1</v>
      </c>
      <c r="E8" s="6" t="n">
        <v>1</v>
      </c>
      <c r="F8" s="9" t="n">
        <v>1.58</v>
      </c>
      <c r="G8" s="9" t="n">
        <v>1.14</v>
      </c>
      <c r="H8" s="9" t="n">
        <v>0.9399999999999999</v>
      </c>
      <c r="I8" s="9" t="n">
        <v>1.29</v>
      </c>
      <c r="J8" s="9" t="n">
        <v>-0.64</v>
      </c>
      <c r="K8" s="9" t="n">
        <v>0.15</v>
      </c>
      <c r="L8" s="9" t="n">
        <v>-0.02</v>
      </c>
      <c r="M8" s="9" t="n">
        <v>0.18</v>
      </c>
      <c r="N8" s="9" t="n">
        <v>-0.9</v>
      </c>
      <c r="O8" s="9" t="n">
        <v>0.19</v>
      </c>
      <c r="P8" s="9" t="n">
        <v>-0.15</v>
      </c>
      <c r="Q8" s="9" t="n">
        <v>0.02</v>
      </c>
      <c r="R8" s="9">
        <f>(H8-I8)-(F8-G8)</f>
        <v/>
      </c>
      <c r="S8" s="9">
        <f>(H8+I8)-(F8+G8)</f>
        <v/>
      </c>
      <c r="T8" s="9" t="n">
        <v>1.1</v>
      </c>
      <c r="U8" s="9" t="n">
        <v>1.68</v>
      </c>
      <c r="V8" s="9" t="n">
        <v>-0.58</v>
      </c>
      <c r="W8" s="9" t="n">
        <v>8.369999999999999</v>
      </c>
      <c r="X8" s="9" t="n">
        <v>8.699999999999999</v>
      </c>
      <c r="Z8" s="12" t="inlineStr">
        <is>
          <t>For: Above = beat expectation. Against: Above = conceded more than expected (worse).</t>
        </is>
      </c>
    </row>
    <row r="9">
      <c r="A9" s="8" t="inlineStr">
        <is>
          <t>2026-10-11</t>
        </is>
      </c>
      <c r="B9" s="8" t="inlineStr">
        <is>
          <t>Aberdeen</t>
        </is>
      </c>
      <c r="C9" s="8" t="inlineStr">
        <is>
          <t>Away</t>
        </is>
      </c>
      <c r="D9" s="8" t="n">
        <v>1</v>
      </c>
      <c r="E9" s="8" t="n">
        <v>0</v>
      </c>
      <c r="F9" s="10" t="n">
        <v>1.16</v>
      </c>
      <c r="G9" s="10" t="n">
        <v>1.5</v>
      </c>
      <c r="H9" s="10" t="n">
        <v>1.25</v>
      </c>
      <c r="I9" s="10" t="n">
        <v>1.69</v>
      </c>
      <c r="J9" s="10" t="n">
        <v>0.09</v>
      </c>
      <c r="K9" s="10" t="n">
        <v>0.19</v>
      </c>
      <c r="L9" s="10" t="n">
        <v>0.01</v>
      </c>
      <c r="M9" s="10" t="n">
        <v>0.19</v>
      </c>
      <c r="N9" s="10" t="n">
        <v>0.16</v>
      </c>
      <c r="O9" s="10" t="n">
        <v>0.42</v>
      </c>
      <c r="P9" s="10" t="n">
        <v>-0.07000000000000001</v>
      </c>
      <c r="Q9" s="10" t="n">
        <v>0.12</v>
      </c>
      <c r="R9" s="10">
        <f>(H9-I9)-(F9-G9)</f>
        <v/>
      </c>
      <c r="S9" s="10">
        <f>(H9+I9)-(F9+G9)</f>
        <v/>
      </c>
      <c r="T9" s="10" t="n">
        <v>1.09</v>
      </c>
      <c r="U9" s="10" t="n">
        <v>1.14</v>
      </c>
      <c r="V9" s="10" t="n">
        <v>-0.04</v>
      </c>
      <c r="W9" s="10" t="n">
        <v>9.460000000000001</v>
      </c>
      <c r="X9" s="10" t="n">
        <v>9.84</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St Johnstone: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20" t="n">
        <v>5.5</v>
      </c>
      <c r="AH25" s="16" t="n"/>
    </row>
    <row r="26">
      <c r="A26" s="17" t="inlineStr">
        <is>
          <t>Median Total xG Delta</t>
        </is>
      </c>
      <c r="E26" s="19">
        <f>MEDIAN(S2:S9)</f>
        <v/>
      </c>
      <c r="AF26" s="6" t="inlineStr">
        <is>
          <t>2. Rangers</t>
        </is>
      </c>
      <c r="AG26" s="16" t="n"/>
      <c r="AH26" s="16" t="n"/>
    </row>
    <row r="27">
      <c r="A27" s="17" t="inlineStr">
        <is>
          <t>Current form (last 6, For)</t>
        </is>
      </c>
      <c r="E27" s="19">
        <f>L9</f>
        <v/>
      </c>
      <c r="AF27" s="6" t="inlineStr">
        <is>
          <t>3. Heart of Midlothian</t>
        </is>
      </c>
      <c r="AG27" s="16" t="n"/>
      <c r="AH27" s="20" t="n">
        <v>4.33</v>
      </c>
    </row>
    <row r="28">
      <c r="A28" s="17" t="inlineStr">
        <is>
          <t>Current form (last 6, Against)</t>
        </is>
      </c>
      <c r="E28" s="19">
        <f>M9</f>
        <v/>
      </c>
      <c r="AF28" s="6" t="inlineStr">
        <is>
          <t>4. Dundee</t>
        </is>
      </c>
      <c r="AG28" s="16" t="n"/>
      <c r="AH28" s="24" t="n">
        <v>2.5</v>
      </c>
    </row>
    <row r="29">
      <c r="A29" s="17" t="inlineStr">
        <is>
          <t>Current form (last 6, For, Adj)</t>
        </is>
      </c>
      <c r="E29" s="19">
        <f>P9</f>
        <v/>
      </c>
      <c r="AF29" s="22" t="inlineStr">
        <is>
          <t>5. St Johnstone</t>
        </is>
      </c>
      <c r="AG29" s="23" t="n"/>
      <c r="AH29" s="23" t="n"/>
    </row>
    <row r="30">
      <c r="A30" s="17" t="inlineStr">
        <is>
          <t>Current form (last 6, Against, Adj)</t>
        </is>
      </c>
      <c r="E30" s="19">
        <f>Q9</f>
        <v/>
      </c>
      <c r="AF30" s="6" t="inlineStr">
        <is>
          <t>6. Dundee United</t>
        </is>
      </c>
      <c r="AG30" s="16" t="n"/>
      <c r="AH30" s="16" t="n"/>
    </row>
    <row r="31">
      <c r="A31" s="17" t="inlineStr">
        <is>
          <t>Total xPts (Actual)</t>
        </is>
      </c>
      <c r="E31" s="19">
        <f>SUM(T2:T9)</f>
        <v/>
      </c>
      <c r="AF31" s="6" t="inlineStr">
        <is>
          <t>7. St Mirren</t>
        </is>
      </c>
      <c r="AG31" s="16" t="n"/>
      <c r="AH31" s="20" t="n">
        <v>2.63</v>
      </c>
    </row>
    <row r="32">
      <c r="A32" s="17" t="inlineStr">
        <is>
          <t>Total xPts (Market)</t>
        </is>
      </c>
      <c r="E32" s="19">
        <f>SUM(U2:U9)</f>
        <v/>
      </c>
      <c r="AF32" s="6" t="inlineStr">
        <is>
          <t>8. Aberdeen</t>
        </is>
      </c>
      <c r="AG32" s="16" t="n"/>
      <c r="AH32" s="21" t="n">
        <v>3.8</v>
      </c>
    </row>
    <row r="33">
      <c r="A33" s="17" t="inlineStr">
        <is>
          <t>Avg xPts Delta</t>
        </is>
      </c>
      <c r="E33" s="19">
        <f>AVERAGE(V2:V9)</f>
        <v/>
      </c>
      <c r="AF33" s="6" t="inlineStr">
        <is>
          <t>9. Motherwell</t>
        </is>
      </c>
      <c r="AG33" s="16" t="n"/>
      <c r="AH33" s="16" t="n"/>
    </row>
    <row r="34">
      <c r="AF34" s="6" t="inlineStr">
        <is>
          <t>10. Hibernian</t>
        </is>
      </c>
      <c r="AG34" s="21" t="n">
        <v>3.2</v>
      </c>
      <c r="AH34" s="16" t="n"/>
    </row>
    <row r="35">
      <c r="A35" s="11" t="inlineStr">
        <is>
          <t>Home / Away split</t>
        </is>
      </c>
      <c r="AF35" s="6" t="inlineStr">
        <is>
          <t>11. Falkirk</t>
        </is>
      </c>
      <c r="AG35" s="24" t="n">
        <v>2.15</v>
      </c>
      <c r="AH35" s="16" t="n"/>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21" t="n">
        <v>2</v>
      </c>
      <c r="AH36" s="16" t="n"/>
    </row>
    <row r="37">
      <c r="A37" s="17" t="inlineStr">
        <is>
          <t>Home</t>
        </is>
      </c>
      <c r="B37" s="17" t="n">
        <v>4</v>
      </c>
      <c r="C37" s="17" t="n">
        <v>7</v>
      </c>
      <c r="D37" s="17" t="n">
        <v>6</v>
      </c>
      <c r="E37" s="26" t="n">
        <v>0.22</v>
      </c>
      <c r="F37" s="26" t="n">
        <v>0.44</v>
      </c>
      <c r="G37" s="26" t="n">
        <v>0.02</v>
      </c>
      <c r="H37" s="26" t="n">
        <v>-0.17</v>
      </c>
    </row>
    <row r="38">
      <c r="A38" s="17" t="inlineStr">
        <is>
          <t>Away</t>
        </is>
      </c>
      <c r="B38" s="17" t="n">
        <v>4</v>
      </c>
      <c r="C38" s="17" t="n">
        <v>3</v>
      </c>
      <c r="D38" s="17" t="n">
        <v>4</v>
      </c>
      <c r="E38" s="26" t="n">
        <v>-0.34</v>
      </c>
      <c r="F38" s="26" t="n">
        <v>-0.15</v>
      </c>
      <c r="G38" s="26" t="n">
        <v>0.33</v>
      </c>
      <c r="H38" s="26" t="n">
        <v>0.32</v>
      </c>
      <c r="AF38" s="27" t="inlineStr">
        <is>
          <t>Won</t>
        </is>
      </c>
    </row>
    <row r="39">
      <c r="A39" s="28" t="inlineStr">
        <is>
          <t>Total</t>
        </is>
      </c>
      <c r="B39" s="28" t="n">
        <v>8</v>
      </c>
      <c r="C39" s="28" t="n">
        <v>10</v>
      </c>
      <c r="D39" s="28" t="n">
        <v>10</v>
      </c>
      <c r="E39" s="29" t="n">
        <v>-0.06</v>
      </c>
      <c r="F39" s="29" t="n">
        <v>-0.12</v>
      </c>
      <c r="G39" s="29" t="n">
        <v>0.18</v>
      </c>
      <c r="H39" s="29" t="n">
        <v>0.22</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42"/>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2026-08-01</t>
        </is>
      </c>
      <c r="B2" s="6" t="inlineStr">
        <is>
          <t>Falkirk</t>
        </is>
      </c>
      <c r="C2" s="6" t="inlineStr">
        <is>
          <t>Away</t>
        </is>
      </c>
      <c r="D2" s="6" t="n">
        <v>2</v>
      </c>
      <c r="E2" s="6" t="n">
        <v>0</v>
      </c>
      <c r="F2" s="9" t="n">
        <v>1.17</v>
      </c>
      <c r="G2" s="9" t="n">
        <v>1.64</v>
      </c>
      <c r="H2" s="9" t="n">
        <v>1.57</v>
      </c>
      <c r="I2" s="9" t="n">
        <v>0.55</v>
      </c>
      <c r="J2" s="9" t="n">
        <v>0.4</v>
      </c>
      <c r="K2" s="9" t="n">
        <v>-1.09</v>
      </c>
      <c r="L2" s="9" t="n">
        <v>0.4</v>
      </c>
      <c r="M2" s="9" t="n">
        <v>-1.09</v>
      </c>
      <c r="N2" s="9" t="n">
        <v>0.29</v>
      </c>
      <c r="O2" s="9" t="n">
        <v>-1.23</v>
      </c>
      <c r="P2" s="9" t="n">
        <v>0.29</v>
      </c>
      <c r="Q2" s="9" t="n">
        <v>-1.23</v>
      </c>
      <c r="R2" s="9">
        <f>(H2-I2)-(F2-G2)</f>
        <v/>
      </c>
      <c r="S2" s="9">
        <f>(H2+I2)-(F2+G2)</f>
        <v/>
      </c>
      <c r="T2" s="9" t="n">
        <v>2.12</v>
      </c>
      <c r="U2" s="9" t="n">
        <v>1.06</v>
      </c>
      <c r="V2" s="9" t="n">
        <v>1.06</v>
      </c>
      <c r="W2" s="9" t="n">
        <v>2.12</v>
      </c>
      <c r="X2" s="9" t="n">
        <v>1.06</v>
      </c>
      <c r="Z2" s="12" t="inlineStr">
        <is>
          <t>Expected = the pre-match market xG (what the odds implied) for each side.</t>
        </is>
      </c>
    </row>
    <row r="3">
      <c r="A3" s="8" t="inlineStr">
        <is>
          <t>2026-08-08</t>
        </is>
      </c>
      <c r="B3" s="8" t="inlineStr">
        <is>
          <t>St Johnstone</t>
        </is>
      </c>
      <c r="C3" s="8" t="inlineStr">
        <is>
          <t>Home</t>
        </is>
      </c>
      <c r="D3" s="8" t="n">
        <v>1</v>
      </c>
      <c r="E3" s="8" t="n">
        <v>0</v>
      </c>
      <c r="F3" s="10" t="n">
        <v>1.48</v>
      </c>
      <c r="G3" s="10" t="n">
        <v>1.23</v>
      </c>
      <c r="H3" s="10" t="n">
        <v>1.58</v>
      </c>
      <c r="I3" s="10" t="n">
        <v>1.17</v>
      </c>
      <c r="J3" s="10" t="n">
        <v>0.1</v>
      </c>
      <c r="K3" s="10" t="n">
        <v>-0.06</v>
      </c>
      <c r="L3" s="10" t="n">
        <v>0.25</v>
      </c>
      <c r="M3" s="10" t="n">
        <v>-0.58</v>
      </c>
      <c r="N3" s="10" t="n">
        <v>-0.02</v>
      </c>
      <c r="O3" s="10" t="n">
        <v>-0.13</v>
      </c>
      <c r="P3" s="10" t="n">
        <v>0.14</v>
      </c>
      <c r="Q3" s="10" t="n">
        <v>-0.68</v>
      </c>
      <c r="R3" s="10">
        <f>(H3-I3)-(F3-G3)</f>
        <v/>
      </c>
      <c r="S3" s="10">
        <f>(H3+I3)-(F3+G3)</f>
        <v/>
      </c>
      <c r="T3" s="10" t="n">
        <v>1.66</v>
      </c>
      <c r="U3" s="10" t="n">
        <v>1.54</v>
      </c>
      <c r="V3" s="10" t="n">
        <v>0.11</v>
      </c>
      <c r="W3" s="10" t="n">
        <v>3.77</v>
      </c>
      <c r="X3" s="10" t="n">
        <v>2.6</v>
      </c>
      <c r="Z3" s="4" t="inlineStr">
        <is>
          <t>Games vs expected</t>
        </is>
      </c>
      <c r="AA3" s="4" t="inlineStr">
        <is>
          <t>Above</t>
        </is>
      </c>
      <c r="AB3" s="4" t="inlineStr">
        <is>
          <t>Below</t>
        </is>
      </c>
    </row>
    <row r="4">
      <c r="A4" s="6" t="inlineStr">
        <is>
          <t>2026-08-30</t>
        </is>
      </c>
      <c r="B4" s="6" t="inlineStr">
        <is>
          <t>Motherwell</t>
        </is>
      </c>
      <c r="C4" s="6" t="inlineStr">
        <is>
          <t>Home</t>
        </is>
      </c>
      <c r="D4" s="6" t="n">
        <v>3</v>
      </c>
      <c r="E4" s="6" t="n">
        <v>3</v>
      </c>
      <c r="F4" s="9" t="n">
        <v>1.35</v>
      </c>
      <c r="G4" s="9" t="n">
        <v>1.27</v>
      </c>
      <c r="H4" s="9" t="n">
        <v>2.92</v>
      </c>
      <c r="I4" s="9" t="n">
        <v>2.45</v>
      </c>
      <c r="J4" s="9" t="n">
        <v>1.57</v>
      </c>
      <c r="K4" s="9" t="n">
        <v>1.18</v>
      </c>
      <c r="L4" s="9" t="n">
        <v>0.6899999999999999</v>
      </c>
      <c r="M4" s="9" t="n">
        <v>0.01</v>
      </c>
      <c r="N4" s="9" t="n">
        <v>1.37</v>
      </c>
      <c r="O4" s="9" t="n">
        <v>1.26</v>
      </c>
      <c r="P4" s="9" t="n">
        <v>0.55</v>
      </c>
      <c r="Q4" s="9" t="n">
        <v>-0.03</v>
      </c>
      <c r="R4" s="9">
        <f>(H4-I4)-(F4-G4)</f>
        <v/>
      </c>
      <c r="S4" s="9">
        <f>(H4+I4)-(F4+G4)</f>
        <v/>
      </c>
      <c r="T4" s="9" t="n">
        <v>1.65</v>
      </c>
      <c r="U4" s="9" t="n">
        <v>1.42</v>
      </c>
      <c r="V4" s="9" t="n">
        <v>0.23</v>
      </c>
      <c r="W4" s="9" t="n">
        <v>5.42</v>
      </c>
      <c r="X4" s="9" t="n">
        <v>4.03</v>
      </c>
      <c r="Z4" s="6" t="inlineStr">
        <is>
          <t>xG For vs expected</t>
        </is>
      </c>
      <c r="AA4" s="5">
        <f>COUNTIF($J$2:$J$9,"&gt;0")</f>
        <v/>
      </c>
      <c r="AB4" s="5">
        <f>COUNTIF($J$2:$J$9,"&lt;0")</f>
        <v/>
      </c>
    </row>
    <row r="5">
      <c r="A5" s="8" t="inlineStr">
        <is>
          <t>2026-09-02</t>
        </is>
      </c>
      <c r="B5" s="8" t="inlineStr">
        <is>
          <t>Kilmarnock</t>
        </is>
      </c>
      <c r="C5" s="8" t="inlineStr">
        <is>
          <t>Away</t>
        </is>
      </c>
      <c r="D5" s="8" t="n">
        <v>1</v>
      </c>
      <c r="E5" s="8" t="n">
        <v>0</v>
      </c>
      <c r="F5" s="10" t="n">
        <v>1.44</v>
      </c>
      <c r="G5" s="10" t="n">
        <v>1.33</v>
      </c>
      <c r="H5" s="10" t="n">
        <v>0.85</v>
      </c>
      <c r="I5" s="10" t="n">
        <v>0.41</v>
      </c>
      <c r="J5" s="10" t="n">
        <v>-0.59</v>
      </c>
      <c r="K5" s="10" t="n">
        <v>-0.92</v>
      </c>
      <c r="L5" s="10" t="n">
        <v>0.37</v>
      </c>
      <c r="M5" s="10" t="n">
        <v>-0.22</v>
      </c>
      <c r="N5" s="10" t="n">
        <v>-0.99</v>
      </c>
      <c r="O5" s="10" t="n">
        <v>-0.99</v>
      </c>
      <c r="P5" s="10" t="n">
        <v>0.16</v>
      </c>
      <c r="Q5" s="10" t="n">
        <v>-0.27</v>
      </c>
      <c r="R5" s="10">
        <f>(H5-I5)-(F5-G5)</f>
        <v/>
      </c>
      <c r="S5" s="10">
        <f>(H5+I5)-(F5+G5)</f>
        <v/>
      </c>
      <c r="T5" s="10" t="n">
        <v>1.71</v>
      </c>
      <c r="U5" s="10" t="n">
        <v>1.45</v>
      </c>
      <c r="V5" s="10" t="n">
        <v>0.27</v>
      </c>
      <c r="W5" s="10" t="n">
        <v>7.13</v>
      </c>
      <c r="X5" s="10" t="n">
        <v>5.47</v>
      </c>
      <c r="Z5" s="6" t="inlineStr">
        <is>
          <t>xG Against vs expected</t>
        </is>
      </c>
      <c r="AA5" s="5">
        <f>COUNTIF($K$2:$K$9,"&gt;0")</f>
        <v/>
      </c>
      <c r="AB5" s="5">
        <f>COUNTIF($K$2:$K$9,"&lt;0")</f>
        <v/>
      </c>
    </row>
    <row r="6">
      <c r="A6" s="6" t="inlineStr">
        <is>
          <t>2026-09-05</t>
        </is>
      </c>
      <c r="B6" s="6" t="inlineStr">
        <is>
          <t>Celtic</t>
        </is>
      </c>
      <c r="C6" s="6" t="inlineStr">
        <is>
          <t>Home</t>
        </is>
      </c>
      <c r="D6" s="6" t="n">
        <v>1</v>
      </c>
      <c r="E6" s="6" t="n">
        <v>2</v>
      </c>
      <c r="F6" s="9" t="n">
        <v>1.03</v>
      </c>
      <c r="G6" s="9" t="n">
        <v>2.25</v>
      </c>
      <c r="H6" s="9" t="n">
        <v>1.95</v>
      </c>
      <c r="I6" s="9" t="n">
        <v>3.19</v>
      </c>
      <c r="J6" s="9" t="n">
        <v>0.92</v>
      </c>
      <c r="K6" s="9" t="n">
        <v>0.9399999999999999</v>
      </c>
      <c r="L6" s="9" t="n">
        <v>0.48</v>
      </c>
      <c r="M6" s="9" t="n">
        <v>0.01</v>
      </c>
      <c r="N6" s="9" t="n">
        <v>1.04</v>
      </c>
      <c r="O6" s="9" t="n">
        <v>0.66</v>
      </c>
      <c r="P6" s="9" t="n">
        <v>0.34</v>
      </c>
      <c r="Q6" s="9" t="n">
        <v>-0.08</v>
      </c>
      <c r="R6" s="9">
        <f>(H6-I6)-(F6-G6)</f>
        <v/>
      </c>
      <c r="S6" s="9">
        <f>(H6+I6)-(F6+G6)</f>
        <v/>
      </c>
      <c r="T6" s="9" t="n">
        <v>0.8100000000000001</v>
      </c>
      <c r="U6" s="9" t="n">
        <v>0.68</v>
      </c>
      <c r="V6" s="9" t="n">
        <v>0.13</v>
      </c>
      <c r="W6" s="9" t="n">
        <v>7.94</v>
      </c>
      <c r="X6" s="9" t="n">
        <v>6.15</v>
      </c>
      <c r="Z6" s="6" t="inlineStr">
        <is>
          <t>Goals For vs expected</t>
        </is>
      </c>
      <c r="AA6" s="5">
        <f>SUMPRODUCT(--($D$2:$D$9&gt;$F$2:$F$9))</f>
        <v/>
      </c>
      <c r="AB6" s="5">
        <f>SUMPRODUCT(--($D$2:$D$9&lt;$F$2:$F$9))</f>
        <v/>
      </c>
    </row>
    <row r="7">
      <c r="A7" s="8" t="inlineStr">
        <is>
          <t>2026-09-09</t>
        </is>
      </c>
      <c r="B7" s="8" t="inlineStr">
        <is>
          <t>Rangers</t>
        </is>
      </c>
      <c r="C7" s="8" t="inlineStr">
        <is>
          <t>Away</t>
        </is>
      </c>
      <c r="D7" s="8" t="n">
        <v>0</v>
      </c>
      <c r="E7" s="8" t="n">
        <v>1</v>
      </c>
      <c r="F7" s="10" t="n">
        <v>0.9</v>
      </c>
      <c r="G7" s="10" t="n">
        <v>2.49</v>
      </c>
      <c r="H7" s="10" t="n">
        <v>1.26</v>
      </c>
      <c r="I7" s="10" t="n">
        <v>2.46</v>
      </c>
      <c r="J7" s="10" t="n">
        <v>0.36</v>
      </c>
      <c r="K7" s="10" t="n">
        <v>-0.03</v>
      </c>
      <c r="L7" s="10" t="n">
        <v>0.46</v>
      </c>
      <c r="M7" s="10" t="n">
        <v>0</v>
      </c>
      <c r="N7" s="10" t="n">
        <v>0.44</v>
      </c>
      <c r="O7" s="10" t="n">
        <v>-0.1</v>
      </c>
      <c r="P7" s="10" t="n">
        <v>0.36</v>
      </c>
      <c r="Q7" s="10" t="n">
        <v>-0.09</v>
      </c>
      <c r="R7" s="10">
        <f>(H7-I7)-(F7-G7)</f>
        <v/>
      </c>
      <c r="S7" s="10">
        <f>(H7+I7)-(F7+G7)</f>
        <v/>
      </c>
      <c r="T7" s="10" t="n">
        <v>0.72</v>
      </c>
      <c r="U7" s="10" t="n">
        <v>0.51</v>
      </c>
      <c r="V7" s="10" t="n">
        <v>0.22</v>
      </c>
      <c r="W7" s="10" t="n">
        <v>8.67</v>
      </c>
      <c r="X7" s="10" t="n">
        <v>6.66</v>
      </c>
      <c r="Z7" s="6" t="inlineStr">
        <is>
          <t>Goals Against vs expected</t>
        </is>
      </c>
      <c r="AA7" s="5">
        <f>SUMPRODUCT(--($E$2:$E$9&gt;$G$2:$G$9))</f>
        <v/>
      </c>
      <c r="AB7" s="5">
        <f>SUMPRODUCT(--($E$2:$E$9&lt;$G$2:$G$9))</f>
        <v/>
      </c>
    </row>
    <row r="8">
      <c r="A8" s="6" t="inlineStr">
        <is>
          <t>2026-09-19</t>
        </is>
      </c>
      <c r="B8" s="6" t="inlineStr">
        <is>
          <t>Dundee United</t>
        </is>
      </c>
      <c r="C8" s="6" t="inlineStr">
        <is>
          <t>Home</t>
        </is>
      </c>
      <c r="D8" s="6" t="n">
        <v>0</v>
      </c>
      <c r="E8" s="6" t="n">
        <v>3</v>
      </c>
      <c r="F8" s="9" t="n">
        <v>1.59</v>
      </c>
      <c r="G8" s="9" t="n">
        <v>1.42</v>
      </c>
      <c r="H8" s="9" t="n">
        <v>0.99</v>
      </c>
      <c r="I8" s="9" t="n">
        <v>1.6</v>
      </c>
      <c r="J8" s="9" t="n">
        <v>-0.6</v>
      </c>
      <c r="K8" s="9" t="n">
        <v>0.18</v>
      </c>
      <c r="L8" s="9" t="n">
        <v>0.29</v>
      </c>
      <c r="M8" s="9" t="n">
        <v>0.22</v>
      </c>
      <c r="N8" s="9" t="n">
        <v>-0.5</v>
      </c>
      <c r="O8" s="9" t="n">
        <v>-0.13</v>
      </c>
      <c r="P8" s="9" t="n">
        <v>0.22</v>
      </c>
      <c r="Q8" s="9" t="n">
        <v>0.1</v>
      </c>
      <c r="R8" s="9">
        <f>(H8-I8)-(F8-G8)</f>
        <v/>
      </c>
      <c r="S8" s="9">
        <f>(H8+I8)-(F8+G8)</f>
        <v/>
      </c>
      <c r="T8" s="9" t="n">
        <v>0.95</v>
      </c>
      <c r="U8" s="9" t="n">
        <v>1.49</v>
      </c>
      <c r="V8" s="9" t="n">
        <v>-0.54</v>
      </c>
      <c r="W8" s="9" t="n">
        <v>9.619999999999999</v>
      </c>
      <c r="X8" s="9" t="n">
        <v>8.15</v>
      </c>
      <c r="Z8" s="12" t="inlineStr">
        <is>
          <t>For: Above = beat expectation. Against: Above = conceded more than expected (worse).</t>
        </is>
      </c>
    </row>
    <row r="9">
      <c r="A9" s="8" t="inlineStr">
        <is>
          <t>2026-10-10</t>
        </is>
      </c>
      <c r="B9" s="8" t="inlineStr">
        <is>
          <t>Heart of Midlothian</t>
        </is>
      </c>
      <c r="C9" s="8" t="inlineStr">
        <is>
          <t>Away</t>
        </is>
      </c>
      <c r="D9" s="8" t="n">
        <v>0</v>
      </c>
      <c r="E9" s="8" t="n">
        <v>5</v>
      </c>
      <c r="F9" s="10" t="n">
        <v>1</v>
      </c>
      <c r="G9" s="10" t="n">
        <v>2.26</v>
      </c>
      <c r="H9" s="10" t="n">
        <v>0.9</v>
      </c>
      <c r="I9" s="10" t="n">
        <v>3.9</v>
      </c>
      <c r="J9" s="10" t="n">
        <v>-0.1</v>
      </c>
      <c r="K9" s="10" t="n">
        <v>1.64</v>
      </c>
      <c r="L9" s="10" t="n">
        <v>0.26</v>
      </c>
      <c r="M9" s="10" t="n">
        <v>0.5</v>
      </c>
      <c r="N9" s="10" t="n">
        <v>-0.24</v>
      </c>
      <c r="O9" s="10" t="n">
        <v>1.62</v>
      </c>
      <c r="P9" s="10" t="n">
        <v>0.18</v>
      </c>
      <c r="Q9" s="10" t="n">
        <v>0.39</v>
      </c>
      <c r="R9" s="10">
        <f>(H9-I9)-(F9-G9)</f>
        <v/>
      </c>
      <c r="S9" s="10">
        <f>(H9+I9)-(F9+G9)</f>
        <v/>
      </c>
      <c r="T9" s="10" t="n">
        <v>0.2</v>
      </c>
      <c r="U9" s="10" t="n">
        <v>0.65</v>
      </c>
      <c r="V9" s="10" t="n">
        <v>-0.45</v>
      </c>
      <c r="W9" s="10" t="n">
        <v>9.82</v>
      </c>
      <c r="X9" s="10" t="n">
        <v>8.800000000000001</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St Mirren: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Celtic</t>
        </is>
      </c>
      <c r="AG25" s="20" t="n">
        <v>6.5</v>
      </c>
      <c r="AH25" s="16" t="n"/>
    </row>
    <row r="26">
      <c r="A26" s="17" t="inlineStr">
        <is>
          <t>Median Total xG Delta</t>
        </is>
      </c>
      <c r="E26" s="19">
        <f>MEDIAN(S2:S9)</f>
        <v/>
      </c>
      <c r="AF26" s="6" t="inlineStr">
        <is>
          <t>2. Rangers</t>
        </is>
      </c>
      <c r="AG26" s="16" t="n"/>
      <c r="AH26" s="20" t="n">
        <v>12</v>
      </c>
    </row>
    <row r="27">
      <c r="A27" s="17" t="inlineStr">
        <is>
          <t>Current form (last 6, For)</t>
        </is>
      </c>
      <c r="E27" s="19">
        <f>L9</f>
        <v/>
      </c>
      <c r="AF27" s="6" t="inlineStr">
        <is>
          <t>3. Heart of Midlothian</t>
        </is>
      </c>
      <c r="AG27" s="16" t="n"/>
      <c r="AH27" s="20" t="n">
        <v>6.5</v>
      </c>
    </row>
    <row r="28">
      <c r="A28" s="17" t="inlineStr">
        <is>
          <t>Current form (last 6, Against)</t>
        </is>
      </c>
      <c r="E28" s="19">
        <f>M9</f>
        <v/>
      </c>
      <c r="AF28" s="6" t="inlineStr">
        <is>
          <t>4. Dundee</t>
        </is>
      </c>
      <c r="AG28" s="16" t="n"/>
      <c r="AH28" s="16" t="n"/>
    </row>
    <row r="29">
      <c r="A29" s="17" t="inlineStr">
        <is>
          <t>Current form (last 6, For, Adj)</t>
        </is>
      </c>
      <c r="E29" s="19">
        <f>P9</f>
        <v/>
      </c>
      <c r="AF29" s="6" t="inlineStr">
        <is>
          <t>5. St Johnstone</t>
        </is>
      </c>
      <c r="AG29" s="21" t="n">
        <v>2.6</v>
      </c>
      <c r="AH29" s="16" t="n"/>
    </row>
    <row r="30">
      <c r="A30" s="17" t="inlineStr">
        <is>
          <t>Current form (last 6, Against, Adj)</t>
        </is>
      </c>
      <c r="E30" s="19">
        <f>Q9</f>
        <v/>
      </c>
      <c r="AF30" s="6" t="inlineStr">
        <is>
          <t>6. Dundee United</t>
        </is>
      </c>
      <c r="AG30" s="20" t="n">
        <v>2.2</v>
      </c>
      <c r="AH30" s="16" t="n"/>
    </row>
    <row r="31">
      <c r="A31" s="17" t="inlineStr">
        <is>
          <t>Total xPts (Actual)</t>
        </is>
      </c>
      <c r="E31" s="19">
        <f>SUM(T2:T9)</f>
        <v/>
      </c>
      <c r="AF31" s="22" t="inlineStr">
        <is>
          <t>7. St Mirren</t>
        </is>
      </c>
      <c r="AG31" s="23" t="n"/>
      <c r="AH31" s="23" t="n"/>
    </row>
    <row r="32">
      <c r="A32" s="17" t="inlineStr">
        <is>
          <t>Total xPts (Market)</t>
        </is>
      </c>
      <c r="E32" s="19">
        <f>SUM(U2:U9)</f>
        <v/>
      </c>
      <c r="AF32" s="6" t="inlineStr">
        <is>
          <t>8. Aberdeen</t>
        </is>
      </c>
      <c r="AG32" s="16" t="n"/>
      <c r="AH32" s="16" t="n"/>
    </row>
    <row r="33">
      <c r="A33" s="17" t="inlineStr">
        <is>
          <t>Avg xPts Delta</t>
        </is>
      </c>
      <c r="E33" s="19">
        <f>AVERAGE(V2:V9)</f>
        <v/>
      </c>
      <c r="AF33" s="6" t="inlineStr">
        <is>
          <t>9. Motherwell</t>
        </is>
      </c>
      <c r="AG33" s="24" t="n">
        <v>2.45</v>
      </c>
      <c r="AH33" s="16" t="n"/>
    </row>
    <row r="34">
      <c r="AF34" s="6" t="inlineStr">
        <is>
          <t>10. Hibernian</t>
        </is>
      </c>
      <c r="AG34" s="16" t="n"/>
      <c r="AH34" s="16" t="n"/>
    </row>
    <row r="35">
      <c r="A35" s="11" t="inlineStr">
        <is>
          <t>Home / Away split</t>
        </is>
      </c>
      <c r="AF35" s="6" t="inlineStr">
        <is>
          <t>11. Falkirk</t>
        </is>
      </c>
      <c r="AG35" s="16" t="n"/>
      <c r="AH35" s="21" t="n">
        <v>3.3</v>
      </c>
    </row>
    <row r="36">
      <c r="A36" s="25" t="inlineStr">
        <is>
          <t>Venue</t>
        </is>
      </c>
      <c r="B36" s="25" t="inlineStr">
        <is>
          <t>Matches</t>
        </is>
      </c>
      <c r="C36" s="25" t="inlineStr">
        <is>
          <t>GF</t>
        </is>
      </c>
      <c r="D36" s="25" t="inlineStr">
        <is>
          <t>GA</t>
        </is>
      </c>
      <c r="E36" s="25" t="inlineStr">
        <is>
          <t>Avg Supremacy</t>
        </is>
      </c>
      <c r="F36" s="25" t="inlineStr">
        <is>
          <t>Median Supremacy</t>
        </is>
      </c>
      <c r="G36" s="25" t="inlineStr">
        <is>
          <t>Avg Total xG Delta</t>
        </is>
      </c>
      <c r="H36" s="25" t="inlineStr">
        <is>
          <t>Median Total xG Delta</t>
        </is>
      </c>
      <c r="AF36" s="6" t="inlineStr">
        <is>
          <t>12. Kilmarnock</t>
        </is>
      </c>
      <c r="AG36" s="16" t="n"/>
      <c r="AH36" s="21" t="n">
        <v>2.4</v>
      </c>
    </row>
    <row r="37">
      <c r="A37" s="17" t="inlineStr">
        <is>
          <t>Home</t>
        </is>
      </c>
      <c r="B37" s="17" t="n">
        <v>4</v>
      </c>
      <c r="C37" s="17" t="n">
        <v>5</v>
      </c>
      <c r="D37" s="17" t="n">
        <v>8</v>
      </c>
      <c r="E37" s="26" t="n">
        <v>-0.06</v>
      </c>
      <c r="F37" s="26" t="n">
        <v>0.07000000000000001</v>
      </c>
      <c r="G37" s="26" t="n">
        <v>1.06</v>
      </c>
      <c r="H37" s="26" t="n">
        <v>0.96</v>
      </c>
    </row>
    <row r="38">
      <c r="A38" s="17" t="inlineStr">
        <is>
          <t>Away</t>
        </is>
      </c>
      <c r="B38" s="17" t="n">
        <v>4</v>
      </c>
      <c r="C38" s="17" t="n">
        <v>3</v>
      </c>
      <c r="D38" s="17" t="n">
        <v>6</v>
      </c>
      <c r="E38" s="26" t="n">
        <v>0.12</v>
      </c>
      <c r="F38" s="26" t="n">
        <v>0.36</v>
      </c>
      <c r="G38" s="26" t="n">
        <v>-0.08</v>
      </c>
      <c r="H38" s="26" t="n">
        <v>-0.18</v>
      </c>
      <c r="AF38" s="27" t="inlineStr">
        <is>
          <t>Won</t>
        </is>
      </c>
    </row>
    <row r="39">
      <c r="A39" s="28" t="inlineStr">
        <is>
          <t>Total</t>
        </is>
      </c>
      <c r="B39" s="28" t="n">
        <v>8</v>
      </c>
      <c r="C39" s="28" t="n">
        <v>8</v>
      </c>
      <c r="D39" s="28" t="n">
        <v>14</v>
      </c>
      <c r="E39" s="29" t="n">
        <v>0.03</v>
      </c>
      <c r="F39" s="29" t="n">
        <v>0.24</v>
      </c>
      <c r="G39" s="29" t="n">
        <v>0.49</v>
      </c>
      <c r="H39" s="29" t="n">
        <v>0.19</v>
      </c>
      <c r="AF39" s="30" t="inlineStr">
        <is>
          <t>Drew</t>
        </is>
      </c>
    </row>
    <row r="40">
      <c r="AF40" s="31" t="inlineStr">
        <is>
          <t>Lost</t>
        </is>
      </c>
    </row>
    <row r="41">
      <c r="AF41" s="12" t="inlineStr">
        <is>
          <t>Odds = this team's own closing price to win that fixture. Home Odds = the game at this team's ground; Away Odds = the game at the opponent's.</t>
        </is>
      </c>
    </row>
    <row r="42">
      <c r="AF42"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11" customWidth="1" min="1" max="1"/>
    <col width="20" customWidth="1" min="2" max="2"/>
    <col width="20"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2026-07-31</t>
        </is>
      </c>
      <c r="B2" t="inlineStr">
        <is>
          <t>Dundee United</t>
        </is>
      </c>
      <c r="C2" t="inlineStr">
        <is>
          <t>Rangers</t>
        </is>
      </c>
      <c r="D2" t="n">
        <v>1</v>
      </c>
      <c r="E2" t="n">
        <v>1</v>
      </c>
    </row>
    <row r="3">
      <c r="A3" t="inlineStr">
        <is>
          <t>2026-08-01</t>
        </is>
      </c>
      <c r="B3" t="inlineStr">
        <is>
          <t>Falkirk</t>
        </is>
      </c>
      <c r="C3" t="inlineStr">
        <is>
          <t>St Mirren</t>
        </is>
      </c>
      <c r="D3" t="n">
        <v>0</v>
      </c>
      <c r="E3" t="n">
        <v>2</v>
      </c>
    </row>
    <row r="4">
      <c r="A4" t="inlineStr">
        <is>
          <t>2026-08-01</t>
        </is>
      </c>
      <c r="B4" t="inlineStr">
        <is>
          <t>Aberdeen</t>
        </is>
      </c>
      <c r="C4" t="inlineStr">
        <is>
          <t>Heart of Midlothian</t>
        </is>
      </c>
      <c r="D4" t="n">
        <v>2</v>
      </c>
      <c r="E4" t="n">
        <v>1</v>
      </c>
    </row>
    <row r="5">
      <c r="A5" t="inlineStr">
        <is>
          <t>2026-08-02</t>
        </is>
      </c>
      <c r="B5" t="inlineStr">
        <is>
          <t>St Johnstone</t>
        </is>
      </c>
      <c r="C5" t="inlineStr">
        <is>
          <t>Kilmarnock</t>
        </is>
      </c>
      <c r="D5" t="n">
        <v>4</v>
      </c>
      <c r="E5" t="n">
        <v>3</v>
      </c>
    </row>
    <row r="6">
      <c r="A6" t="inlineStr">
        <is>
          <t>2026-08-02</t>
        </is>
      </c>
      <c r="B6" t="inlineStr">
        <is>
          <t>Hibernian</t>
        </is>
      </c>
      <c r="C6" t="inlineStr">
        <is>
          <t>Motherwell</t>
        </is>
      </c>
      <c r="D6" t="n">
        <v>1</v>
      </c>
      <c r="E6" t="n">
        <v>2</v>
      </c>
    </row>
    <row r="7">
      <c r="A7" t="inlineStr">
        <is>
          <t>2026-08-03</t>
        </is>
      </c>
      <c r="B7" t="inlineStr">
        <is>
          <t>Celtic</t>
        </is>
      </c>
      <c r="C7" t="inlineStr">
        <is>
          <t>Dundee</t>
        </is>
      </c>
      <c r="D7" t="n">
        <v>1</v>
      </c>
      <c r="E7" t="n">
        <v>0</v>
      </c>
    </row>
    <row r="8">
      <c r="A8" t="inlineStr">
        <is>
          <t>2026-08-08</t>
        </is>
      </c>
      <c r="B8" t="inlineStr">
        <is>
          <t>Dundee</t>
        </is>
      </c>
      <c r="C8" t="inlineStr">
        <is>
          <t>Aberdeen</t>
        </is>
      </c>
      <c r="D8" t="n">
        <v>2</v>
      </c>
      <c r="E8" t="n">
        <v>0</v>
      </c>
    </row>
    <row r="9">
      <c r="A9" t="inlineStr">
        <is>
          <t>2026-08-08</t>
        </is>
      </c>
      <c r="B9" t="inlineStr">
        <is>
          <t>St Mirren</t>
        </is>
      </c>
      <c r="C9" t="inlineStr">
        <is>
          <t>St Johnstone</t>
        </is>
      </c>
      <c r="D9" t="n">
        <v>1</v>
      </c>
      <c r="E9" t="n">
        <v>0</v>
      </c>
    </row>
    <row r="10">
      <c r="A10" t="inlineStr">
        <is>
          <t>2026-08-09</t>
        </is>
      </c>
      <c r="B10" t="inlineStr">
        <is>
          <t>Kilmarnock</t>
        </is>
      </c>
      <c r="C10" t="inlineStr">
        <is>
          <t>Celtic</t>
        </is>
      </c>
      <c r="D10" t="n">
        <v>1</v>
      </c>
      <c r="E10" t="n">
        <v>5</v>
      </c>
    </row>
    <row r="11">
      <c r="A11" t="inlineStr">
        <is>
          <t>2026-08-09</t>
        </is>
      </c>
      <c r="B11" t="inlineStr">
        <is>
          <t>Heart of Midlothian</t>
        </is>
      </c>
      <c r="C11" t="inlineStr">
        <is>
          <t>Dundee United</t>
        </is>
      </c>
      <c r="D11" t="n">
        <v>4</v>
      </c>
      <c r="E11" t="n">
        <v>0</v>
      </c>
    </row>
    <row r="12">
      <c r="A12" t="inlineStr">
        <is>
          <t>2026-08-09</t>
        </is>
      </c>
      <c r="B12" t="inlineStr">
        <is>
          <t>Motherwell</t>
        </is>
      </c>
      <c r="C12" t="inlineStr">
        <is>
          <t>Falkirk</t>
        </is>
      </c>
      <c r="D12" t="n">
        <v>0</v>
      </c>
      <c r="E12" t="n">
        <v>0</v>
      </c>
    </row>
    <row r="13">
      <c r="A13" t="inlineStr">
        <is>
          <t>2026-08-09</t>
        </is>
      </c>
      <c r="B13" t="inlineStr">
        <is>
          <t>Rangers</t>
        </is>
      </c>
      <c r="C13" t="inlineStr">
        <is>
          <t>Hibernian</t>
        </is>
      </c>
      <c r="D13" t="n">
        <v>1</v>
      </c>
      <c r="E13" t="n">
        <v>2</v>
      </c>
    </row>
    <row r="14">
      <c r="A14" t="inlineStr">
        <is>
          <t>2026-08-22</t>
        </is>
      </c>
      <c r="B14" t="inlineStr">
        <is>
          <t>Dundee United</t>
        </is>
      </c>
      <c r="C14" t="inlineStr">
        <is>
          <t>Dundee</t>
        </is>
      </c>
      <c r="D14" t="n">
        <v>0</v>
      </c>
      <c r="E14" t="n">
        <v>2</v>
      </c>
    </row>
    <row r="15">
      <c r="A15" t="inlineStr">
        <is>
          <t>2026-08-29</t>
        </is>
      </c>
      <c r="B15" t="inlineStr">
        <is>
          <t>Celtic</t>
        </is>
      </c>
      <c r="C15" t="inlineStr">
        <is>
          <t>Falkirk</t>
        </is>
      </c>
      <c r="D15" t="n">
        <v>2</v>
      </c>
      <c r="E15" t="n">
        <v>1</v>
      </c>
    </row>
    <row r="16">
      <c r="A16" t="inlineStr">
        <is>
          <t>2026-08-29</t>
        </is>
      </c>
      <c r="B16" t="inlineStr">
        <is>
          <t>Heart of Midlothian</t>
        </is>
      </c>
      <c r="C16" t="inlineStr">
        <is>
          <t>St Johnstone</t>
        </is>
      </c>
      <c r="D16" t="n">
        <v>2</v>
      </c>
      <c r="E16" t="n">
        <v>1</v>
      </c>
    </row>
    <row r="17">
      <c r="A17" t="inlineStr">
        <is>
          <t>2026-08-29</t>
        </is>
      </c>
      <c r="B17" t="inlineStr">
        <is>
          <t>Kilmarnock</t>
        </is>
      </c>
      <c r="C17" t="inlineStr">
        <is>
          <t>Dundee United</t>
        </is>
      </c>
      <c r="D17" t="n">
        <v>0</v>
      </c>
      <c r="E17" t="n">
        <v>4</v>
      </c>
    </row>
    <row r="18">
      <c r="A18" t="inlineStr">
        <is>
          <t>2026-08-30</t>
        </is>
      </c>
      <c r="B18" t="inlineStr">
        <is>
          <t>Aberdeen</t>
        </is>
      </c>
      <c r="C18" t="inlineStr">
        <is>
          <t>Rangers</t>
        </is>
      </c>
      <c r="D18" t="n">
        <v>0</v>
      </c>
      <c r="E18" t="n">
        <v>1</v>
      </c>
    </row>
    <row r="19">
      <c r="A19" t="inlineStr">
        <is>
          <t>2026-08-30</t>
        </is>
      </c>
      <c r="B19" t="inlineStr">
        <is>
          <t>Dundee</t>
        </is>
      </c>
      <c r="C19" t="inlineStr">
        <is>
          <t>Hibernian</t>
        </is>
      </c>
      <c r="D19" t="n">
        <v>1</v>
      </c>
      <c r="E19" t="n">
        <v>2</v>
      </c>
    </row>
    <row r="20">
      <c r="A20" t="inlineStr">
        <is>
          <t>2026-08-30</t>
        </is>
      </c>
      <c r="B20" t="inlineStr">
        <is>
          <t>St Mirren</t>
        </is>
      </c>
      <c r="C20" t="inlineStr">
        <is>
          <t>Motherwell</t>
        </is>
      </c>
      <c r="D20" t="n">
        <v>3</v>
      </c>
      <c r="E20" t="n">
        <v>3</v>
      </c>
    </row>
    <row r="21">
      <c r="A21" t="inlineStr">
        <is>
          <t>2026-09-02</t>
        </is>
      </c>
      <c r="B21" t="inlineStr">
        <is>
          <t>Celtic</t>
        </is>
      </c>
      <c r="C21" t="inlineStr">
        <is>
          <t>Aberdeen</t>
        </is>
      </c>
      <c r="D21" t="n">
        <v>3</v>
      </c>
      <c r="E21" t="n">
        <v>0</v>
      </c>
    </row>
    <row r="22">
      <c r="A22" t="inlineStr">
        <is>
          <t>2026-09-02</t>
        </is>
      </c>
      <c r="B22" t="inlineStr">
        <is>
          <t>Dundee</t>
        </is>
      </c>
      <c r="C22" t="inlineStr">
        <is>
          <t>St Johnstone</t>
        </is>
      </c>
      <c r="D22" t="n">
        <v>1</v>
      </c>
      <c r="E22" t="n">
        <v>1</v>
      </c>
    </row>
    <row r="23">
      <c r="A23" t="inlineStr">
        <is>
          <t>2026-09-02</t>
        </is>
      </c>
      <c r="B23" t="inlineStr">
        <is>
          <t>Kilmarnock</t>
        </is>
      </c>
      <c r="C23" t="inlineStr">
        <is>
          <t>St Mirren</t>
        </is>
      </c>
      <c r="D23" t="n">
        <v>0</v>
      </c>
      <c r="E23" t="n">
        <v>1</v>
      </c>
    </row>
    <row r="24">
      <c r="A24" t="inlineStr">
        <is>
          <t>2026-09-02</t>
        </is>
      </c>
      <c r="B24" t="inlineStr">
        <is>
          <t>Motherwell</t>
        </is>
      </c>
      <c r="C24" t="inlineStr">
        <is>
          <t>Dundee United</t>
        </is>
      </c>
      <c r="D24" t="n">
        <v>3</v>
      </c>
      <c r="E24" t="n">
        <v>0</v>
      </c>
    </row>
    <row r="25">
      <c r="A25" t="inlineStr">
        <is>
          <t>2026-09-02</t>
        </is>
      </c>
      <c r="B25" t="inlineStr">
        <is>
          <t>Falkirk</t>
        </is>
      </c>
      <c r="C25" t="inlineStr">
        <is>
          <t>Rangers</t>
        </is>
      </c>
      <c r="D25" t="n">
        <v>1</v>
      </c>
      <c r="E25" t="n">
        <v>2</v>
      </c>
    </row>
    <row r="26">
      <c r="A26" t="inlineStr">
        <is>
          <t>2026-09-03</t>
        </is>
      </c>
      <c r="B26" t="inlineStr">
        <is>
          <t>Hibernian</t>
        </is>
      </c>
      <c r="C26" t="inlineStr">
        <is>
          <t>Heart of Midlothian</t>
        </is>
      </c>
      <c r="D26" t="n">
        <v>1</v>
      </c>
      <c r="E26" t="n">
        <v>3</v>
      </c>
    </row>
    <row r="27">
      <c r="A27" t="inlineStr">
        <is>
          <t>2026-09-05</t>
        </is>
      </c>
      <c r="B27" t="inlineStr">
        <is>
          <t>Aberdeen</t>
        </is>
      </c>
      <c r="C27" t="inlineStr">
        <is>
          <t>Kilmarnock</t>
        </is>
      </c>
      <c r="D27" t="n">
        <v>0</v>
      </c>
      <c r="E27" t="n">
        <v>0</v>
      </c>
    </row>
    <row r="28">
      <c r="A28" t="inlineStr">
        <is>
          <t>2026-09-05</t>
        </is>
      </c>
      <c r="B28" t="inlineStr">
        <is>
          <t>Dundee United</t>
        </is>
      </c>
      <c r="C28" t="inlineStr">
        <is>
          <t>Falkirk</t>
        </is>
      </c>
      <c r="D28" t="n">
        <v>1</v>
      </c>
      <c r="E28" t="n">
        <v>1</v>
      </c>
    </row>
    <row r="29">
      <c r="A29" t="inlineStr">
        <is>
          <t>2026-09-05</t>
        </is>
      </c>
      <c r="B29" t="inlineStr">
        <is>
          <t>Rangers</t>
        </is>
      </c>
      <c r="C29" t="inlineStr">
        <is>
          <t>Motherwell</t>
        </is>
      </c>
      <c r="D29" t="n">
        <v>1</v>
      </c>
      <c r="E29" t="n">
        <v>0</v>
      </c>
    </row>
    <row r="30">
      <c r="A30" t="inlineStr">
        <is>
          <t>2026-09-05</t>
        </is>
      </c>
      <c r="B30" t="inlineStr">
        <is>
          <t>St Mirren</t>
        </is>
      </c>
      <c r="C30" t="inlineStr">
        <is>
          <t>Celtic</t>
        </is>
      </c>
      <c r="D30" t="n">
        <v>1</v>
      </c>
      <c r="E30" t="n">
        <v>2</v>
      </c>
    </row>
    <row r="31">
      <c r="A31" t="inlineStr">
        <is>
          <t>2026-09-06</t>
        </is>
      </c>
      <c r="B31" t="inlineStr">
        <is>
          <t>Heart of Midlothian</t>
        </is>
      </c>
      <c r="C31" t="inlineStr">
        <is>
          <t>Dundee</t>
        </is>
      </c>
      <c r="D31" t="n">
        <v>2</v>
      </c>
      <c r="E31" t="n">
        <v>1</v>
      </c>
    </row>
    <row r="32">
      <c r="A32" t="inlineStr">
        <is>
          <t>2026-09-06</t>
        </is>
      </c>
      <c r="B32" t="inlineStr">
        <is>
          <t>St Johnstone</t>
        </is>
      </c>
      <c r="C32" t="inlineStr">
        <is>
          <t>Hibernian</t>
        </is>
      </c>
      <c r="D32" t="n">
        <v>2</v>
      </c>
      <c r="E32" t="n">
        <v>1</v>
      </c>
    </row>
    <row r="33">
      <c r="A33" t="inlineStr">
        <is>
          <t>2026-09-09</t>
        </is>
      </c>
      <c r="B33" t="inlineStr">
        <is>
          <t>Rangers</t>
        </is>
      </c>
      <c r="C33" t="inlineStr">
        <is>
          <t>St Mirren</t>
        </is>
      </c>
      <c r="D33" t="n">
        <v>1</v>
      </c>
      <c r="E33" t="n">
        <v>0</v>
      </c>
    </row>
    <row r="34">
      <c r="A34" t="inlineStr">
        <is>
          <t>2026-09-09</t>
        </is>
      </c>
      <c r="B34" t="inlineStr">
        <is>
          <t>St Johnstone</t>
        </is>
      </c>
      <c r="C34" t="inlineStr">
        <is>
          <t>Celtic</t>
        </is>
      </c>
      <c r="D34" t="n">
        <v>0</v>
      </c>
      <c r="E34" t="n">
        <v>1</v>
      </c>
    </row>
    <row r="35">
      <c r="A35" t="inlineStr">
        <is>
          <t>2026-09-15</t>
        </is>
      </c>
      <c r="B35" t="inlineStr">
        <is>
          <t>Falkirk</t>
        </is>
      </c>
      <c r="C35" t="inlineStr">
        <is>
          <t>Heart of Midlothian</t>
        </is>
      </c>
      <c r="D35" t="n">
        <v>2</v>
      </c>
      <c r="E35" t="n">
        <v>1</v>
      </c>
    </row>
    <row r="36">
      <c r="A36" t="inlineStr">
        <is>
          <t>2026-09-15</t>
        </is>
      </c>
      <c r="B36" t="inlineStr">
        <is>
          <t>Hibernian</t>
        </is>
      </c>
      <c r="C36" t="inlineStr">
        <is>
          <t>Kilmarnock</t>
        </is>
      </c>
      <c r="D36" t="n">
        <v>0</v>
      </c>
      <c r="E36" t="n">
        <v>1</v>
      </c>
    </row>
    <row r="37">
      <c r="A37" t="inlineStr">
        <is>
          <t>2026-09-15</t>
        </is>
      </c>
      <c r="B37" t="inlineStr">
        <is>
          <t>Motherwell</t>
        </is>
      </c>
      <c r="C37" t="inlineStr">
        <is>
          <t>Aberdeen</t>
        </is>
      </c>
      <c r="D37" t="n">
        <v>0</v>
      </c>
      <c r="E37" t="n">
        <v>4</v>
      </c>
    </row>
    <row r="38">
      <c r="A38" t="inlineStr">
        <is>
          <t>2026-09-19</t>
        </is>
      </c>
      <c r="B38" t="inlineStr">
        <is>
          <t>Dundee</t>
        </is>
      </c>
      <c r="C38" t="inlineStr">
        <is>
          <t>Motherwell</t>
        </is>
      </c>
      <c r="D38" t="n">
        <v>2</v>
      </c>
      <c r="E38" t="n">
        <v>1</v>
      </c>
    </row>
    <row r="39">
      <c r="A39" t="inlineStr">
        <is>
          <t>2026-09-19</t>
        </is>
      </c>
      <c r="B39" t="inlineStr">
        <is>
          <t>Hibernian</t>
        </is>
      </c>
      <c r="C39" t="inlineStr">
        <is>
          <t>Aberdeen</t>
        </is>
      </c>
      <c r="D39" t="n">
        <v>1</v>
      </c>
      <c r="E39" t="n">
        <v>1</v>
      </c>
    </row>
    <row r="40">
      <c r="A40" t="inlineStr">
        <is>
          <t>2026-09-19</t>
        </is>
      </c>
      <c r="B40" t="inlineStr">
        <is>
          <t>St Johnstone</t>
        </is>
      </c>
      <c r="C40" t="inlineStr">
        <is>
          <t>Falkirk</t>
        </is>
      </c>
      <c r="D40" t="n">
        <v>1</v>
      </c>
      <c r="E40" t="n">
        <v>1</v>
      </c>
    </row>
    <row r="41">
      <c r="A41" t="inlineStr">
        <is>
          <t>2026-09-19</t>
        </is>
      </c>
      <c r="B41" t="inlineStr">
        <is>
          <t>St Mirren</t>
        </is>
      </c>
      <c r="C41" t="inlineStr">
        <is>
          <t>Dundee United</t>
        </is>
      </c>
      <c r="D41" t="n">
        <v>0</v>
      </c>
      <c r="E41" t="n">
        <v>3</v>
      </c>
    </row>
    <row r="42">
      <c r="A42" t="inlineStr">
        <is>
          <t>2026-09-19</t>
        </is>
      </c>
      <c r="B42" t="inlineStr">
        <is>
          <t>Kilmarnock</t>
        </is>
      </c>
      <c r="C42" t="inlineStr">
        <is>
          <t>Heart of Midlothian</t>
        </is>
      </c>
      <c r="D42" t="n">
        <v>1</v>
      </c>
      <c r="E42" t="n">
        <v>1</v>
      </c>
    </row>
    <row r="43">
      <c r="A43" t="inlineStr">
        <is>
          <t>2026-09-20</t>
        </is>
      </c>
      <c r="B43" t="inlineStr">
        <is>
          <t>Celtic</t>
        </is>
      </c>
      <c r="C43" t="inlineStr">
        <is>
          <t>Rangers</t>
        </is>
      </c>
      <c r="D43" t="n">
        <v>0</v>
      </c>
      <c r="E43" t="n">
        <v>1</v>
      </c>
    </row>
    <row r="44">
      <c r="A44" t="inlineStr">
        <is>
          <t>2026-10-10</t>
        </is>
      </c>
      <c r="B44" t="inlineStr">
        <is>
          <t>Dundee United</t>
        </is>
      </c>
      <c r="C44" t="inlineStr">
        <is>
          <t>Hibernian</t>
        </is>
      </c>
      <c r="D44" t="n">
        <v>1</v>
      </c>
      <c r="E44" t="n">
        <v>0</v>
      </c>
    </row>
    <row r="45">
      <c r="A45" t="inlineStr">
        <is>
          <t>2026-10-10</t>
        </is>
      </c>
      <c r="B45" t="inlineStr">
        <is>
          <t>Falkirk</t>
        </is>
      </c>
      <c r="C45" t="inlineStr">
        <is>
          <t>Dundee</t>
        </is>
      </c>
      <c r="D45" t="n">
        <v>1</v>
      </c>
      <c r="E45" t="n">
        <v>2</v>
      </c>
    </row>
    <row r="46">
      <c r="A46" t="inlineStr">
        <is>
          <t>2026-10-10</t>
        </is>
      </c>
      <c r="B46" t="inlineStr">
        <is>
          <t>Heart of Midlothian</t>
        </is>
      </c>
      <c r="C46" t="inlineStr">
        <is>
          <t>St Mirren</t>
        </is>
      </c>
      <c r="D46" t="n">
        <v>5</v>
      </c>
      <c r="E46" t="n">
        <v>0</v>
      </c>
    </row>
    <row r="47">
      <c r="A47" t="inlineStr">
        <is>
          <t>2026-10-10</t>
        </is>
      </c>
      <c r="B47" t="inlineStr">
        <is>
          <t>Rangers</t>
        </is>
      </c>
      <c r="C47" t="inlineStr">
        <is>
          <t>Kilmarnock</t>
        </is>
      </c>
      <c r="D47" t="n">
        <v>3</v>
      </c>
      <c r="E47" t="n">
        <v>1</v>
      </c>
    </row>
    <row r="48">
      <c r="A48" t="inlineStr">
        <is>
          <t>2026-10-11</t>
        </is>
      </c>
      <c r="B48" t="inlineStr">
        <is>
          <t>Motherwell</t>
        </is>
      </c>
      <c r="C48" t="inlineStr">
        <is>
          <t>Celtic</t>
        </is>
      </c>
      <c r="D48" t="n">
        <v>0</v>
      </c>
      <c r="E48" t="n">
        <v>2</v>
      </c>
    </row>
    <row r="49">
      <c r="A49" t="inlineStr">
        <is>
          <t>2026-10-11</t>
        </is>
      </c>
      <c r="B49" t="inlineStr">
        <is>
          <t>Aberdeen</t>
        </is>
      </c>
      <c r="C49" t="inlineStr">
        <is>
          <t>St Johnstone</t>
        </is>
      </c>
      <c r="D49" t="n">
        <v>0</v>
      </c>
      <c r="E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2026-10-16T20:39:42Z</dcterms:created>
  <dcterms:modified xmlns:dcterms="http://purl.org/dc/terms/" xmlns:xsi="http://www.w3.org/2001/XMLSchema-instance" xsi:type="dcterms:W3CDTF">2026-10-16T20:39:42Z</dcterms:modified>
</cp:coreProperties>
</file>